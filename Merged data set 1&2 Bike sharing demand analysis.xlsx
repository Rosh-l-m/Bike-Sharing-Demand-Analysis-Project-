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Roshni\Documents\"/>
    </mc:Choice>
  </mc:AlternateContent>
  <xr:revisionPtr revIDLastSave="0" documentId="8_{4A436E1E-AE91-4C52-93CF-FD0A0025FAD1}" xr6:coauthVersionLast="47" xr6:coauthVersionMax="47" xr10:uidLastSave="{00000000-0000-0000-0000-000000000000}"/>
  <bookViews>
    <workbookView xWindow="-108" yWindow="-108" windowWidth="23256" windowHeight="12576" xr2:uid="{4377C774-94D6-41E1-8F7B-63998E42C953}"/>
  </bookViews>
  <sheets>
    <sheet name="Merged data set 1&amp;2" sheetId="1" r:id="rId1"/>
    <sheet name="charts &amp;tables 1&amp;2" sheetId="2" r:id="rId2"/>
    <sheet name="sheet1&amp;2 raw" sheetId="3" r:id="rId3"/>
  </sheets>
  <definedNames>
    <definedName name="Slicer_temp">#N/A</definedName>
    <definedName name="Slicer_weathersit">#N/A</definedName>
    <definedName name="Slicer_Weekdays">#N/A</definedName>
  </definedNames>
  <calcPr calcId="191029"/>
  <pivotCaches>
    <pivotCache cacheId="10" r:id="rId4"/>
    <pivotCache cacheId="11" r:id="rId5"/>
    <pivotCache cacheId="12"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F4" i="2" l="1"/>
  <c r="AG4" i="2"/>
  <c r="AG9" i="2" s="1"/>
  <c r="G5" i="2"/>
  <c r="H5" i="2"/>
  <c r="AF5" i="2"/>
  <c r="AG5" i="2"/>
  <c r="G6" i="2"/>
  <c r="H6" i="2"/>
  <c r="AF6" i="2"/>
  <c r="AG6" i="2"/>
  <c r="G7" i="2"/>
  <c r="H7" i="2"/>
  <c r="AF7" i="2"/>
  <c r="AG7" i="2"/>
  <c r="G8" i="2"/>
  <c r="AF8" i="2"/>
  <c r="AF9" i="2" s="1"/>
  <c r="AG8" i="2"/>
  <c r="M72" i="1"/>
  <c r="M35" i="1"/>
  <c r="M26" i="1"/>
  <c r="M20" i="1"/>
  <c r="M11" i="1"/>
</calcChain>
</file>

<file path=xl/sharedStrings.xml><?xml version="1.0" encoding="utf-8"?>
<sst xmlns="http://schemas.openxmlformats.org/spreadsheetml/2006/main" count="1929" uniqueCount="64">
  <si>
    <t>instant</t>
  </si>
  <si>
    <t>Date</t>
  </si>
  <si>
    <t>season</t>
  </si>
  <si>
    <t>yr</t>
  </si>
  <si>
    <t>mnth</t>
  </si>
  <si>
    <t>Month</t>
  </si>
  <si>
    <t>hr</t>
  </si>
  <si>
    <t>holiday</t>
  </si>
  <si>
    <t>weekday</t>
  </si>
  <si>
    <t>Weekdays</t>
  </si>
  <si>
    <t>weathersit</t>
  </si>
  <si>
    <t>temp</t>
  </si>
  <si>
    <t>atemp</t>
  </si>
  <si>
    <t>hum</t>
  </si>
  <si>
    <t>windspeed</t>
  </si>
  <si>
    <t>casual</t>
  </si>
  <si>
    <t>registered</t>
  </si>
  <si>
    <t>cnt</t>
  </si>
  <si>
    <t>January</t>
  </si>
  <si>
    <t>Saturday</t>
  </si>
  <si>
    <t>the data is for january 2011</t>
  </si>
  <si>
    <t>There are 25 entries in each day of the week and like this there are 4 sets of each 25 entries</t>
  </si>
  <si>
    <t xml:space="preserve">all the trues are holiday </t>
  </si>
  <si>
    <t>Sunday</t>
  </si>
  <si>
    <t>Monday</t>
  </si>
  <si>
    <t>Tuesday</t>
  </si>
  <si>
    <t>Wednesday</t>
  </si>
  <si>
    <t>Thursday</t>
  </si>
  <si>
    <t>Friday</t>
  </si>
  <si>
    <t>Grand Total</t>
  </si>
  <si>
    <t>Sum of casual</t>
  </si>
  <si>
    <t>Sum of registered</t>
  </si>
  <si>
    <t>Row Labels</t>
  </si>
  <si>
    <t>Grand total</t>
  </si>
  <si>
    <t>0.4 - 0.46</t>
  </si>
  <si>
    <t>0.3 - 0.38</t>
  </si>
  <si>
    <t>0.2 - 0.28</t>
  </si>
  <si>
    <t>Casual riders</t>
  </si>
  <si>
    <t>0.1 - 0.18</t>
  </si>
  <si>
    <t>Sum of registered and casual riders</t>
  </si>
  <si>
    <t>Registered clients</t>
  </si>
  <si>
    <t>0.02 - 0.08</t>
  </si>
  <si>
    <t>Range</t>
  </si>
  <si>
    <t>Sum of casual riders</t>
  </si>
  <si>
    <t>Sum of registered riders</t>
  </si>
  <si>
    <t>Weather</t>
  </si>
  <si>
    <t>Casual Riders</t>
  </si>
  <si>
    <t>Registered riders</t>
  </si>
  <si>
    <t>Temperature Range</t>
  </si>
  <si>
    <t>sum</t>
  </si>
  <si>
    <t>Pivot table used</t>
  </si>
  <si>
    <t>sum used</t>
  </si>
  <si>
    <t>dteday</t>
  </si>
  <si>
    <t xml:space="preserve">weather </t>
  </si>
  <si>
    <t>can treat temp and atemp in this range</t>
  </si>
  <si>
    <t>0.1-0.18</t>
  </si>
  <si>
    <t>very cold</t>
  </si>
  <si>
    <t>0.22-0.28</t>
  </si>
  <si>
    <t>normal</t>
  </si>
  <si>
    <t>0.32-0.38</t>
  </si>
  <si>
    <t>hot</t>
  </si>
  <si>
    <t>0.42-0.46</t>
  </si>
  <si>
    <t>very hot</t>
  </si>
  <si>
    <t>casual and reguistered riders as per weather, as per temp, weekdays and weekends, holidays and non holidays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</si>
</sst>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6" x14ac:knownFonts="1">
    <font>
      <sz val="11"/>
      <color theme="1"/>
      <name val="Calibri"/>
      <family val="2"/>
      <scheme val="minor"/>
    </font>
    <font>
      <u/>
      <sz val="10"/>
      <color theme="10"/>
      <name val="Calibri"/>
      <family val="2"/>
      <scheme val="minor"/>
    </font>
    <font>
      <sz val="10"/>
      <color theme="1"/>
      <name val="Arial"/>
      <family val="2"/>
    </font>
    <font>
      <sz val="10"/>
      <color theme="1"/>
      <name val="Arial"/>
    </font>
    <font>
      <sz val="10"/>
      <color rgb="FF000000"/>
      <name val="Calibri"/>
      <family val="2"/>
      <scheme val="minor"/>
    </font>
    <font>
      <sz val="10"/>
      <color theme="1"/>
      <name val="Calibri"/>
      <scheme val="minor"/>
    </font>
  </fonts>
  <fills count="2">
    <fill>
      <patternFill patternType="none"/>
    </fill>
    <fill>
      <patternFill patternType="gray125"/>
    </fill>
  </fills>
  <borders count="7">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right/>
      <top/>
      <bottom style="thin">
        <color indexed="64"/>
      </bottom>
      <diagonal/>
    </border>
    <border>
      <left/>
      <right style="thin">
        <color indexed="64"/>
      </right>
      <top/>
      <bottom/>
      <diagonal/>
    </border>
    <border>
      <left/>
      <right style="thin">
        <color indexed="64"/>
      </right>
      <top style="thin">
        <color indexed="64"/>
      </top>
      <bottom/>
      <diagonal/>
    </border>
    <border>
      <left/>
      <right/>
      <top style="thin">
        <color indexed="64"/>
      </top>
      <bottom/>
      <diagonal/>
    </border>
  </borders>
  <cellStyleXfs count="2">
    <xf numFmtId="0" fontId="0" fillId="0" borderId="0"/>
    <xf numFmtId="0" fontId="1" fillId="0" borderId="0" applyNumberFormat="0" applyFill="0" applyBorder="0" applyAlignment="0" applyProtection="0"/>
  </cellStyleXfs>
  <cellXfs count="18">
    <xf numFmtId="0" fontId="0" fillId="0" borderId="0" xfId="0"/>
    <xf numFmtId="0" fontId="1" fillId="0" borderId="0" xfId="1"/>
    <xf numFmtId="0" fontId="0" fillId="0" borderId="1" xfId="0" applyBorder="1"/>
    <xf numFmtId="0" fontId="2" fillId="0" borderId="1" xfId="0" applyFont="1" applyBorder="1"/>
    <xf numFmtId="164" fontId="3" fillId="0" borderId="1" xfId="0" applyNumberFormat="1" applyFont="1" applyBorder="1" applyAlignment="1">
      <alignment horizontal="right"/>
    </xf>
    <xf numFmtId="0" fontId="4" fillId="0" borderId="0" xfId="0" applyFont="1"/>
    <xf numFmtId="0" fontId="0" fillId="0" borderId="2" xfId="0" applyBorder="1"/>
    <xf numFmtId="0" fontId="0" fillId="0" borderId="3" xfId="0" applyBorder="1"/>
    <xf numFmtId="0" fontId="0" fillId="0" borderId="4" xfId="0" applyBorder="1"/>
    <xf numFmtId="0" fontId="0" fillId="0" borderId="0" xfId="0" applyAlignment="1">
      <alignment horizontal="left"/>
    </xf>
    <xf numFmtId="0" fontId="0" fillId="0" borderId="0" xfId="0" pivotButton="1"/>
    <xf numFmtId="0" fontId="0" fillId="0" borderId="5" xfId="0" applyBorder="1"/>
    <xf numFmtId="0" fontId="0" fillId="0" borderId="6" xfId="0" applyBorder="1"/>
    <xf numFmtId="0" fontId="3" fillId="0" borderId="0" xfId="0" applyFont="1"/>
    <xf numFmtId="0" fontId="5" fillId="0" borderId="0" xfId="0" applyFont="1"/>
    <xf numFmtId="0" fontId="3" fillId="0" borderId="0" xfId="0" applyFont="1" applyAlignment="1">
      <alignment horizontal="right"/>
    </xf>
    <xf numFmtId="164" fontId="3" fillId="0" borderId="0" xfId="0" applyNumberFormat="1" applyFont="1" applyAlignment="1">
      <alignment horizontal="right"/>
    </xf>
    <xf numFmtId="0" fontId="3" fillId="0" borderId="0" xfId="0" applyFont="1" applyAlignment="1">
      <alignment horizontal="center"/>
    </xf>
  </cellXfs>
  <cellStyles count="2">
    <cellStyle name="Hyperlink" xfId="1" builtinId="8"/>
    <cellStyle name="Normal" xfId="0" builtinId="0"/>
  </cellStyles>
  <dxfs count="1">
    <dxf>
      <font>
        <b val="0"/>
        <i val="0"/>
        <strike val="0"/>
        <condense val="0"/>
        <extend val="0"/>
        <outline val="0"/>
        <shadow val="0"/>
        <u val="none"/>
        <vertAlign val="baseline"/>
        <sz val="10"/>
        <color theme="1"/>
        <name val="Arial"/>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styles" Target="styles.xml"/><Relationship Id="rId5" Type="http://schemas.openxmlformats.org/officeDocument/2006/relationships/pivotCacheDefinition" Target="pivotCache/pivotCacheDefinition2.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Riders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extLst>
              <c:ext xmlns:c16="http://schemas.microsoft.com/office/drawing/2014/chart" uri="{C3380CC4-5D6E-409C-BE32-E72D297353CC}">
                <c16:uniqueId val="{00000001-88D1-4040-AE1B-32528E431C9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extLst>
              <c:ext xmlns:c16="http://schemas.microsoft.com/office/drawing/2014/chart" uri="{C3380CC4-5D6E-409C-BE32-E72D297353CC}">
                <c16:uniqueId val="{00000003-88D1-4040-AE1B-32528E431C97}"/>
              </c:ext>
            </c:extLst>
          </c:dPt>
          <c:cat>
            <c:strRef>
              <c:f>'charts &amp;tables 1&amp;2'!$AI$4:$AI$5</c:f>
              <c:strCache>
                <c:ptCount val="2"/>
                <c:pt idx="0">
                  <c:v>Registered clients</c:v>
                </c:pt>
                <c:pt idx="1">
                  <c:v>Casual riders</c:v>
                </c:pt>
              </c:strCache>
            </c:strRef>
          </c:cat>
          <c:val>
            <c:numRef>
              <c:f>'charts &amp;tables 1&amp;2'!$AJ$4:$AJ$5</c:f>
              <c:numCache>
                <c:formatCode>General</c:formatCode>
                <c:ptCount val="2"/>
                <c:pt idx="0">
                  <c:v>31152</c:v>
                </c:pt>
                <c:pt idx="1">
                  <c:v>2746</c:v>
                </c:pt>
              </c:numCache>
            </c:numRef>
          </c:val>
          <c:extLst>
            <c:ext xmlns:c16="http://schemas.microsoft.com/office/drawing/2014/chart" uri="{C3380CC4-5D6E-409C-BE32-E72D297353CC}">
              <c16:uniqueId val="{00000004-88D1-4040-AE1B-32528E431C97}"/>
            </c:ext>
          </c:extLst>
        </c:ser>
        <c:dLbls>
          <c:showLegendKey val="0"/>
          <c:showVal val="0"/>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[Merged data set 1&amp;2 Bike sharing demand analysis.xlsx]charts &amp;tables 1&amp;2!PivotTable10</c:name>
    <c:fmtId val="39"/>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90699912510936"/>
          <c:y val="0.14249781277340332"/>
          <c:w val="0.40170516185476818"/>
          <c:h val="0.66417104111986003"/>
        </c:manualLayout>
      </c:layout>
      <c:bar3DChart>
        <c:barDir val="col"/>
        <c:grouping val="standard"/>
        <c:varyColors val="0"/>
        <c:ser>
          <c:idx val="0"/>
          <c:order val="0"/>
          <c:tx>
            <c:strRef>
              <c:f>'charts &amp;tables 1&amp;2'!$G$12</c:f>
              <c:strCache>
                <c:ptCount val="1"/>
                <c:pt idx="0">
                  <c:v>Sum of registered</c:v>
                </c:pt>
              </c:strCache>
            </c:strRef>
          </c:tx>
          <c:spPr>
            <a:solidFill>
              <a:schemeClr val="accent1"/>
            </a:solidFill>
            <a:ln>
              <a:noFill/>
            </a:ln>
            <a:effectLst/>
            <a:sp3d/>
          </c:spPr>
          <c:invertIfNegative val="0"/>
          <c:cat>
            <c:strRef>
              <c:f>'charts &amp;tables 1&amp;2'!$F$13:$F$17</c:f>
              <c:strCache>
                <c:ptCount val="4"/>
                <c:pt idx="0">
                  <c:v>1</c:v>
                </c:pt>
                <c:pt idx="1">
                  <c:v>2</c:v>
                </c:pt>
                <c:pt idx="2">
                  <c:v>3</c:v>
                </c:pt>
                <c:pt idx="3">
                  <c:v>4</c:v>
                </c:pt>
              </c:strCache>
            </c:strRef>
          </c:cat>
          <c:val>
            <c:numRef>
              <c:f>'charts &amp;tables 1&amp;2'!$G$13:$G$17</c:f>
              <c:numCache>
                <c:formatCode>General</c:formatCode>
                <c:ptCount val="4"/>
                <c:pt idx="0">
                  <c:v>20330</c:v>
                </c:pt>
                <c:pt idx="1">
                  <c:v>9425</c:v>
                </c:pt>
                <c:pt idx="2">
                  <c:v>1362</c:v>
                </c:pt>
                <c:pt idx="3">
                  <c:v>35</c:v>
                </c:pt>
              </c:numCache>
            </c:numRef>
          </c:val>
          <c:extLst>
            <c:ext xmlns:c16="http://schemas.microsoft.com/office/drawing/2014/chart" uri="{C3380CC4-5D6E-409C-BE32-E72D297353CC}">
              <c16:uniqueId val="{00000000-B359-4DBA-BD65-C35196DC58AC}"/>
            </c:ext>
          </c:extLst>
        </c:ser>
        <c:ser>
          <c:idx val="1"/>
          <c:order val="1"/>
          <c:tx>
            <c:strRef>
              <c:f>'charts &amp;tables 1&amp;2'!$H$12</c:f>
              <c:strCache>
                <c:ptCount val="1"/>
                <c:pt idx="0">
                  <c:v>Sum of casual</c:v>
                </c:pt>
              </c:strCache>
            </c:strRef>
          </c:tx>
          <c:spPr>
            <a:solidFill>
              <a:schemeClr val="accent2"/>
            </a:solidFill>
            <a:ln>
              <a:noFill/>
            </a:ln>
            <a:effectLst/>
            <a:sp3d/>
          </c:spPr>
          <c:invertIfNegative val="0"/>
          <c:cat>
            <c:strRef>
              <c:f>'charts &amp;tables 1&amp;2'!$F$13:$F$17</c:f>
              <c:strCache>
                <c:ptCount val="4"/>
                <c:pt idx="0">
                  <c:v>1</c:v>
                </c:pt>
                <c:pt idx="1">
                  <c:v>2</c:v>
                </c:pt>
                <c:pt idx="2">
                  <c:v>3</c:v>
                </c:pt>
                <c:pt idx="3">
                  <c:v>4</c:v>
                </c:pt>
              </c:strCache>
            </c:strRef>
          </c:cat>
          <c:val>
            <c:numRef>
              <c:f>'charts &amp;tables 1&amp;2'!$H$13:$H$17</c:f>
              <c:numCache>
                <c:formatCode>General</c:formatCode>
                <c:ptCount val="4"/>
                <c:pt idx="0">
                  <c:v>1643</c:v>
                </c:pt>
                <c:pt idx="1">
                  <c:v>1001</c:v>
                </c:pt>
                <c:pt idx="2">
                  <c:v>101</c:v>
                </c:pt>
                <c:pt idx="3">
                  <c:v>1</c:v>
                </c:pt>
              </c:numCache>
            </c:numRef>
          </c:val>
          <c:extLst>
            <c:ext xmlns:c16="http://schemas.microsoft.com/office/drawing/2014/chart" uri="{C3380CC4-5D6E-409C-BE32-E72D297353CC}">
              <c16:uniqueId val="{00000001-B359-4DBA-BD65-C35196DC58AC}"/>
            </c:ext>
          </c:extLst>
        </c:ser>
        <c:dLbls>
          <c:showLegendKey val="0"/>
          <c:showVal val="0"/>
          <c:showCatName val="0"/>
          <c:showSerName val="0"/>
          <c:showPercent val="0"/>
          <c:showBubbleSize val="0"/>
        </c:dLbls>
        <c:gapWidth val="150"/>
        <c:shape val="box"/>
        <c:axId val="2129251536"/>
        <c:axId val="2129244336"/>
        <c:axId val="32326031"/>
      </c:bar3DChart>
      <c:catAx>
        <c:axId val="21292515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9244336"/>
        <c:crosses val="autoZero"/>
        <c:auto val="1"/>
        <c:lblAlgn val="ctr"/>
        <c:lblOffset val="100"/>
        <c:noMultiLvlLbl val="0"/>
      </c:catAx>
      <c:valAx>
        <c:axId val="2129244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9251536"/>
        <c:crosses val="autoZero"/>
        <c:crossBetween val="between"/>
      </c:valAx>
      <c:serAx>
        <c:axId val="32326031"/>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9244336"/>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[Merged data set 1&amp;2 Bike sharing demand analysis.xlsx]charts &amp;tables 1&amp;2!PivotTable7</c:name>
    <c:fmtId val="18"/>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Riders As Per Weekdays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pivotFmt>
      <c:pivotFmt>
        <c:idx val="7"/>
      </c:pivotFmt>
      <c:pivotFmt>
        <c:idx val="8"/>
      </c:pivotFmt>
      <c:pivotFmt>
        <c:idx val="9"/>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pivotFmt>
      <c:pivotFmt>
        <c:idx val="12"/>
      </c:pivotFmt>
      <c:pivotFmt>
        <c:idx val="13"/>
      </c:pivotFmt>
      <c:pivotFmt>
        <c:idx val="14"/>
      </c:pivotFmt>
      <c:pivotFmt>
        <c:idx val="15"/>
      </c:pivotFmt>
      <c:pivotFmt>
        <c:idx val="16"/>
      </c:pivotFmt>
      <c:pivotFmt>
        <c:idx val="17"/>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pivotFmt>
      <c:pivotFmt>
        <c:idx val="20"/>
      </c:pivotFmt>
      <c:pivotFmt>
        <c:idx val="21"/>
      </c:pivotFmt>
      <c:pivotFmt>
        <c:idx val="22"/>
      </c:pivotFmt>
      <c:pivotFmt>
        <c:idx val="23"/>
      </c:pivotFmt>
      <c:pivotFmt>
        <c:idx val="24"/>
      </c:pivotFmt>
      <c:pivotFmt>
        <c:idx val="25"/>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pivotFmt>
      <c:pivotFmt>
        <c:idx val="28"/>
      </c:pivotFmt>
      <c:pivotFmt>
        <c:idx val="29"/>
      </c:pivotFmt>
      <c:pivotFmt>
        <c:idx val="30"/>
      </c:pivotFmt>
      <c:pivotFmt>
        <c:idx val="31"/>
      </c:pivotFmt>
      <c:pivotFmt>
        <c:idx val="32"/>
      </c:pivotFmt>
      <c:pivotFmt>
        <c:idx val="33"/>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pivotFmt>
      <c:pivotFmt>
        <c:idx val="36"/>
      </c:pivotFmt>
      <c:pivotFmt>
        <c:idx val="37"/>
      </c:pivotFmt>
      <c:pivotFmt>
        <c:idx val="38"/>
      </c:pivotFmt>
      <c:pivotFmt>
        <c:idx val="39"/>
      </c:pivotFmt>
      <c:pivotFmt>
        <c:idx val="40"/>
      </c:pivotFmt>
      <c:pivotFmt>
        <c:idx val="41"/>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pivotFmt>
      <c:pivotFmt>
        <c:idx val="44"/>
      </c:pivotFmt>
      <c:pivotFmt>
        <c:idx val="45"/>
      </c:pivotFmt>
      <c:pivotFmt>
        <c:idx val="46"/>
      </c:pivotFmt>
      <c:pivotFmt>
        <c:idx val="47"/>
      </c:pivotFmt>
      <c:pivotFmt>
        <c:idx val="48"/>
      </c:pivotFmt>
      <c:pivotFmt>
        <c:idx val="49"/>
      </c:pivotFmt>
      <c:pivotFmt>
        <c:idx val="50"/>
        <c:dLbl>
          <c:idx val="0"/>
          <c:showLegendKey val="0"/>
          <c:showVal val="0"/>
          <c:showCatName val="0"/>
          <c:showSerName val="0"/>
          <c:showPercent val="0"/>
          <c:showBubbleSize val="0"/>
          <c:extLst>
            <c:ext xmlns:c15="http://schemas.microsoft.com/office/drawing/2012/chart" uri="{CE6537A1-D6FC-4f65-9D91-7224C49458BB}"/>
          </c:extLst>
        </c:dLbl>
      </c:pivotFmt>
      <c:pivotFmt>
        <c:idx val="51"/>
      </c:pivotFmt>
      <c:pivotFmt>
        <c:idx val="52"/>
      </c:pivotFmt>
      <c:pivotFmt>
        <c:idx val="53"/>
      </c:pivotFmt>
      <c:pivotFmt>
        <c:idx val="54"/>
      </c:pivotFmt>
      <c:pivotFmt>
        <c:idx val="55"/>
      </c:pivotFmt>
      <c:pivotFmt>
        <c:idx val="56"/>
      </c:pivotFmt>
      <c:pivotFmt>
        <c:idx val="57"/>
      </c:pivotFmt>
      <c:pivotFmt>
        <c:idx val="58"/>
        <c:dLbl>
          <c:idx val="0"/>
          <c:showLegendKey val="0"/>
          <c:showVal val="0"/>
          <c:showCatName val="0"/>
          <c:showSerName val="0"/>
          <c:showPercent val="0"/>
          <c:showBubbleSize val="0"/>
          <c:extLst>
            <c:ext xmlns:c15="http://schemas.microsoft.com/office/drawing/2012/chart" uri="{CE6537A1-D6FC-4f65-9D91-7224C49458BB}"/>
          </c:extLst>
        </c:dLbl>
      </c:pivotFmt>
      <c:pivotFmt>
        <c:idx val="59"/>
      </c:pivotFmt>
      <c:pivotFmt>
        <c:idx val="60"/>
      </c:pivotFmt>
      <c:pivotFmt>
        <c:idx val="61"/>
      </c:pivotFmt>
      <c:pivotFmt>
        <c:idx val="62"/>
      </c:pivotFmt>
      <c:pivotFmt>
        <c:idx val="63"/>
      </c:pivotFmt>
      <c:pivotFmt>
        <c:idx val="64"/>
      </c:pivotFmt>
      <c:pivotFmt>
        <c:idx val="65"/>
      </c:pivotFmt>
      <c:pivotFmt>
        <c:idx val="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7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pivotFmt>
      <c:pivotFmt>
        <c:idx val="7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pivotFmt>
      <c:pivotFmt>
        <c:idx val="7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pivotFmt>
      <c:pivotFmt>
        <c:idx val="7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pivotFmt>
      <c:pivotFmt>
        <c:idx val="7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pivotFmt>
      <c:pivotFmt>
        <c:idx val="8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pivotFmt>
      <c:pivotFmt>
        <c:idx val="8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pivotFmt>
      <c:pivotFmt>
        <c:idx val="8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'charts &amp;tables 1&amp;2'!$S$5</c:f>
              <c:strCache>
                <c:ptCount val="1"/>
                <c:pt idx="0">
                  <c:v>Sum of registered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invertIfNegative val="0"/>
          <c:dPt>
            <c:idx val="0"/>
            <c:invertIfNegative val="0"/>
            <c:bubble3D val="0"/>
            <c:extLst>
              <c:ext xmlns:c16="http://schemas.microsoft.com/office/drawing/2014/chart" uri="{C3380CC4-5D6E-409C-BE32-E72D297353CC}">
                <c16:uniqueId val="{00000000-1C18-44CF-92B5-B3BB5E4CFD48}"/>
              </c:ext>
            </c:extLst>
          </c:dPt>
          <c:dPt>
            <c:idx val="1"/>
            <c:invertIfNegative val="0"/>
            <c:bubble3D val="0"/>
            <c:extLst>
              <c:ext xmlns:c16="http://schemas.microsoft.com/office/drawing/2014/chart" uri="{C3380CC4-5D6E-409C-BE32-E72D297353CC}">
                <c16:uniqueId val="{00000001-1C18-44CF-92B5-B3BB5E4CFD48}"/>
              </c:ext>
            </c:extLst>
          </c:dPt>
          <c:dPt>
            <c:idx val="2"/>
            <c:invertIfNegative val="0"/>
            <c:bubble3D val="0"/>
            <c:extLst>
              <c:ext xmlns:c16="http://schemas.microsoft.com/office/drawing/2014/chart" uri="{C3380CC4-5D6E-409C-BE32-E72D297353CC}">
                <c16:uniqueId val="{00000002-1C18-44CF-92B5-B3BB5E4CFD48}"/>
              </c:ext>
            </c:extLst>
          </c:dPt>
          <c:dPt>
            <c:idx val="3"/>
            <c:invertIfNegative val="0"/>
            <c:bubble3D val="0"/>
            <c:extLst>
              <c:ext xmlns:c16="http://schemas.microsoft.com/office/drawing/2014/chart" uri="{C3380CC4-5D6E-409C-BE32-E72D297353CC}">
                <c16:uniqueId val="{00000003-1C18-44CF-92B5-B3BB5E4CFD48}"/>
              </c:ext>
            </c:extLst>
          </c:dPt>
          <c:dPt>
            <c:idx val="4"/>
            <c:invertIfNegative val="0"/>
            <c:bubble3D val="0"/>
            <c:extLst>
              <c:ext xmlns:c16="http://schemas.microsoft.com/office/drawing/2014/chart" uri="{C3380CC4-5D6E-409C-BE32-E72D297353CC}">
                <c16:uniqueId val="{00000004-1C18-44CF-92B5-B3BB5E4CFD48}"/>
              </c:ext>
            </c:extLst>
          </c:dPt>
          <c:dPt>
            <c:idx val="5"/>
            <c:invertIfNegative val="0"/>
            <c:bubble3D val="0"/>
            <c:extLst>
              <c:ext xmlns:c16="http://schemas.microsoft.com/office/drawing/2014/chart" uri="{C3380CC4-5D6E-409C-BE32-E72D297353CC}">
                <c16:uniqueId val="{00000005-1C18-44CF-92B5-B3BB5E4CFD48}"/>
              </c:ext>
            </c:extLst>
          </c:dPt>
          <c:dPt>
            <c:idx val="6"/>
            <c:invertIfNegative val="0"/>
            <c:bubble3D val="0"/>
            <c:extLst>
              <c:ext xmlns:c16="http://schemas.microsoft.com/office/drawing/2014/chart" uri="{C3380CC4-5D6E-409C-BE32-E72D297353CC}">
                <c16:uniqueId val="{00000006-1C18-44CF-92B5-B3BB5E4CFD4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'charts &amp;tables 1&amp;2'!$R$6:$R$13</c:f>
              <c:strCache>
                <c:ptCount val="7"/>
                <c:pt idx="0">
                  <c:v>Sunday</c:v>
                </c:pt>
                <c:pt idx="1">
                  <c:v>Monday</c:v>
                </c:pt>
                <c:pt idx="2">
                  <c:v>Tuesday</c:v>
                </c:pt>
                <c:pt idx="3">
                  <c:v>Wednesday</c:v>
                </c:pt>
                <c:pt idx="4">
                  <c:v>Thursday</c:v>
                </c:pt>
                <c:pt idx="5">
                  <c:v>Friday</c:v>
                </c:pt>
                <c:pt idx="6">
                  <c:v>Saturday</c:v>
                </c:pt>
              </c:strCache>
            </c:strRef>
          </c:cat>
          <c:val>
            <c:numRef>
              <c:f>'charts &amp;tables 1&amp;2'!$S$6:$S$13</c:f>
              <c:numCache>
                <c:formatCode>General</c:formatCode>
                <c:ptCount val="7"/>
                <c:pt idx="0">
                  <c:v>3188</c:v>
                </c:pt>
                <c:pt idx="1">
                  <c:v>4582</c:v>
                </c:pt>
                <c:pt idx="2">
                  <c:v>5370</c:v>
                </c:pt>
                <c:pt idx="3">
                  <c:v>5097</c:v>
                </c:pt>
                <c:pt idx="4">
                  <c:v>5256</c:v>
                </c:pt>
                <c:pt idx="5">
                  <c:v>4190</c:v>
                </c:pt>
                <c:pt idx="6">
                  <c:v>3469</c:v>
                </c:pt>
              </c:numCache>
            </c:numRef>
          </c:val>
          <c:extLst>
            <c:ext xmlns:c16="http://schemas.microsoft.com/office/drawing/2014/chart" uri="{C3380CC4-5D6E-409C-BE32-E72D297353CC}">
              <c16:uniqueId val="{00000007-1C18-44CF-92B5-B3BB5E4CFD48}"/>
            </c:ext>
          </c:extLst>
        </c:ser>
        <c:ser>
          <c:idx val="1"/>
          <c:order val="1"/>
          <c:tx>
            <c:strRef>
              <c:f>'charts &amp;tables 1&amp;2'!$T$5</c:f>
              <c:strCache>
                <c:ptCount val="1"/>
                <c:pt idx="0">
                  <c:v>Sum of casual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invertIfNegative val="0"/>
          <c:dPt>
            <c:idx val="0"/>
            <c:invertIfNegative val="0"/>
            <c:bubble3D val="0"/>
            <c:extLst>
              <c:ext xmlns:c16="http://schemas.microsoft.com/office/drawing/2014/chart" uri="{C3380CC4-5D6E-409C-BE32-E72D297353CC}">
                <c16:uniqueId val="{00000008-1C18-44CF-92B5-B3BB5E4CFD48}"/>
              </c:ext>
            </c:extLst>
          </c:dPt>
          <c:dPt>
            <c:idx val="1"/>
            <c:invertIfNegative val="0"/>
            <c:bubble3D val="0"/>
            <c:extLst>
              <c:ext xmlns:c16="http://schemas.microsoft.com/office/drawing/2014/chart" uri="{C3380CC4-5D6E-409C-BE32-E72D297353CC}">
                <c16:uniqueId val="{00000009-1C18-44CF-92B5-B3BB5E4CFD48}"/>
              </c:ext>
            </c:extLst>
          </c:dPt>
          <c:dPt>
            <c:idx val="2"/>
            <c:invertIfNegative val="0"/>
            <c:bubble3D val="0"/>
            <c:extLst>
              <c:ext xmlns:c16="http://schemas.microsoft.com/office/drawing/2014/chart" uri="{C3380CC4-5D6E-409C-BE32-E72D297353CC}">
                <c16:uniqueId val="{0000000A-1C18-44CF-92B5-B3BB5E4CFD48}"/>
              </c:ext>
            </c:extLst>
          </c:dPt>
          <c:dPt>
            <c:idx val="3"/>
            <c:invertIfNegative val="0"/>
            <c:bubble3D val="0"/>
            <c:extLst>
              <c:ext xmlns:c16="http://schemas.microsoft.com/office/drawing/2014/chart" uri="{C3380CC4-5D6E-409C-BE32-E72D297353CC}">
                <c16:uniqueId val="{0000000B-1C18-44CF-92B5-B3BB5E4CFD48}"/>
              </c:ext>
            </c:extLst>
          </c:dPt>
          <c:dPt>
            <c:idx val="4"/>
            <c:invertIfNegative val="0"/>
            <c:bubble3D val="0"/>
            <c:extLst>
              <c:ext xmlns:c16="http://schemas.microsoft.com/office/drawing/2014/chart" uri="{C3380CC4-5D6E-409C-BE32-E72D297353CC}">
                <c16:uniqueId val="{0000000C-1C18-44CF-92B5-B3BB5E4CFD48}"/>
              </c:ext>
            </c:extLst>
          </c:dPt>
          <c:dPt>
            <c:idx val="5"/>
            <c:invertIfNegative val="0"/>
            <c:bubble3D val="0"/>
            <c:extLst>
              <c:ext xmlns:c16="http://schemas.microsoft.com/office/drawing/2014/chart" uri="{C3380CC4-5D6E-409C-BE32-E72D297353CC}">
                <c16:uniqueId val="{0000000D-1C18-44CF-92B5-B3BB5E4CFD48}"/>
              </c:ext>
            </c:extLst>
          </c:dPt>
          <c:dPt>
            <c:idx val="6"/>
            <c:invertIfNegative val="0"/>
            <c:bubble3D val="0"/>
            <c:extLst>
              <c:ext xmlns:c16="http://schemas.microsoft.com/office/drawing/2014/chart" uri="{C3380CC4-5D6E-409C-BE32-E72D297353CC}">
                <c16:uniqueId val="{0000000E-1C18-44CF-92B5-B3BB5E4CFD4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'charts &amp;tables 1&amp;2'!$R$6:$R$13</c:f>
              <c:strCache>
                <c:ptCount val="7"/>
                <c:pt idx="0">
                  <c:v>Sunday</c:v>
                </c:pt>
                <c:pt idx="1">
                  <c:v>Monday</c:v>
                </c:pt>
                <c:pt idx="2">
                  <c:v>Tuesday</c:v>
                </c:pt>
                <c:pt idx="3">
                  <c:v>Wednesday</c:v>
                </c:pt>
                <c:pt idx="4">
                  <c:v>Thursday</c:v>
                </c:pt>
                <c:pt idx="5">
                  <c:v>Friday</c:v>
                </c:pt>
                <c:pt idx="6">
                  <c:v>Saturday</c:v>
                </c:pt>
              </c:strCache>
            </c:strRef>
          </c:cat>
          <c:val>
            <c:numRef>
              <c:f>'charts &amp;tables 1&amp;2'!$T$6:$T$13</c:f>
              <c:numCache>
                <c:formatCode>General</c:formatCode>
                <c:ptCount val="7"/>
                <c:pt idx="0">
                  <c:v>576</c:v>
                </c:pt>
                <c:pt idx="1">
                  <c:v>362</c:v>
                </c:pt>
                <c:pt idx="2">
                  <c:v>362</c:v>
                </c:pt>
                <c:pt idx="3">
                  <c:v>235</c:v>
                </c:pt>
                <c:pt idx="4">
                  <c:v>218</c:v>
                </c:pt>
                <c:pt idx="5">
                  <c:v>278</c:v>
                </c:pt>
                <c:pt idx="6">
                  <c:v>715</c:v>
                </c:pt>
              </c:numCache>
            </c:numRef>
          </c:val>
          <c:extLst>
            <c:ext xmlns:c16="http://schemas.microsoft.com/office/drawing/2014/chart" uri="{C3380CC4-5D6E-409C-BE32-E72D297353CC}">
              <c16:uniqueId val="{0000000F-1C18-44CF-92B5-B3BB5E4CFD48}"/>
            </c:ext>
          </c:extLst>
        </c:ser>
        <c:dLbls>
          <c:showLegendKey val="0"/>
          <c:showVal val="1"/>
          <c:showCatName val="0"/>
          <c:showSerName val="0"/>
          <c:showPercent val="0"/>
          <c:showBubbleSize val="0"/>
        </c:dLbls>
        <c:gapWidth val="150"/>
        <c:shape val="box"/>
        <c:axId val="326952480"/>
        <c:axId val="326951040"/>
        <c:axId val="0"/>
      </c:bar3DChart>
      <c:valAx>
        <c:axId val="326951040"/>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26952480"/>
        <c:crosses val="autoZero"/>
        <c:crossBetween val="between"/>
      </c:valAx>
      <c:catAx>
        <c:axId val="326952480"/>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26951040"/>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Temperature chart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090699912510936"/>
          <c:y val="0.16250000000000003"/>
          <c:w val="0.86037445319335082"/>
          <c:h val="0.62949292796733747"/>
        </c:manualLayout>
      </c:layout>
      <c:barChart>
        <c:barDir val="col"/>
        <c:grouping val="clustered"/>
        <c:varyColors val="0"/>
        <c:ser>
          <c:idx val="0"/>
          <c:order val="0"/>
          <c:tx>
            <c:strRef>
              <c:f>'charts &amp;tables 1&amp;2'!$AE$4</c:f>
              <c:strCache>
                <c:ptCount val="1"/>
                <c:pt idx="0">
                  <c:v>0.02 - 0.08</c:v>
                </c:pt>
              </c:strCache>
            </c:strRef>
          </c:tx>
          <c:spPr>
            <a:solidFill>
              <a:schemeClr val="accent1"/>
            </a:solidFill>
            <a:ln>
              <a:noFill/>
            </a:ln>
            <a:effectLst/>
          </c:spPr>
          <c:invertIfNegative val="0"/>
          <c:cat>
            <c:strRef>
              <c:f>'charts &amp;tables 1&amp;2'!$AF$3:$AG$3</c:f>
              <c:strCache>
                <c:ptCount val="2"/>
                <c:pt idx="0">
                  <c:v>Registered riders</c:v>
                </c:pt>
                <c:pt idx="1">
                  <c:v>Casual Riders</c:v>
                </c:pt>
              </c:strCache>
            </c:strRef>
          </c:cat>
          <c:val>
            <c:numRef>
              <c:f>'charts &amp;tables 1&amp;2'!$AF$4:$AG$4</c:f>
              <c:numCache>
                <c:formatCode>General</c:formatCode>
                <c:ptCount val="2"/>
                <c:pt idx="0">
                  <c:v>1199</c:v>
                </c:pt>
                <c:pt idx="1">
                  <c:v>89</c:v>
                </c:pt>
              </c:numCache>
            </c:numRef>
          </c:val>
          <c:extLst>
            <c:ext xmlns:c16="http://schemas.microsoft.com/office/drawing/2014/chart" uri="{C3380CC4-5D6E-409C-BE32-E72D297353CC}">
              <c16:uniqueId val="{00000000-DF70-44D9-BCA1-BCFDF93F8955}"/>
            </c:ext>
          </c:extLst>
        </c:ser>
        <c:ser>
          <c:idx val="1"/>
          <c:order val="1"/>
          <c:tx>
            <c:strRef>
              <c:f>'charts &amp;tables 1&amp;2'!$AE$5</c:f>
              <c:strCache>
                <c:ptCount val="1"/>
                <c:pt idx="0">
                  <c:v>0.1 - 0.18</c:v>
                </c:pt>
              </c:strCache>
            </c:strRef>
          </c:tx>
          <c:spPr>
            <a:solidFill>
              <a:schemeClr val="accent2"/>
            </a:solidFill>
            <a:ln>
              <a:noFill/>
            </a:ln>
            <a:effectLst/>
          </c:spPr>
          <c:invertIfNegative val="0"/>
          <c:cat>
            <c:strRef>
              <c:f>'charts &amp;tables 1&amp;2'!$AF$3:$AG$3</c:f>
              <c:strCache>
                <c:ptCount val="2"/>
                <c:pt idx="0">
                  <c:v>Registered riders</c:v>
                </c:pt>
                <c:pt idx="1">
                  <c:v>Casual Riders</c:v>
                </c:pt>
              </c:strCache>
            </c:strRef>
          </c:cat>
          <c:val>
            <c:numRef>
              <c:f>'charts &amp;tables 1&amp;2'!$AF$5:$AG$5</c:f>
              <c:numCache>
                <c:formatCode>General</c:formatCode>
                <c:ptCount val="2"/>
                <c:pt idx="0">
                  <c:v>10913</c:v>
                </c:pt>
                <c:pt idx="1">
                  <c:v>615</c:v>
                </c:pt>
              </c:numCache>
            </c:numRef>
          </c:val>
          <c:extLst>
            <c:ext xmlns:c16="http://schemas.microsoft.com/office/drawing/2014/chart" uri="{C3380CC4-5D6E-409C-BE32-E72D297353CC}">
              <c16:uniqueId val="{00000001-DF70-44D9-BCA1-BCFDF93F8955}"/>
            </c:ext>
          </c:extLst>
        </c:ser>
        <c:ser>
          <c:idx val="2"/>
          <c:order val="2"/>
          <c:tx>
            <c:strRef>
              <c:f>'charts &amp;tables 1&amp;2'!$AE$6</c:f>
              <c:strCache>
                <c:ptCount val="1"/>
                <c:pt idx="0">
                  <c:v>0.2 - 0.28</c:v>
                </c:pt>
              </c:strCache>
            </c:strRef>
          </c:tx>
          <c:spPr>
            <a:solidFill>
              <a:schemeClr val="accent3"/>
            </a:solidFill>
            <a:ln>
              <a:noFill/>
            </a:ln>
            <a:effectLst/>
          </c:spPr>
          <c:invertIfNegative val="0"/>
          <c:cat>
            <c:strRef>
              <c:f>'charts &amp;tables 1&amp;2'!$AF$3:$AG$3</c:f>
              <c:strCache>
                <c:ptCount val="2"/>
                <c:pt idx="0">
                  <c:v>Registered riders</c:v>
                </c:pt>
                <c:pt idx="1">
                  <c:v>Casual Riders</c:v>
                </c:pt>
              </c:strCache>
            </c:strRef>
          </c:cat>
          <c:val>
            <c:numRef>
              <c:f>'charts &amp;tables 1&amp;2'!$AF$6:$AG$6</c:f>
              <c:numCache>
                <c:formatCode>General</c:formatCode>
                <c:ptCount val="2"/>
                <c:pt idx="0">
                  <c:v>14770</c:v>
                </c:pt>
                <c:pt idx="1">
                  <c:v>1253</c:v>
                </c:pt>
              </c:numCache>
            </c:numRef>
          </c:val>
          <c:extLst>
            <c:ext xmlns:c16="http://schemas.microsoft.com/office/drawing/2014/chart" uri="{C3380CC4-5D6E-409C-BE32-E72D297353CC}">
              <c16:uniqueId val="{00000002-DF70-44D9-BCA1-BCFDF93F8955}"/>
            </c:ext>
          </c:extLst>
        </c:ser>
        <c:ser>
          <c:idx val="3"/>
          <c:order val="3"/>
          <c:tx>
            <c:strRef>
              <c:f>'charts &amp;tables 1&amp;2'!$AE$7</c:f>
              <c:strCache>
                <c:ptCount val="1"/>
                <c:pt idx="0">
                  <c:v>0.3 - 0.38</c:v>
                </c:pt>
              </c:strCache>
            </c:strRef>
          </c:tx>
          <c:spPr>
            <a:solidFill>
              <a:schemeClr val="accent4"/>
            </a:solidFill>
            <a:ln>
              <a:noFill/>
            </a:ln>
            <a:effectLst/>
          </c:spPr>
          <c:invertIfNegative val="0"/>
          <c:cat>
            <c:strRef>
              <c:f>'charts &amp;tables 1&amp;2'!$AF$3:$AG$3</c:f>
              <c:strCache>
                <c:ptCount val="2"/>
                <c:pt idx="0">
                  <c:v>Registered riders</c:v>
                </c:pt>
                <c:pt idx="1">
                  <c:v>Casual Riders</c:v>
                </c:pt>
              </c:strCache>
            </c:strRef>
          </c:cat>
          <c:val>
            <c:numRef>
              <c:f>'charts &amp;tables 1&amp;2'!$AF$7:$AG$7</c:f>
              <c:numCache>
                <c:formatCode>General</c:formatCode>
                <c:ptCount val="2"/>
                <c:pt idx="0">
                  <c:v>3503</c:v>
                </c:pt>
                <c:pt idx="1">
                  <c:v>495</c:v>
                </c:pt>
              </c:numCache>
            </c:numRef>
          </c:val>
          <c:extLst>
            <c:ext xmlns:c16="http://schemas.microsoft.com/office/drawing/2014/chart" uri="{C3380CC4-5D6E-409C-BE32-E72D297353CC}">
              <c16:uniqueId val="{00000003-DF70-44D9-BCA1-BCFDF93F8955}"/>
            </c:ext>
          </c:extLst>
        </c:ser>
        <c:ser>
          <c:idx val="4"/>
          <c:order val="4"/>
          <c:tx>
            <c:strRef>
              <c:f>'charts &amp;tables 1&amp;2'!$AE$8</c:f>
              <c:strCache>
                <c:ptCount val="1"/>
                <c:pt idx="0">
                  <c:v>0.4 - 0.46</c:v>
                </c:pt>
              </c:strCache>
            </c:strRef>
          </c:tx>
          <c:spPr>
            <a:solidFill>
              <a:schemeClr val="accent5"/>
            </a:solidFill>
            <a:ln>
              <a:noFill/>
            </a:ln>
            <a:effectLst/>
          </c:spPr>
          <c:invertIfNegative val="0"/>
          <c:cat>
            <c:strRef>
              <c:f>'charts &amp;tables 1&amp;2'!$AF$3:$AG$3</c:f>
              <c:strCache>
                <c:ptCount val="2"/>
                <c:pt idx="0">
                  <c:v>Registered riders</c:v>
                </c:pt>
                <c:pt idx="1">
                  <c:v>Casual Riders</c:v>
                </c:pt>
              </c:strCache>
            </c:strRef>
          </c:cat>
          <c:val>
            <c:numRef>
              <c:f>'charts &amp;tables 1&amp;2'!$AF$8:$AG$8</c:f>
              <c:numCache>
                <c:formatCode>General</c:formatCode>
                <c:ptCount val="2"/>
                <c:pt idx="0">
                  <c:v>767</c:v>
                </c:pt>
                <c:pt idx="1">
                  <c:v>294</c:v>
                </c:pt>
              </c:numCache>
            </c:numRef>
          </c:val>
          <c:extLst>
            <c:ext xmlns:c16="http://schemas.microsoft.com/office/drawing/2014/chart" uri="{C3380CC4-5D6E-409C-BE32-E72D297353CC}">
              <c16:uniqueId val="{00000004-DF70-44D9-BCA1-BCFDF93F8955}"/>
            </c:ext>
          </c:extLst>
        </c:ser>
        <c:dLbls>
          <c:showLegendKey val="0"/>
          <c:showVal val="0"/>
          <c:showCatName val="0"/>
          <c:showSerName val="0"/>
          <c:showPercent val="0"/>
          <c:showBubbleSize val="0"/>
        </c:dLbls>
        <c:gapWidth val="219"/>
        <c:overlap val="-27"/>
        <c:axId val="1222240816"/>
        <c:axId val="1222241296"/>
      </c:barChart>
      <c:catAx>
        <c:axId val="1222240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2241296"/>
        <c:crosses val="autoZero"/>
        <c:auto val="1"/>
        <c:lblAlgn val="ctr"/>
        <c:lblOffset val="100"/>
        <c:noMultiLvlLbl val="0"/>
      </c:catAx>
      <c:valAx>
        <c:axId val="12222412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22408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36</xdr:col>
      <xdr:colOff>597946</xdr:colOff>
      <xdr:row>3</xdr:row>
      <xdr:rowOff>2465</xdr:rowOff>
    </xdr:from>
    <xdr:to>
      <xdr:col>42</xdr:col>
      <xdr:colOff>213808</xdr:colOff>
      <xdr:row>17</xdr:row>
      <xdr:rowOff>31824</xdr:rowOff>
    </xdr:to>
    <xdr:graphicFrame macro="">
      <xdr:nvGraphicFramePr>
        <xdr:cNvPr id="2" name="Chart 1">
          <a:extLst>
            <a:ext uri="{FF2B5EF4-FFF2-40B4-BE49-F238E27FC236}">
              <a16:creationId xmlns:a16="http://schemas.microsoft.com/office/drawing/2014/main" id="{50CA8E2B-9469-4449-A1DD-22E491F6AA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605118</xdr:colOff>
      <xdr:row>17</xdr:row>
      <xdr:rowOff>170328</xdr:rowOff>
    </xdr:from>
    <xdr:to>
      <xdr:col>9</xdr:col>
      <xdr:colOff>0</xdr:colOff>
      <xdr:row>34</xdr:row>
      <xdr:rowOff>4481</xdr:rowOff>
    </xdr:to>
    <xdr:graphicFrame macro="">
      <xdr:nvGraphicFramePr>
        <xdr:cNvPr id="3" name="Chart 2">
          <a:extLst>
            <a:ext uri="{FF2B5EF4-FFF2-40B4-BE49-F238E27FC236}">
              <a16:creationId xmlns:a16="http://schemas.microsoft.com/office/drawing/2014/main" id="{02659815-00CA-4E64-B81A-287B23B1EC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9</xdr:col>
      <xdr:colOff>174363</xdr:colOff>
      <xdr:row>18</xdr:row>
      <xdr:rowOff>13448</xdr:rowOff>
    </xdr:from>
    <xdr:ext cx="1834816" cy="2239907"/>
    <mc:AlternateContent xmlns:mc="http://schemas.openxmlformats.org/markup-compatibility/2006" xmlns:a14="http://schemas.microsoft.com/office/drawing/2010/main">
      <mc:Choice Requires="a14">
        <xdr:graphicFrame macro="">
          <xdr:nvGraphicFramePr>
            <xdr:cNvPr id="4" name="weathersit">
              <a:extLst>
                <a:ext uri="{FF2B5EF4-FFF2-40B4-BE49-F238E27FC236}">
                  <a16:creationId xmlns:a16="http://schemas.microsoft.com/office/drawing/2014/main" id="{0C6275EF-2471-4AD8-BA7C-1F79380B1BD8}"/>
                </a:ext>
              </a:extLst>
            </xdr:cNvPr>
            <xdr:cNvGraphicFramePr/>
          </xdr:nvGraphicFramePr>
          <xdr:xfrm>
            <a:off x="0" y="0"/>
            <a:ext cx="0" cy="0"/>
          </xdr:xfrm>
          <a:graphic>
            <a:graphicData uri="http://schemas.microsoft.com/office/drawing/2010/slicer">
              <sle:slicer xmlns:sle="http://schemas.microsoft.com/office/drawing/2010/slicer" name="weathersit"/>
            </a:graphicData>
          </a:graphic>
        </xdr:graphicFrame>
      </mc:Choice>
      <mc:Fallback xmlns="">
        <xdr:sp macro="" textlink="">
          <xdr:nvSpPr>
            <xdr:cNvPr id="0" name=""/>
            <xdr:cNvSpPr>
              <a:spLocks noTextEdit="1"/>
            </xdr:cNvSpPr>
          </xdr:nvSpPr>
          <xdr:spPr>
            <a:xfrm>
              <a:off x="5660763" y="3305288"/>
              <a:ext cx="1834816" cy="22399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twoCellAnchor>
    <xdr:from>
      <xdr:col>16</xdr:col>
      <xdr:colOff>246529</xdr:colOff>
      <xdr:row>13</xdr:row>
      <xdr:rowOff>40341</xdr:rowOff>
    </xdr:from>
    <xdr:to>
      <xdr:col>20</xdr:col>
      <xdr:colOff>573741</xdr:colOff>
      <xdr:row>27</xdr:row>
      <xdr:rowOff>116540</xdr:rowOff>
    </xdr:to>
    <xdr:graphicFrame macro="">
      <xdr:nvGraphicFramePr>
        <xdr:cNvPr id="5" name="Chart 4">
          <a:extLst>
            <a:ext uri="{FF2B5EF4-FFF2-40B4-BE49-F238E27FC236}">
              <a16:creationId xmlns:a16="http://schemas.microsoft.com/office/drawing/2014/main" id="{EFF3E9C9-6F94-4DAE-9922-9F16C432C0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17</xdr:col>
      <xdr:colOff>482750</xdr:colOff>
      <xdr:row>28</xdr:row>
      <xdr:rowOff>86509</xdr:rowOff>
    </xdr:from>
    <xdr:ext cx="1832928" cy="2239909"/>
    <mc:AlternateContent xmlns:mc="http://schemas.openxmlformats.org/markup-compatibility/2006" xmlns:a14="http://schemas.microsoft.com/office/drawing/2010/main">
      <mc:Choice Requires="a14">
        <xdr:graphicFrame macro="">
          <xdr:nvGraphicFramePr>
            <xdr:cNvPr id="6" name="Weekdays 1">
              <a:extLst>
                <a:ext uri="{FF2B5EF4-FFF2-40B4-BE49-F238E27FC236}">
                  <a16:creationId xmlns:a16="http://schemas.microsoft.com/office/drawing/2014/main" id="{699AF7DD-1C4F-4E78-A189-3799D20F6714}"/>
                </a:ext>
              </a:extLst>
            </xdr:cNvPr>
            <xdr:cNvGraphicFramePr/>
          </xdr:nvGraphicFramePr>
          <xdr:xfrm>
            <a:off x="0" y="0"/>
            <a:ext cx="0" cy="0"/>
          </xdr:xfrm>
          <a:graphic>
            <a:graphicData uri="http://schemas.microsoft.com/office/drawing/2010/slicer">
              <sle:slicer xmlns:sle="http://schemas.microsoft.com/office/drawing/2010/slicer" name="Weekdays 1"/>
            </a:graphicData>
          </a:graphic>
        </xdr:graphicFrame>
      </mc:Choice>
      <mc:Fallback xmlns="">
        <xdr:sp macro="" textlink="">
          <xdr:nvSpPr>
            <xdr:cNvPr id="0" name=""/>
            <xdr:cNvSpPr>
              <a:spLocks noTextEdit="1"/>
            </xdr:cNvSpPr>
          </xdr:nvSpPr>
          <xdr:spPr>
            <a:xfrm>
              <a:off x="10845950" y="5207149"/>
              <a:ext cx="1832928" cy="223990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twoCellAnchor>
    <xdr:from>
      <xdr:col>30</xdr:col>
      <xdr:colOff>13447</xdr:colOff>
      <xdr:row>10</xdr:row>
      <xdr:rowOff>1</xdr:rowOff>
    </xdr:from>
    <xdr:to>
      <xdr:col>34</xdr:col>
      <xdr:colOff>89646</xdr:colOff>
      <xdr:row>23</xdr:row>
      <xdr:rowOff>103095</xdr:rowOff>
    </xdr:to>
    <xdr:graphicFrame macro="">
      <xdr:nvGraphicFramePr>
        <xdr:cNvPr id="7" name="Chart 6">
          <a:extLst>
            <a:ext uri="{FF2B5EF4-FFF2-40B4-BE49-F238E27FC236}">
              <a16:creationId xmlns:a16="http://schemas.microsoft.com/office/drawing/2014/main" id="{D109EECC-8456-4A1E-BC88-14FFB9181F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34</xdr:col>
      <xdr:colOff>299421</xdr:colOff>
      <xdr:row>9</xdr:row>
      <xdr:rowOff>167192</xdr:rowOff>
    </xdr:from>
    <xdr:ext cx="1836350" cy="2240027"/>
    <mc:AlternateContent xmlns:mc="http://schemas.openxmlformats.org/markup-compatibility/2006" xmlns:a14="http://schemas.microsoft.com/office/drawing/2010/main">
      <mc:Choice Requires="a14">
        <xdr:graphicFrame macro="">
          <xdr:nvGraphicFramePr>
            <xdr:cNvPr id="8" name="temp">
              <a:extLst>
                <a:ext uri="{FF2B5EF4-FFF2-40B4-BE49-F238E27FC236}">
                  <a16:creationId xmlns:a16="http://schemas.microsoft.com/office/drawing/2014/main" id="{EA6BEE8F-70FC-445B-AC8D-A5C275819157}"/>
                </a:ext>
              </a:extLst>
            </xdr:cNvPr>
            <xdr:cNvGraphicFramePr/>
          </xdr:nvGraphicFramePr>
          <xdr:xfrm>
            <a:off x="0" y="0"/>
            <a:ext cx="0" cy="0"/>
          </xdr:xfrm>
          <a:graphic>
            <a:graphicData uri="http://schemas.microsoft.com/office/drawing/2010/slicer">
              <sle:slicer xmlns:sle="http://schemas.microsoft.com/office/drawing/2010/slicer" name="temp"/>
            </a:graphicData>
          </a:graphic>
        </xdr:graphicFrame>
      </mc:Choice>
      <mc:Fallback xmlns="">
        <xdr:sp macro="" textlink="">
          <xdr:nvSpPr>
            <xdr:cNvPr id="0" name=""/>
            <xdr:cNvSpPr>
              <a:spLocks noTextEdit="1"/>
            </xdr:cNvSpPr>
          </xdr:nvSpPr>
          <xdr:spPr>
            <a:xfrm>
              <a:off x="21025821" y="1813112"/>
              <a:ext cx="1836350" cy="224002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wsDr>
</file>

<file path=xl/pivotCache/_rels/pivotCacheDefinition1.xml.rels><?xml version="1.0" encoding="UTF-8" standalone="yes"?>
<Relationships xmlns="http://schemas.openxmlformats.org/package/2006/relationships"><Relationship Id="rId2" Type="http://schemas.microsoft.com/office/2006/relationships/xlExternalLinkPath/xlPathMissing" Target="Merged%20data%20set%201%5e02.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microsoft.com/office/2006/relationships/xlExternalLinkPath/xlPathMissing" Target="Merged%20data%20set%201%5e02.xlsx" TargetMode="External"/><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2" Type="http://schemas.microsoft.com/office/2006/relationships/xlExternalLinkPath/xlPathMissing" Target="Merged%20data%20set%201%5e02.xlsx" TargetMode="External"/><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tasha D'Souza" refreshedDate="45944.777515972222" createdVersion="8" refreshedVersion="8" minRefreshableVersion="3" recordCount="610" xr:uid="{220A35E8-EB83-4336-AC84-288CA55ED646}">
  <cacheSource type="worksheet">
    <worksheetSource ref="N2:P612" sheet="Sheet2" r:id="rId2"/>
  </cacheSource>
  <cacheFields count="3">
    <cacheField name="Weekdays" numFmtId="0">
      <sharedItems count="7">
        <s v="Saturday"/>
        <s v="Sunday"/>
        <s v="Monday"/>
        <s v="Tuesday"/>
        <s v="Wednesday"/>
        <s v="Thursday"/>
        <s v="Friday"/>
      </sharedItems>
    </cacheField>
    <cacheField name="casual" numFmtId="0">
      <sharedItems containsSemiMixedTypes="0" containsString="0" containsNumber="1" containsInteger="1" minValue="0" maxValue="47" count="32">
        <n v="3"/>
        <n v="8"/>
        <n v="5"/>
        <n v="0"/>
        <n v="2"/>
        <n v="1"/>
        <n v="12"/>
        <n v="26"/>
        <n v="29"/>
        <n v="47"/>
        <n v="35"/>
        <n v="40"/>
        <n v="41"/>
        <n v="15"/>
        <n v="9"/>
        <n v="6"/>
        <n v="11"/>
        <n v="4"/>
        <n v="7"/>
        <n v="16"/>
        <n v="20"/>
        <n v="19"/>
        <n v="10"/>
        <n v="13"/>
        <n v="14"/>
        <n v="18"/>
        <n v="17"/>
        <n v="21"/>
        <n v="33"/>
        <n v="23"/>
        <n v="22"/>
        <n v="24"/>
      </sharedItems>
    </cacheField>
    <cacheField name="registered" numFmtId="0">
      <sharedItems containsSemiMixedTypes="0" containsString="0" containsNumber="1" containsInteger="1" minValue="0" maxValue="247" count="150">
        <n v="13"/>
        <n v="32"/>
        <n v="27"/>
        <n v="10"/>
        <n v="1"/>
        <n v="0"/>
        <n v="2"/>
        <n v="7"/>
        <n v="6"/>
        <n v="24"/>
        <n v="30"/>
        <n v="55"/>
        <n v="47"/>
        <n v="71"/>
        <n v="70"/>
        <n v="52"/>
        <n v="26"/>
        <n v="31"/>
        <n v="25"/>
        <n v="17"/>
        <n v="16"/>
        <n v="8"/>
        <n v="4"/>
        <n v="19"/>
        <n v="46"/>
        <n v="54"/>
        <n v="73"/>
        <n v="64"/>
        <n v="67"/>
        <n v="58"/>
        <n v="43"/>
        <n v="29"/>
        <n v="20"/>
        <n v="9"/>
        <n v="5"/>
        <n v="3"/>
        <n v="63"/>
        <n v="153"/>
        <n v="81"/>
        <n v="33"/>
        <n v="41"/>
        <n v="48"/>
        <n v="53"/>
        <n v="66"/>
        <n v="146"/>
        <n v="148"/>
        <n v="102"/>
        <n v="49"/>
        <n v="11"/>
        <n v="36"/>
        <n v="92"/>
        <n v="177"/>
        <n v="98"/>
        <n v="37"/>
        <n v="50"/>
        <n v="79"/>
        <n v="68"/>
        <n v="202"/>
        <n v="179"/>
        <n v="110"/>
        <n v="34"/>
        <n v="87"/>
        <n v="192"/>
        <n v="109"/>
        <n v="74"/>
        <n v="65"/>
        <n v="85"/>
        <n v="186"/>
        <n v="166"/>
        <n v="127"/>
        <n v="82"/>
        <n v="40"/>
        <n v="18"/>
        <n v="95"/>
        <n v="216"/>
        <n v="116"/>
        <n v="42"/>
        <n v="57"/>
        <n v="78"/>
        <n v="59"/>
        <n v="163"/>
        <n v="158"/>
        <n v="51"/>
        <n v="76"/>
        <n v="190"/>
        <n v="125"/>
        <n v="178"/>
        <n v="39"/>
        <n v="14"/>
        <n v="15"/>
        <n v="56"/>
        <n v="60"/>
        <n v="90"/>
        <n v="83"/>
        <n v="69"/>
        <n v="28"/>
        <n v="35"/>
        <n v="22"/>
        <n v="12"/>
        <n v="77"/>
        <n v="44"/>
        <n v="38"/>
        <n v="75"/>
        <n v="184"/>
        <n v="174"/>
        <n v="154"/>
        <n v="97"/>
        <n v="214"/>
        <n v="45"/>
        <n v="72"/>
        <n v="130"/>
        <n v="94"/>
        <n v="139"/>
        <n v="135"/>
        <n v="197"/>
        <n v="137"/>
        <n v="141"/>
        <n v="156"/>
        <n v="117"/>
        <n v="155"/>
        <n v="134"/>
        <n v="89"/>
        <n v="80"/>
        <n v="108"/>
        <n v="61"/>
        <n v="124"/>
        <n v="132"/>
        <n v="196"/>
        <n v="107"/>
        <n v="100"/>
        <n v="247"/>
        <n v="140"/>
        <n v="86"/>
        <n v="62"/>
        <n v="207"/>
        <n v="210"/>
        <n v="159"/>
        <n v="151"/>
        <n v="119"/>
        <n v="93"/>
        <n v="23"/>
        <n v="171"/>
        <n v="145"/>
        <n v="101"/>
        <n v="21"/>
        <n v="103"/>
        <n v="233"/>
        <n v="208"/>
        <n v="218"/>
        <n v="133"/>
      </sharedItems>
    </cacheField>
  </cacheFields>
  <extLst>
    <ext xmlns:x14="http://schemas.microsoft.com/office/spreadsheetml/2009/9/main" uri="{725AE2AE-9491-48be-B2B4-4EB974FC3084}">
      <x14:pivotCacheDefinition pivotCacheId="145410941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tasha D'Souza" refreshedDate="45944.783277083334" createdVersion="8" refreshedVersion="8" minRefreshableVersion="3" recordCount="610" xr:uid="{32F9FC83-5C5B-4A44-BD3A-0E36DA3A11A8}">
  <cacheSource type="worksheet">
    <worksheetSource ref="V2:X612" sheet="Sheet2" r:id="rId2"/>
  </cacheSource>
  <cacheFields count="3">
    <cacheField name="temp" numFmtId="0">
      <sharedItems containsSemiMixedTypes="0" containsString="0" containsNumber="1" minValue="0.02" maxValue="0.46" count="23">
        <n v="0.24"/>
        <n v="0.22"/>
        <n v="0.2"/>
        <n v="0.32"/>
        <n v="0.38"/>
        <n v="0.36"/>
        <n v="0.42"/>
        <n v="0.46"/>
        <n v="0.44"/>
        <n v="0.4"/>
        <n v="0.34"/>
        <n v="0.3"/>
        <n v="0.26"/>
        <n v="0.16"/>
        <n v="0.14000000000000001"/>
        <n v="0.18"/>
        <n v="0.12"/>
        <n v="0.28000000000000003"/>
        <n v="0.1"/>
        <n v="0.08"/>
        <n v="0.06"/>
        <n v="0.04"/>
        <n v="0.02"/>
      </sharedItems>
    </cacheField>
    <cacheField name="casual" numFmtId="0">
      <sharedItems containsSemiMixedTypes="0" containsString="0" containsNumber="1" containsInteger="1" minValue="0" maxValue="47" count="32">
        <n v="3"/>
        <n v="8"/>
        <n v="5"/>
        <n v="0"/>
        <n v="2"/>
        <n v="1"/>
        <n v="12"/>
        <n v="26"/>
        <n v="29"/>
        <n v="47"/>
        <n v="35"/>
        <n v="40"/>
        <n v="41"/>
        <n v="15"/>
        <n v="9"/>
        <n v="6"/>
        <n v="11"/>
        <n v="4"/>
        <n v="7"/>
        <n v="16"/>
        <n v="20"/>
        <n v="19"/>
        <n v="10"/>
        <n v="13"/>
        <n v="14"/>
        <n v="18"/>
        <n v="17"/>
        <n v="21"/>
        <n v="33"/>
        <n v="23"/>
        <n v="22"/>
        <n v="24"/>
      </sharedItems>
    </cacheField>
    <cacheField name="registered" numFmtId="0">
      <sharedItems containsSemiMixedTypes="0" containsString="0" containsNumber="1" containsInteger="1" minValue="0" maxValue="247"/>
    </cacheField>
  </cacheFields>
  <extLst>
    <ext xmlns:x14="http://schemas.microsoft.com/office/spreadsheetml/2009/9/main" uri="{725AE2AE-9491-48be-B2B4-4EB974FC3084}">
      <x14:pivotCacheDefinition pivotCacheId="1084055556"/>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tasha D'Souza" refreshedDate="45944.778824189816" createdVersion="8" refreshedVersion="8" minRefreshableVersion="3" recordCount="610" xr:uid="{5B6EE042-D088-43FD-9C3B-F085DF9E6278}">
  <cacheSource type="worksheet">
    <worksheetSource ref="A1:C611" sheet="Sheet2" r:id="rId2"/>
  </cacheSource>
  <cacheFields count="3">
    <cacheField name="weathersit" numFmtId="0">
      <sharedItems containsSemiMixedTypes="0" containsString="0" containsNumber="1" containsInteger="1" minValue="1" maxValue="4" count="4">
        <n v="1"/>
        <n v="2"/>
        <n v="3"/>
        <n v="4"/>
      </sharedItems>
    </cacheField>
    <cacheField name="casual" numFmtId="0">
      <sharedItems containsSemiMixedTypes="0" containsString="0" containsNumber="1" containsInteger="1" minValue="0" maxValue="47" count="32">
        <n v="3"/>
        <n v="8"/>
        <n v="5"/>
        <n v="0"/>
        <n v="2"/>
        <n v="1"/>
        <n v="12"/>
        <n v="26"/>
        <n v="29"/>
        <n v="47"/>
        <n v="35"/>
        <n v="40"/>
        <n v="41"/>
        <n v="15"/>
        <n v="9"/>
        <n v="6"/>
        <n v="11"/>
        <n v="4"/>
        <n v="7"/>
        <n v="16"/>
        <n v="20"/>
        <n v="19"/>
        <n v="10"/>
        <n v="13"/>
        <n v="14"/>
        <n v="18"/>
        <n v="17"/>
        <n v="21"/>
        <n v="33"/>
        <n v="23"/>
        <n v="22"/>
        <n v="24"/>
      </sharedItems>
    </cacheField>
    <cacheField name="registered" numFmtId="0">
      <sharedItems containsSemiMixedTypes="0" containsString="0" containsNumber="1" containsInteger="1" minValue="0" maxValue="247" count="150">
        <n v="13"/>
        <n v="32"/>
        <n v="27"/>
        <n v="10"/>
        <n v="1"/>
        <n v="0"/>
        <n v="2"/>
        <n v="7"/>
        <n v="6"/>
        <n v="24"/>
        <n v="30"/>
        <n v="55"/>
        <n v="47"/>
        <n v="71"/>
        <n v="70"/>
        <n v="52"/>
        <n v="26"/>
        <n v="31"/>
        <n v="25"/>
        <n v="17"/>
        <n v="16"/>
        <n v="8"/>
        <n v="4"/>
        <n v="19"/>
        <n v="46"/>
        <n v="54"/>
        <n v="73"/>
        <n v="64"/>
        <n v="67"/>
        <n v="58"/>
        <n v="43"/>
        <n v="29"/>
        <n v="20"/>
        <n v="9"/>
        <n v="5"/>
        <n v="3"/>
        <n v="63"/>
        <n v="153"/>
        <n v="81"/>
        <n v="33"/>
        <n v="41"/>
        <n v="48"/>
        <n v="53"/>
        <n v="66"/>
        <n v="146"/>
        <n v="148"/>
        <n v="102"/>
        <n v="49"/>
        <n v="11"/>
        <n v="36"/>
        <n v="92"/>
        <n v="177"/>
        <n v="98"/>
        <n v="37"/>
        <n v="50"/>
        <n v="79"/>
        <n v="68"/>
        <n v="202"/>
        <n v="179"/>
        <n v="110"/>
        <n v="34"/>
        <n v="87"/>
        <n v="192"/>
        <n v="109"/>
        <n v="74"/>
        <n v="65"/>
        <n v="85"/>
        <n v="186"/>
        <n v="166"/>
        <n v="127"/>
        <n v="82"/>
        <n v="40"/>
        <n v="18"/>
        <n v="95"/>
        <n v="216"/>
        <n v="116"/>
        <n v="42"/>
        <n v="57"/>
        <n v="78"/>
        <n v="59"/>
        <n v="163"/>
        <n v="158"/>
        <n v="51"/>
        <n v="76"/>
        <n v="190"/>
        <n v="125"/>
        <n v="178"/>
        <n v="39"/>
        <n v="14"/>
        <n v="15"/>
        <n v="56"/>
        <n v="60"/>
        <n v="90"/>
        <n v="83"/>
        <n v="69"/>
        <n v="28"/>
        <n v="35"/>
        <n v="22"/>
        <n v="12"/>
        <n v="77"/>
        <n v="44"/>
        <n v="38"/>
        <n v="75"/>
        <n v="184"/>
        <n v="174"/>
        <n v="154"/>
        <n v="97"/>
        <n v="214"/>
        <n v="45"/>
        <n v="72"/>
        <n v="130"/>
        <n v="94"/>
        <n v="139"/>
        <n v="135"/>
        <n v="197"/>
        <n v="137"/>
        <n v="141"/>
        <n v="156"/>
        <n v="117"/>
        <n v="155"/>
        <n v="134"/>
        <n v="89"/>
        <n v="80"/>
        <n v="108"/>
        <n v="61"/>
        <n v="124"/>
        <n v="132"/>
        <n v="196"/>
        <n v="107"/>
        <n v="100"/>
        <n v="247"/>
        <n v="140"/>
        <n v="86"/>
        <n v="62"/>
        <n v="207"/>
        <n v="210"/>
        <n v="159"/>
        <n v="151"/>
        <n v="119"/>
        <n v="93"/>
        <n v="23"/>
        <n v="171"/>
        <n v="145"/>
        <n v="101"/>
        <n v="21"/>
        <n v="103"/>
        <n v="233"/>
        <n v="208"/>
        <n v="218"/>
        <n v="133"/>
      </sharedItems>
    </cacheField>
  </cacheFields>
  <extLst>
    <ext xmlns:x14="http://schemas.microsoft.com/office/spreadsheetml/2009/9/main" uri="{725AE2AE-9491-48be-B2B4-4EB974FC3084}">
      <x14:pivotCacheDefinition pivotCacheId="39076384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10">
  <r>
    <x v="0"/>
    <x v="0"/>
    <x v="0"/>
  </r>
  <r>
    <x v="0"/>
    <x v="1"/>
    <x v="1"/>
  </r>
  <r>
    <x v="0"/>
    <x v="2"/>
    <x v="2"/>
  </r>
  <r>
    <x v="0"/>
    <x v="0"/>
    <x v="3"/>
  </r>
  <r>
    <x v="0"/>
    <x v="3"/>
    <x v="4"/>
  </r>
  <r>
    <x v="0"/>
    <x v="3"/>
    <x v="4"/>
  </r>
  <r>
    <x v="0"/>
    <x v="4"/>
    <x v="5"/>
  </r>
  <r>
    <x v="0"/>
    <x v="5"/>
    <x v="6"/>
  </r>
  <r>
    <x v="0"/>
    <x v="5"/>
    <x v="7"/>
  </r>
  <r>
    <x v="0"/>
    <x v="1"/>
    <x v="8"/>
  </r>
  <r>
    <x v="0"/>
    <x v="6"/>
    <x v="9"/>
  </r>
  <r>
    <x v="0"/>
    <x v="7"/>
    <x v="10"/>
  </r>
  <r>
    <x v="0"/>
    <x v="8"/>
    <x v="11"/>
  </r>
  <r>
    <x v="0"/>
    <x v="9"/>
    <x v="12"/>
  </r>
  <r>
    <x v="0"/>
    <x v="10"/>
    <x v="13"/>
  </r>
  <r>
    <x v="0"/>
    <x v="11"/>
    <x v="14"/>
  </r>
  <r>
    <x v="0"/>
    <x v="12"/>
    <x v="15"/>
  </r>
  <r>
    <x v="0"/>
    <x v="13"/>
    <x v="15"/>
  </r>
  <r>
    <x v="0"/>
    <x v="14"/>
    <x v="16"/>
  </r>
  <r>
    <x v="0"/>
    <x v="15"/>
    <x v="17"/>
  </r>
  <r>
    <x v="0"/>
    <x v="16"/>
    <x v="18"/>
  </r>
  <r>
    <x v="0"/>
    <x v="0"/>
    <x v="17"/>
  </r>
  <r>
    <x v="0"/>
    <x v="16"/>
    <x v="19"/>
  </r>
  <r>
    <x v="0"/>
    <x v="13"/>
    <x v="9"/>
  </r>
  <r>
    <x v="1"/>
    <x v="17"/>
    <x v="0"/>
  </r>
  <r>
    <x v="1"/>
    <x v="5"/>
    <x v="20"/>
  </r>
  <r>
    <x v="1"/>
    <x v="5"/>
    <x v="21"/>
  </r>
  <r>
    <x v="1"/>
    <x v="4"/>
    <x v="22"/>
  </r>
  <r>
    <x v="1"/>
    <x v="4"/>
    <x v="4"/>
  </r>
  <r>
    <x v="1"/>
    <x v="3"/>
    <x v="6"/>
  </r>
  <r>
    <x v="1"/>
    <x v="3"/>
    <x v="4"/>
  </r>
  <r>
    <x v="1"/>
    <x v="3"/>
    <x v="21"/>
  </r>
  <r>
    <x v="1"/>
    <x v="5"/>
    <x v="23"/>
  </r>
  <r>
    <x v="1"/>
    <x v="18"/>
    <x v="24"/>
  </r>
  <r>
    <x v="1"/>
    <x v="19"/>
    <x v="25"/>
  </r>
  <r>
    <x v="1"/>
    <x v="20"/>
    <x v="26"/>
  </r>
  <r>
    <x v="1"/>
    <x v="16"/>
    <x v="27"/>
  </r>
  <r>
    <x v="1"/>
    <x v="17"/>
    <x v="11"/>
  </r>
  <r>
    <x v="1"/>
    <x v="21"/>
    <x v="11"/>
  </r>
  <r>
    <x v="1"/>
    <x v="14"/>
    <x v="28"/>
  </r>
  <r>
    <x v="1"/>
    <x v="18"/>
    <x v="29"/>
  </r>
  <r>
    <x v="1"/>
    <x v="22"/>
    <x v="30"/>
  </r>
  <r>
    <x v="1"/>
    <x v="5"/>
    <x v="31"/>
  </r>
  <r>
    <x v="1"/>
    <x v="2"/>
    <x v="19"/>
  </r>
  <r>
    <x v="1"/>
    <x v="16"/>
    <x v="32"/>
  </r>
  <r>
    <x v="1"/>
    <x v="3"/>
    <x v="33"/>
  </r>
  <r>
    <x v="1"/>
    <x v="3"/>
    <x v="21"/>
  </r>
  <r>
    <x v="2"/>
    <x v="3"/>
    <x v="34"/>
  </r>
  <r>
    <x v="2"/>
    <x v="3"/>
    <x v="6"/>
  </r>
  <r>
    <x v="2"/>
    <x v="3"/>
    <x v="4"/>
  </r>
  <r>
    <x v="2"/>
    <x v="3"/>
    <x v="35"/>
  </r>
  <r>
    <x v="2"/>
    <x v="3"/>
    <x v="10"/>
  </r>
  <r>
    <x v="2"/>
    <x v="5"/>
    <x v="36"/>
  </r>
  <r>
    <x v="2"/>
    <x v="5"/>
    <x v="37"/>
  </r>
  <r>
    <x v="2"/>
    <x v="18"/>
    <x v="38"/>
  </r>
  <r>
    <x v="2"/>
    <x v="16"/>
    <x v="39"/>
  </r>
  <r>
    <x v="2"/>
    <x v="22"/>
    <x v="40"/>
  </r>
  <r>
    <x v="2"/>
    <x v="23"/>
    <x v="41"/>
  </r>
  <r>
    <x v="2"/>
    <x v="1"/>
    <x v="42"/>
  </r>
  <r>
    <x v="2"/>
    <x v="16"/>
    <x v="43"/>
  </r>
  <r>
    <x v="2"/>
    <x v="24"/>
    <x v="29"/>
  </r>
  <r>
    <x v="2"/>
    <x v="14"/>
    <x v="28"/>
  </r>
  <r>
    <x v="2"/>
    <x v="16"/>
    <x v="44"/>
  </r>
  <r>
    <x v="2"/>
    <x v="14"/>
    <x v="45"/>
  </r>
  <r>
    <x v="2"/>
    <x v="1"/>
    <x v="46"/>
  </r>
  <r>
    <x v="2"/>
    <x v="0"/>
    <x v="47"/>
  </r>
  <r>
    <x v="2"/>
    <x v="0"/>
    <x v="47"/>
  </r>
  <r>
    <x v="2"/>
    <x v="3"/>
    <x v="32"/>
  </r>
  <r>
    <x v="2"/>
    <x v="5"/>
    <x v="48"/>
  </r>
  <r>
    <x v="3"/>
    <x v="3"/>
    <x v="34"/>
  </r>
  <r>
    <x v="3"/>
    <x v="3"/>
    <x v="6"/>
  </r>
  <r>
    <x v="3"/>
    <x v="3"/>
    <x v="4"/>
  </r>
  <r>
    <x v="3"/>
    <x v="3"/>
    <x v="6"/>
  </r>
  <r>
    <x v="3"/>
    <x v="3"/>
    <x v="22"/>
  </r>
  <r>
    <x v="3"/>
    <x v="3"/>
    <x v="49"/>
  </r>
  <r>
    <x v="3"/>
    <x v="4"/>
    <x v="50"/>
  </r>
  <r>
    <x v="3"/>
    <x v="4"/>
    <x v="51"/>
  </r>
  <r>
    <x v="3"/>
    <x v="4"/>
    <x v="52"/>
  </r>
  <r>
    <x v="3"/>
    <x v="2"/>
    <x v="53"/>
  </r>
  <r>
    <x v="3"/>
    <x v="18"/>
    <x v="54"/>
  </r>
  <r>
    <x v="3"/>
    <x v="6"/>
    <x v="43"/>
  </r>
  <r>
    <x v="3"/>
    <x v="25"/>
    <x v="55"/>
  </r>
  <r>
    <x v="3"/>
    <x v="14"/>
    <x v="25"/>
  </r>
  <r>
    <x v="3"/>
    <x v="26"/>
    <x v="41"/>
  </r>
  <r>
    <x v="3"/>
    <x v="13"/>
    <x v="56"/>
  </r>
  <r>
    <x v="3"/>
    <x v="22"/>
    <x v="57"/>
  </r>
  <r>
    <x v="3"/>
    <x v="0"/>
    <x v="58"/>
  </r>
  <r>
    <x v="3"/>
    <x v="4"/>
    <x v="59"/>
  </r>
  <r>
    <x v="3"/>
    <x v="5"/>
    <x v="42"/>
  </r>
  <r>
    <x v="3"/>
    <x v="3"/>
    <x v="41"/>
  </r>
  <r>
    <x v="3"/>
    <x v="5"/>
    <x v="60"/>
  </r>
  <r>
    <x v="3"/>
    <x v="4"/>
    <x v="33"/>
  </r>
  <r>
    <x v="4"/>
    <x v="3"/>
    <x v="8"/>
  </r>
  <r>
    <x v="4"/>
    <x v="3"/>
    <x v="8"/>
  </r>
  <r>
    <x v="4"/>
    <x v="3"/>
    <x v="6"/>
  </r>
  <r>
    <x v="4"/>
    <x v="3"/>
    <x v="6"/>
  </r>
  <r>
    <x v="4"/>
    <x v="3"/>
    <x v="35"/>
  </r>
  <r>
    <x v="4"/>
    <x v="3"/>
    <x v="39"/>
  </r>
  <r>
    <x v="4"/>
    <x v="5"/>
    <x v="61"/>
  </r>
  <r>
    <x v="4"/>
    <x v="0"/>
    <x v="62"/>
  </r>
  <r>
    <x v="4"/>
    <x v="15"/>
    <x v="63"/>
  </r>
  <r>
    <x v="4"/>
    <x v="17"/>
    <x v="42"/>
  </r>
  <r>
    <x v="4"/>
    <x v="6"/>
    <x v="60"/>
  </r>
  <r>
    <x v="4"/>
    <x v="2"/>
    <x v="64"/>
  </r>
  <r>
    <x v="4"/>
    <x v="15"/>
    <x v="65"/>
  </r>
  <r>
    <x v="4"/>
    <x v="22"/>
    <x v="15"/>
  </r>
  <r>
    <x v="4"/>
    <x v="18"/>
    <x v="11"/>
  </r>
  <r>
    <x v="4"/>
    <x v="17"/>
    <x v="66"/>
  </r>
  <r>
    <x v="4"/>
    <x v="17"/>
    <x v="67"/>
  </r>
  <r>
    <x v="4"/>
    <x v="0"/>
    <x v="68"/>
  </r>
  <r>
    <x v="4"/>
    <x v="2"/>
    <x v="69"/>
  </r>
  <r>
    <x v="4"/>
    <x v="18"/>
    <x v="70"/>
  </r>
  <r>
    <x v="4"/>
    <x v="0"/>
    <x v="71"/>
  </r>
  <r>
    <x v="4"/>
    <x v="5"/>
    <x v="40"/>
  </r>
  <r>
    <x v="4"/>
    <x v="5"/>
    <x v="72"/>
  </r>
  <r>
    <x v="5"/>
    <x v="3"/>
    <x v="48"/>
  </r>
  <r>
    <x v="5"/>
    <x v="3"/>
    <x v="22"/>
  </r>
  <r>
    <x v="5"/>
    <x v="3"/>
    <x v="6"/>
  </r>
  <r>
    <x v="5"/>
    <x v="3"/>
    <x v="4"/>
  </r>
  <r>
    <x v="5"/>
    <x v="3"/>
    <x v="22"/>
  </r>
  <r>
    <x v="5"/>
    <x v="3"/>
    <x v="49"/>
  </r>
  <r>
    <x v="5"/>
    <x v="3"/>
    <x v="73"/>
  </r>
  <r>
    <x v="5"/>
    <x v="0"/>
    <x v="74"/>
  </r>
  <r>
    <x v="5"/>
    <x v="15"/>
    <x v="75"/>
  </r>
  <r>
    <x v="5"/>
    <x v="0"/>
    <x v="76"/>
  </r>
  <r>
    <x v="5"/>
    <x v="4"/>
    <x v="77"/>
  </r>
  <r>
    <x v="5"/>
    <x v="15"/>
    <x v="78"/>
  </r>
  <r>
    <x v="5"/>
    <x v="6"/>
    <x v="11"/>
  </r>
  <r>
    <x v="5"/>
    <x v="16"/>
    <x v="79"/>
  </r>
  <r>
    <x v="5"/>
    <x v="1"/>
    <x v="25"/>
  </r>
  <r>
    <x v="5"/>
    <x v="6"/>
    <x v="64"/>
  </r>
  <r>
    <x v="5"/>
    <x v="14"/>
    <x v="80"/>
  </r>
  <r>
    <x v="5"/>
    <x v="2"/>
    <x v="81"/>
  </r>
  <r>
    <x v="5"/>
    <x v="0"/>
    <x v="63"/>
  </r>
  <r>
    <x v="5"/>
    <x v="0"/>
    <x v="43"/>
  </r>
  <r>
    <x v="5"/>
    <x v="3"/>
    <x v="41"/>
  </r>
  <r>
    <x v="5"/>
    <x v="5"/>
    <x v="82"/>
  </r>
  <r>
    <x v="5"/>
    <x v="17"/>
    <x v="23"/>
  </r>
  <r>
    <x v="6"/>
    <x v="17"/>
    <x v="0"/>
  </r>
  <r>
    <x v="6"/>
    <x v="4"/>
    <x v="34"/>
  </r>
  <r>
    <x v="6"/>
    <x v="3"/>
    <x v="4"/>
  </r>
  <r>
    <x v="6"/>
    <x v="3"/>
    <x v="4"/>
  </r>
  <r>
    <x v="6"/>
    <x v="3"/>
    <x v="34"/>
  </r>
  <r>
    <x v="6"/>
    <x v="1"/>
    <x v="16"/>
  </r>
  <r>
    <x v="6"/>
    <x v="1"/>
    <x v="83"/>
  </r>
  <r>
    <x v="6"/>
    <x v="20"/>
    <x v="84"/>
  </r>
  <r>
    <x v="6"/>
    <x v="14"/>
    <x v="85"/>
  </r>
  <r>
    <x v="6"/>
    <x v="19"/>
    <x v="12"/>
  </r>
  <r>
    <x v="6"/>
    <x v="21"/>
    <x v="41"/>
  </r>
  <r>
    <x v="6"/>
    <x v="14"/>
    <x v="54"/>
  </r>
  <r>
    <x v="6"/>
    <x v="14"/>
    <x v="27"/>
  </r>
  <r>
    <x v="6"/>
    <x v="18"/>
    <x v="30"/>
  </r>
  <r>
    <x v="6"/>
    <x v="14"/>
    <x v="36"/>
  </r>
  <r>
    <x v="6"/>
    <x v="2"/>
    <x v="70"/>
  </r>
  <r>
    <x v="6"/>
    <x v="14"/>
    <x v="86"/>
  </r>
  <r>
    <x v="6"/>
    <x v="18"/>
    <x v="75"/>
  </r>
  <r>
    <x v="6"/>
    <x v="0"/>
    <x v="50"/>
  </r>
  <r>
    <x v="6"/>
    <x v="5"/>
    <x v="54"/>
  </r>
  <r>
    <x v="6"/>
    <x v="3"/>
    <x v="87"/>
  </r>
  <r>
    <x v="6"/>
    <x v="4"/>
    <x v="60"/>
  </r>
  <r>
    <x v="6"/>
    <x v="5"/>
    <x v="88"/>
  </r>
  <r>
    <x v="0"/>
    <x v="5"/>
    <x v="9"/>
  </r>
  <r>
    <x v="0"/>
    <x v="5"/>
    <x v="89"/>
  </r>
  <r>
    <x v="0"/>
    <x v="0"/>
    <x v="0"/>
  </r>
  <r>
    <x v="0"/>
    <x v="3"/>
    <x v="7"/>
  </r>
  <r>
    <x v="0"/>
    <x v="3"/>
    <x v="4"/>
  </r>
  <r>
    <x v="0"/>
    <x v="3"/>
    <x v="34"/>
  </r>
  <r>
    <x v="0"/>
    <x v="3"/>
    <x v="6"/>
  </r>
  <r>
    <x v="0"/>
    <x v="5"/>
    <x v="21"/>
  </r>
  <r>
    <x v="0"/>
    <x v="3"/>
    <x v="89"/>
  </r>
  <r>
    <x v="0"/>
    <x v="3"/>
    <x v="32"/>
  </r>
  <r>
    <x v="0"/>
    <x v="2"/>
    <x v="90"/>
  </r>
  <r>
    <x v="0"/>
    <x v="4"/>
    <x v="91"/>
  </r>
  <r>
    <x v="0"/>
    <x v="1"/>
    <x v="92"/>
  </r>
  <r>
    <x v="0"/>
    <x v="18"/>
    <x v="73"/>
  </r>
  <r>
    <x v="0"/>
    <x v="6"/>
    <x v="93"/>
  </r>
  <r>
    <x v="0"/>
    <x v="2"/>
    <x v="94"/>
  </r>
  <r>
    <x v="0"/>
    <x v="1"/>
    <x v="56"/>
  </r>
  <r>
    <x v="0"/>
    <x v="2"/>
    <x v="27"/>
  </r>
  <r>
    <x v="0"/>
    <x v="0"/>
    <x v="15"/>
  </r>
  <r>
    <x v="0"/>
    <x v="17"/>
    <x v="16"/>
  </r>
  <r>
    <x v="0"/>
    <x v="3"/>
    <x v="95"/>
  </r>
  <r>
    <x v="0"/>
    <x v="4"/>
    <x v="96"/>
  </r>
  <r>
    <x v="0"/>
    <x v="5"/>
    <x v="39"/>
  </r>
  <r>
    <x v="0"/>
    <x v="3"/>
    <x v="97"/>
  </r>
  <r>
    <x v="1"/>
    <x v="5"/>
    <x v="9"/>
  </r>
  <r>
    <x v="1"/>
    <x v="3"/>
    <x v="98"/>
  </r>
  <r>
    <x v="1"/>
    <x v="3"/>
    <x v="48"/>
  </r>
  <r>
    <x v="1"/>
    <x v="3"/>
    <x v="22"/>
  </r>
  <r>
    <x v="1"/>
    <x v="3"/>
    <x v="4"/>
  </r>
  <r>
    <x v="1"/>
    <x v="3"/>
    <x v="4"/>
  </r>
  <r>
    <x v="1"/>
    <x v="3"/>
    <x v="4"/>
  </r>
  <r>
    <x v="1"/>
    <x v="5"/>
    <x v="34"/>
  </r>
  <r>
    <x v="1"/>
    <x v="3"/>
    <x v="3"/>
  </r>
  <r>
    <x v="1"/>
    <x v="3"/>
    <x v="23"/>
  </r>
  <r>
    <x v="1"/>
    <x v="3"/>
    <x v="47"/>
  </r>
  <r>
    <x v="1"/>
    <x v="4"/>
    <x v="12"/>
  </r>
  <r>
    <x v="1"/>
    <x v="17"/>
    <x v="55"/>
  </r>
  <r>
    <x v="1"/>
    <x v="15"/>
    <x v="94"/>
  </r>
  <r>
    <x v="1"/>
    <x v="1"/>
    <x v="27"/>
  </r>
  <r>
    <x v="1"/>
    <x v="2"/>
    <x v="99"/>
  </r>
  <r>
    <x v="1"/>
    <x v="23"/>
    <x v="55"/>
  </r>
  <r>
    <x v="1"/>
    <x v="0"/>
    <x v="79"/>
  </r>
  <r>
    <x v="1"/>
    <x v="17"/>
    <x v="100"/>
  </r>
  <r>
    <x v="1"/>
    <x v="5"/>
    <x v="71"/>
  </r>
  <r>
    <x v="1"/>
    <x v="3"/>
    <x v="101"/>
  </r>
  <r>
    <x v="1"/>
    <x v="5"/>
    <x v="23"/>
  </r>
  <r>
    <x v="1"/>
    <x v="2"/>
    <x v="3"/>
  </r>
  <r>
    <x v="2"/>
    <x v="3"/>
    <x v="8"/>
  </r>
  <r>
    <x v="2"/>
    <x v="4"/>
    <x v="35"/>
  </r>
  <r>
    <x v="2"/>
    <x v="5"/>
    <x v="5"/>
  </r>
  <r>
    <x v="2"/>
    <x v="3"/>
    <x v="35"/>
  </r>
  <r>
    <x v="2"/>
    <x v="3"/>
    <x v="4"/>
  </r>
  <r>
    <x v="2"/>
    <x v="5"/>
    <x v="6"/>
  </r>
  <r>
    <x v="2"/>
    <x v="3"/>
    <x v="35"/>
  </r>
  <r>
    <x v="2"/>
    <x v="3"/>
    <x v="17"/>
  </r>
  <r>
    <x v="2"/>
    <x v="4"/>
    <x v="102"/>
  </r>
  <r>
    <x v="2"/>
    <x v="17"/>
    <x v="103"/>
  </r>
  <r>
    <x v="2"/>
    <x v="4"/>
    <x v="50"/>
  </r>
  <r>
    <x v="2"/>
    <x v="3"/>
    <x v="17"/>
  </r>
  <r>
    <x v="2"/>
    <x v="4"/>
    <x v="95"/>
  </r>
  <r>
    <x v="2"/>
    <x v="2"/>
    <x v="12"/>
  </r>
  <r>
    <x v="2"/>
    <x v="17"/>
    <x v="54"/>
  </r>
  <r>
    <x v="2"/>
    <x v="3"/>
    <x v="12"/>
  </r>
  <r>
    <x v="2"/>
    <x v="4"/>
    <x v="30"/>
  </r>
  <r>
    <x v="2"/>
    <x v="17"/>
    <x v="14"/>
  </r>
  <r>
    <x v="2"/>
    <x v="17"/>
    <x v="104"/>
  </r>
  <r>
    <x v="2"/>
    <x v="5"/>
    <x v="105"/>
  </r>
  <r>
    <x v="2"/>
    <x v="0"/>
    <x v="50"/>
  </r>
  <r>
    <x v="2"/>
    <x v="5"/>
    <x v="26"/>
  </r>
  <r>
    <x v="3"/>
    <x v="5"/>
    <x v="53"/>
  </r>
  <r>
    <x v="3"/>
    <x v="4"/>
    <x v="97"/>
  </r>
  <r>
    <x v="3"/>
    <x v="3"/>
    <x v="72"/>
  </r>
  <r>
    <x v="3"/>
    <x v="4"/>
    <x v="3"/>
  </r>
  <r>
    <x v="3"/>
    <x v="3"/>
    <x v="35"/>
  </r>
  <r>
    <x v="3"/>
    <x v="3"/>
    <x v="35"/>
  </r>
  <r>
    <x v="3"/>
    <x v="3"/>
    <x v="8"/>
  </r>
  <r>
    <x v="3"/>
    <x v="3"/>
    <x v="2"/>
  </r>
  <r>
    <x v="3"/>
    <x v="4"/>
    <x v="106"/>
  </r>
  <r>
    <x v="3"/>
    <x v="0"/>
    <x v="107"/>
  </r>
  <r>
    <x v="3"/>
    <x v="0"/>
    <x v="69"/>
  </r>
  <r>
    <x v="3"/>
    <x v="0"/>
    <x v="82"/>
  </r>
  <r>
    <x v="3"/>
    <x v="17"/>
    <x v="17"/>
  </r>
  <r>
    <x v="3"/>
    <x v="4"/>
    <x v="11"/>
  </r>
  <r>
    <x v="3"/>
    <x v="15"/>
    <x v="24"/>
  </r>
  <r>
    <x v="3"/>
    <x v="0"/>
    <x v="91"/>
  </r>
  <r>
    <x v="3"/>
    <x v="4"/>
    <x v="108"/>
  </r>
  <r>
    <x v="3"/>
    <x v="17"/>
    <x v="109"/>
  </r>
  <r>
    <x v="3"/>
    <x v="15"/>
    <x v="110"/>
  </r>
  <r>
    <x v="3"/>
    <x v="5"/>
    <x v="111"/>
  </r>
  <r>
    <x v="3"/>
    <x v="3"/>
    <x v="82"/>
  </r>
  <r>
    <x v="3"/>
    <x v="3"/>
    <x v="1"/>
  </r>
  <r>
    <x v="3"/>
    <x v="3"/>
    <x v="32"/>
  </r>
  <r>
    <x v="4"/>
    <x v="5"/>
    <x v="95"/>
  </r>
  <r>
    <x v="4"/>
    <x v="5"/>
    <x v="72"/>
  </r>
  <r>
    <x v="4"/>
    <x v="3"/>
    <x v="7"/>
  </r>
  <r>
    <x v="4"/>
    <x v="3"/>
    <x v="8"/>
  </r>
  <r>
    <x v="4"/>
    <x v="3"/>
    <x v="4"/>
  </r>
  <r>
    <x v="4"/>
    <x v="3"/>
    <x v="34"/>
  </r>
  <r>
    <x v="4"/>
    <x v="3"/>
    <x v="20"/>
  </r>
  <r>
    <x v="4"/>
    <x v="3"/>
    <x v="25"/>
  </r>
  <r>
    <x v="4"/>
    <x v="0"/>
    <x v="85"/>
  </r>
  <r>
    <x v="4"/>
    <x v="0"/>
    <x v="78"/>
  </r>
  <r>
    <x v="4"/>
    <x v="3"/>
    <x v="87"/>
  </r>
  <r>
    <x v="4"/>
    <x v="0"/>
    <x v="1"/>
  </r>
  <r>
    <x v="4"/>
    <x v="0"/>
    <x v="15"/>
  </r>
  <r>
    <x v="4"/>
    <x v="3"/>
    <x v="47"/>
  </r>
  <r>
    <x v="4"/>
    <x v="3"/>
    <x v="100"/>
  </r>
  <r>
    <x v="4"/>
    <x v="5"/>
    <x v="41"/>
  </r>
  <r>
    <x v="4"/>
    <x v="2"/>
    <x v="36"/>
  </r>
  <r>
    <x v="4"/>
    <x v="3"/>
    <x v="112"/>
  </r>
  <r>
    <x v="4"/>
    <x v="4"/>
    <x v="113"/>
  </r>
  <r>
    <x v="4"/>
    <x v="5"/>
    <x v="70"/>
  </r>
  <r>
    <x v="4"/>
    <x v="4"/>
    <x v="25"/>
  </r>
  <r>
    <x v="4"/>
    <x v="3"/>
    <x v="77"/>
  </r>
  <r>
    <x v="4"/>
    <x v="5"/>
    <x v="1"/>
  </r>
  <r>
    <x v="5"/>
    <x v="5"/>
    <x v="23"/>
  </r>
  <r>
    <x v="5"/>
    <x v="5"/>
    <x v="8"/>
  </r>
  <r>
    <x v="5"/>
    <x v="3"/>
    <x v="6"/>
  </r>
  <r>
    <x v="5"/>
    <x v="3"/>
    <x v="6"/>
  </r>
  <r>
    <x v="5"/>
    <x v="3"/>
    <x v="35"/>
  </r>
  <r>
    <x v="5"/>
    <x v="3"/>
    <x v="22"/>
  </r>
  <r>
    <x v="5"/>
    <x v="3"/>
    <x v="35"/>
  </r>
  <r>
    <x v="5"/>
    <x v="3"/>
    <x v="95"/>
  </r>
  <r>
    <x v="5"/>
    <x v="3"/>
    <x v="109"/>
  </r>
  <r>
    <x v="5"/>
    <x v="2"/>
    <x v="114"/>
  </r>
  <r>
    <x v="5"/>
    <x v="4"/>
    <x v="115"/>
  </r>
  <r>
    <x v="5"/>
    <x v="4"/>
    <x v="49"/>
  </r>
  <r>
    <x v="5"/>
    <x v="17"/>
    <x v="39"/>
  </r>
  <r>
    <x v="5"/>
    <x v="0"/>
    <x v="47"/>
  </r>
  <r>
    <x v="5"/>
    <x v="4"/>
    <x v="38"/>
  </r>
  <r>
    <x v="5"/>
    <x v="0"/>
    <x v="87"/>
  </r>
  <r>
    <x v="5"/>
    <x v="2"/>
    <x v="11"/>
  </r>
  <r>
    <x v="5"/>
    <x v="4"/>
    <x v="83"/>
  </r>
  <r>
    <x v="5"/>
    <x v="17"/>
    <x v="81"/>
  </r>
  <r>
    <x v="5"/>
    <x v="0"/>
    <x v="116"/>
  </r>
  <r>
    <x v="5"/>
    <x v="5"/>
    <x v="52"/>
  </r>
  <r>
    <x v="5"/>
    <x v="3"/>
    <x v="27"/>
  </r>
  <r>
    <x v="5"/>
    <x v="3"/>
    <x v="71"/>
  </r>
  <r>
    <x v="6"/>
    <x v="3"/>
    <x v="10"/>
  </r>
  <r>
    <x v="6"/>
    <x v="5"/>
    <x v="88"/>
  </r>
  <r>
    <x v="6"/>
    <x v="3"/>
    <x v="88"/>
  </r>
  <r>
    <x v="6"/>
    <x v="3"/>
    <x v="34"/>
  </r>
  <r>
    <x v="6"/>
    <x v="3"/>
    <x v="4"/>
  </r>
  <r>
    <x v="6"/>
    <x v="3"/>
    <x v="4"/>
  </r>
  <r>
    <x v="6"/>
    <x v="3"/>
    <x v="21"/>
  </r>
  <r>
    <x v="6"/>
    <x v="3"/>
    <x v="19"/>
  </r>
  <r>
    <x v="6"/>
    <x v="3"/>
    <x v="14"/>
  </r>
  <r>
    <x v="6"/>
    <x v="4"/>
    <x v="117"/>
  </r>
  <r>
    <x v="6"/>
    <x v="3"/>
    <x v="118"/>
  </r>
  <r>
    <x v="6"/>
    <x v="17"/>
    <x v="71"/>
  </r>
  <r>
    <x v="6"/>
    <x v="15"/>
    <x v="12"/>
  </r>
  <r>
    <x v="6"/>
    <x v="4"/>
    <x v="79"/>
  </r>
  <r>
    <x v="6"/>
    <x v="17"/>
    <x v="26"/>
  </r>
  <r>
    <x v="6"/>
    <x v="2"/>
    <x v="79"/>
  </r>
  <r>
    <x v="6"/>
    <x v="14"/>
    <x v="79"/>
  </r>
  <r>
    <x v="6"/>
    <x v="0"/>
    <x v="61"/>
  </r>
  <r>
    <x v="6"/>
    <x v="17"/>
    <x v="119"/>
  </r>
  <r>
    <x v="6"/>
    <x v="2"/>
    <x v="120"/>
  </r>
  <r>
    <x v="6"/>
    <x v="0"/>
    <x v="121"/>
  </r>
  <r>
    <x v="6"/>
    <x v="3"/>
    <x v="56"/>
  </r>
  <r>
    <x v="6"/>
    <x v="17"/>
    <x v="41"/>
  </r>
  <r>
    <x v="0"/>
    <x v="4"/>
    <x v="60"/>
  </r>
  <r>
    <x v="0"/>
    <x v="5"/>
    <x v="16"/>
  </r>
  <r>
    <x v="0"/>
    <x v="0"/>
    <x v="18"/>
  </r>
  <r>
    <x v="0"/>
    <x v="4"/>
    <x v="72"/>
  </r>
  <r>
    <x v="0"/>
    <x v="3"/>
    <x v="98"/>
  </r>
  <r>
    <x v="0"/>
    <x v="5"/>
    <x v="7"/>
  </r>
  <r>
    <x v="0"/>
    <x v="3"/>
    <x v="34"/>
  </r>
  <r>
    <x v="0"/>
    <x v="3"/>
    <x v="4"/>
  </r>
  <r>
    <x v="0"/>
    <x v="5"/>
    <x v="6"/>
  </r>
  <r>
    <x v="0"/>
    <x v="5"/>
    <x v="33"/>
  </r>
  <r>
    <x v="0"/>
    <x v="5"/>
    <x v="97"/>
  </r>
  <r>
    <x v="0"/>
    <x v="4"/>
    <x v="17"/>
  </r>
  <r>
    <x v="0"/>
    <x v="4"/>
    <x v="77"/>
  </r>
  <r>
    <x v="0"/>
    <x v="25"/>
    <x v="25"/>
  </r>
  <r>
    <x v="0"/>
    <x v="13"/>
    <x v="64"/>
  </r>
  <r>
    <x v="0"/>
    <x v="27"/>
    <x v="122"/>
  </r>
  <r>
    <x v="0"/>
    <x v="7"/>
    <x v="50"/>
  </r>
  <r>
    <x v="0"/>
    <x v="27"/>
    <x v="123"/>
  </r>
  <r>
    <x v="0"/>
    <x v="28"/>
    <x v="73"/>
  </r>
  <r>
    <x v="0"/>
    <x v="8"/>
    <x v="25"/>
  </r>
  <r>
    <x v="0"/>
    <x v="13"/>
    <x v="94"/>
  </r>
  <r>
    <x v="0"/>
    <x v="24"/>
    <x v="91"/>
  </r>
  <r>
    <x v="0"/>
    <x v="15"/>
    <x v="96"/>
  </r>
  <r>
    <x v="0"/>
    <x v="15"/>
    <x v="82"/>
  </r>
  <r>
    <x v="1"/>
    <x v="3"/>
    <x v="16"/>
  </r>
  <r>
    <x v="1"/>
    <x v="2"/>
    <x v="87"/>
  </r>
  <r>
    <x v="1"/>
    <x v="15"/>
    <x v="39"/>
  </r>
  <r>
    <x v="1"/>
    <x v="17"/>
    <x v="23"/>
  </r>
  <r>
    <x v="1"/>
    <x v="0"/>
    <x v="0"/>
  </r>
  <r>
    <x v="1"/>
    <x v="14"/>
    <x v="8"/>
  </r>
  <r>
    <x v="1"/>
    <x v="3"/>
    <x v="4"/>
  </r>
  <r>
    <x v="1"/>
    <x v="5"/>
    <x v="4"/>
  </r>
  <r>
    <x v="1"/>
    <x v="3"/>
    <x v="4"/>
  </r>
  <r>
    <x v="1"/>
    <x v="3"/>
    <x v="35"/>
  </r>
  <r>
    <x v="1"/>
    <x v="3"/>
    <x v="72"/>
  </r>
  <r>
    <x v="1"/>
    <x v="0"/>
    <x v="31"/>
  </r>
  <r>
    <x v="1"/>
    <x v="1"/>
    <x v="13"/>
  </r>
  <r>
    <x v="1"/>
    <x v="29"/>
    <x v="14"/>
  </r>
  <r>
    <x v="1"/>
    <x v="8"/>
    <x v="102"/>
  </r>
  <r>
    <x v="1"/>
    <x v="29"/>
    <x v="73"/>
  </r>
  <r>
    <x v="1"/>
    <x v="30"/>
    <x v="94"/>
  </r>
  <r>
    <x v="1"/>
    <x v="10"/>
    <x v="78"/>
  </r>
  <r>
    <x v="1"/>
    <x v="30"/>
    <x v="99"/>
  </r>
  <r>
    <x v="1"/>
    <x v="29"/>
    <x v="70"/>
  </r>
  <r>
    <x v="1"/>
    <x v="16"/>
    <x v="90"/>
  </r>
  <r>
    <x v="1"/>
    <x v="24"/>
    <x v="12"/>
  </r>
  <r>
    <x v="1"/>
    <x v="18"/>
    <x v="54"/>
  </r>
  <r>
    <x v="2"/>
    <x v="15"/>
    <x v="97"/>
  </r>
  <r>
    <x v="2"/>
    <x v="4"/>
    <x v="23"/>
  </r>
  <r>
    <x v="2"/>
    <x v="3"/>
    <x v="72"/>
  </r>
  <r>
    <x v="2"/>
    <x v="5"/>
    <x v="20"/>
  </r>
  <r>
    <x v="2"/>
    <x v="5"/>
    <x v="89"/>
  </r>
  <r>
    <x v="2"/>
    <x v="3"/>
    <x v="21"/>
  </r>
  <r>
    <x v="2"/>
    <x v="3"/>
    <x v="6"/>
  </r>
  <r>
    <x v="2"/>
    <x v="5"/>
    <x v="6"/>
  </r>
  <r>
    <x v="2"/>
    <x v="3"/>
    <x v="4"/>
  </r>
  <r>
    <x v="2"/>
    <x v="3"/>
    <x v="34"/>
  </r>
  <r>
    <x v="2"/>
    <x v="17"/>
    <x v="33"/>
  </r>
  <r>
    <x v="2"/>
    <x v="0"/>
    <x v="10"/>
  </r>
  <r>
    <x v="2"/>
    <x v="1"/>
    <x v="87"/>
  </r>
  <r>
    <x v="2"/>
    <x v="18"/>
    <x v="54"/>
  </r>
  <r>
    <x v="2"/>
    <x v="14"/>
    <x v="11"/>
  </r>
  <r>
    <x v="2"/>
    <x v="22"/>
    <x v="14"/>
  </r>
  <r>
    <x v="2"/>
    <x v="23"/>
    <x v="122"/>
  </r>
  <r>
    <x v="2"/>
    <x v="6"/>
    <x v="64"/>
  </r>
  <r>
    <x v="2"/>
    <x v="27"/>
    <x v="109"/>
  </r>
  <r>
    <x v="2"/>
    <x v="15"/>
    <x v="83"/>
  </r>
  <r>
    <x v="2"/>
    <x v="17"/>
    <x v="28"/>
  </r>
  <r>
    <x v="2"/>
    <x v="18"/>
    <x v="66"/>
  </r>
  <r>
    <x v="3"/>
    <x v="4"/>
    <x v="29"/>
  </r>
  <r>
    <x v="3"/>
    <x v="17"/>
    <x v="31"/>
  </r>
  <r>
    <x v="3"/>
    <x v="0"/>
    <x v="9"/>
  </r>
  <r>
    <x v="3"/>
    <x v="3"/>
    <x v="0"/>
  </r>
  <r>
    <x v="3"/>
    <x v="5"/>
    <x v="35"/>
  </r>
  <r>
    <x v="3"/>
    <x v="3"/>
    <x v="35"/>
  </r>
  <r>
    <x v="3"/>
    <x v="3"/>
    <x v="97"/>
  </r>
  <r>
    <x v="3"/>
    <x v="4"/>
    <x v="16"/>
  </r>
  <r>
    <x v="3"/>
    <x v="0"/>
    <x v="1"/>
  </r>
  <r>
    <x v="3"/>
    <x v="3"/>
    <x v="124"/>
  </r>
  <r>
    <x v="3"/>
    <x v="5"/>
    <x v="125"/>
  </r>
  <r>
    <x v="3"/>
    <x v="5"/>
    <x v="126"/>
  </r>
  <r>
    <x v="3"/>
    <x v="5"/>
    <x v="52"/>
  </r>
  <r>
    <x v="3"/>
    <x v="3"/>
    <x v="93"/>
  </r>
  <r>
    <x v="3"/>
    <x v="3"/>
    <x v="40"/>
  </r>
  <r>
    <x v="3"/>
    <x v="3"/>
    <x v="39"/>
  </r>
  <r>
    <x v="3"/>
    <x v="5"/>
    <x v="23"/>
  </r>
  <r>
    <x v="3"/>
    <x v="3"/>
    <x v="35"/>
  </r>
  <r>
    <x v="3"/>
    <x v="5"/>
    <x v="8"/>
  </r>
  <r>
    <x v="3"/>
    <x v="3"/>
    <x v="35"/>
  </r>
  <r>
    <x v="3"/>
    <x v="5"/>
    <x v="4"/>
  </r>
  <r>
    <x v="3"/>
    <x v="3"/>
    <x v="7"/>
  </r>
  <r>
    <x v="3"/>
    <x v="3"/>
    <x v="1"/>
  </r>
  <r>
    <x v="4"/>
    <x v="5"/>
    <x v="121"/>
  </r>
  <r>
    <x v="4"/>
    <x v="5"/>
    <x v="127"/>
  </r>
  <r>
    <x v="4"/>
    <x v="4"/>
    <x v="128"/>
  </r>
  <r>
    <x v="4"/>
    <x v="5"/>
    <x v="24"/>
  </r>
  <r>
    <x v="4"/>
    <x v="2"/>
    <x v="12"/>
  </r>
  <r>
    <x v="4"/>
    <x v="2"/>
    <x v="65"/>
  </r>
  <r>
    <x v="4"/>
    <x v="16"/>
    <x v="28"/>
  </r>
  <r>
    <x v="4"/>
    <x v="18"/>
    <x v="56"/>
  </r>
  <r>
    <x v="4"/>
    <x v="17"/>
    <x v="78"/>
  </r>
  <r>
    <x v="4"/>
    <x v="22"/>
    <x v="111"/>
  </r>
  <r>
    <x v="4"/>
    <x v="18"/>
    <x v="84"/>
  </r>
  <r>
    <x v="4"/>
    <x v="2"/>
    <x v="117"/>
  </r>
  <r>
    <x v="4"/>
    <x v="17"/>
    <x v="123"/>
  </r>
  <r>
    <x v="4"/>
    <x v="4"/>
    <x v="64"/>
  </r>
  <r>
    <x v="4"/>
    <x v="17"/>
    <x v="11"/>
  </r>
  <r>
    <x v="4"/>
    <x v="15"/>
    <x v="42"/>
  </r>
  <r>
    <x v="4"/>
    <x v="5"/>
    <x v="2"/>
  </r>
  <r>
    <x v="4"/>
    <x v="2"/>
    <x v="21"/>
  </r>
  <r>
    <x v="4"/>
    <x v="4"/>
    <x v="35"/>
  </r>
  <r>
    <x v="4"/>
    <x v="3"/>
    <x v="6"/>
  </r>
  <r>
    <x v="4"/>
    <x v="3"/>
    <x v="4"/>
  </r>
  <r>
    <x v="4"/>
    <x v="3"/>
    <x v="4"/>
  </r>
  <r>
    <x v="4"/>
    <x v="3"/>
    <x v="8"/>
  </r>
  <r>
    <x v="5"/>
    <x v="3"/>
    <x v="96"/>
  </r>
  <r>
    <x v="5"/>
    <x v="5"/>
    <x v="129"/>
  </r>
  <r>
    <x v="5"/>
    <x v="4"/>
    <x v="130"/>
  </r>
  <r>
    <x v="5"/>
    <x v="0"/>
    <x v="131"/>
  </r>
  <r>
    <x v="5"/>
    <x v="5"/>
    <x v="90"/>
  </r>
  <r>
    <x v="5"/>
    <x v="2"/>
    <x v="36"/>
  </r>
  <r>
    <x v="5"/>
    <x v="18"/>
    <x v="99"/>
  </r>
  <r>
    <x v="5"/>
    <x v="6"/>
    <x v="132"/>
  </r>
  <r>
    <x v="5"/>
    <x v="15"/>
    <x v="102"/>
  </r>
  <r>
    <x v="5"/>
    <x v="1"/>
    <x v="133"/>
  </r>
  <r>
    <x v="5"/>
    <x v="1"/>
    <x v="93"/>
  </r>
  <r>
    <x v="5"/>
    <x v="1"/>
    <x v="134"/>
  </r>
  <r>
    <x v="5"/>
    <x v="5"/>
    <x v="103"/>
  </r>
  <r>
    <x v="5"/>
    <x v="15"/>
    <x v="44"/>
  </r>
  <r>
    <x v="5"/>
    <x v="4"/>
    <x v="125"/>
  </r>
  <r>
    <x v="5"/>
    <x v="0"/>
    <x v="25"/>
  </r>
  <r>
    <x v="5"/>
    <x v="3"/>
    <x v="90"/>
  </r>
  <r>
    <x v="5"/>
    <x v="0"/>
    <x v="95"/>
  </r>
  <r>
    <x v="5"/>
    <x v="5"/>
    <x v="32"/>
  </r>
  <r>
    <x v="5"/>
    <x v="3"/>
    <x v="8"/>
  </r>
  <r>
    <x v="5"/>
    <x v="3"/>
    <x v="6"/>
  </r>
  <r>
    <x v="5"/>
    <x v="3"/>
    <x v="4"/>
  </r>
  <r>
    <x v="5"/>
    <x v="3"/>
    <x v="4"/>
  </r>
  <r>
    <x v="6"/>
    <x v="5"/>
    <x v="22"/>
  </r>
  <r>
    <x v="6"/>
    <x v="3"/>
    <x v="2"/>
  </r>
  <r>
    <x v="6"/>
    <x v="4"/>
    <x v="43"/>
  </r>
  <r>
    <x v="6"/>
    <x v="18"/>
    <x v="135"/>
  </r>
  <r>
    <x v="6"/>
    <x v="18"/>
    <x v="136"/>
  </r>
  <r>
    <x v="6"/>
    <x v="15"/>
    <x v="77"/>
  </r>
  <r>
    <x v="6"/>
    <x v="15"/>
    <x v="42"/>
  </r>
  <r>
    <x v="6"/>
    <x v="16"/>
    <x v="28"/>
  </r>
  <r>
    <x v="6"/>
    <x v="1"/>
    <x v="65"/>
  </r>
  <r>
    <x v="6"/>
    <x v="15"/>
    <x v="90"/>
  </r>
  <r>
    <x v="6"/>
    <x v="17"/>
    <x v="124"/>
  </r>
  <r>
    <x v="6"/>
    <x v="3"/>
    <x v="106"/>
  </r>
  <r>
    <x v="6"/>
    <x v="22"/>
    <x v="137"/>
  </r>
  <r>
    <x v="6"/>
    <x v="5"/>
    <x v="138"/>
  </r>
  <r>
    <x v="6"/>
    <x v="0"/>
    <x v="139"/>
  </r>
  <r>
    <x v="6"/>
    <x v="5"/>
    <x v="15"/>
  </r>
  <r>
    <x v="6"/>
    <x v="3"/>
    <x v="40"/>
  </r>
  <r>
    <x v="6"/>
    <x v="5"/>
    <x v="39"/>
  </r>
  <r>
    <x v="6"/>
    <x v="3"/>
    <x v="2"/>
  </r>
  <r>
    <x v="6"/>
    <x v="3"/>
    <x v="0"/>
  </r>
  <r>
    <x v="6"/>
    <x v="0"/>
    <x v="33"/>
  </r>
  <r>
    <x v="6"/>
    <x v="3"/>
    <x v="48"/>
  </r>
  <r>
    <x v="6"/>
    <x v="5"/>
    <x v="8"/>
  </r>
  <r>
    <x v="0"/>
    <x v="3"/>
    <x v="35"/>
  </r>
  <r>
    <x v="0"/>
    <x v="3"/>
    <x v="6"/>
  </r>
  <r>
    <x v="0"/>
    <x v="3"/>
    <x v="21"/>
  </r>
  <r>
    <x v="0"/>
    <x v="5"/>
    <x v="16"/>
  </r>
  <r>
    <x v="0"/>
    <x v="0"/>
    <x v="53"/>
  </r>
  <r>
    <x v="0"/>
    <x v="0"/>
    <x v="54"/>
  </r>
  <r>
    <x v="0"/>
    <x v="17"/>
    <x v="79"/>
  </r>
  <r>
    <x v="0"/>
    <x v="22"/>
    <x v="91"/>
  </r>
  <r>
    <x v="0"/>
    <x v="6"/>
    <x v="109"/>
  </r>
  <r>
    <x v="0"/>
    <x v="16"/>
    <x v="27"/>
  </r>
  <r>
    <x v="0"/>
    <x v="22"/>
    <x v="139"/>
  </r>
  <r>
    <x v="0"/>
    <x v="16"/>
    <x v="109"/>
  </r>
  <r>
    <x v="0"/>
    <x v="1"/>
    <x v="79"/>
  </r>
  <r>
    <x v="0"/>
    <x v="3"/>
    <x v="25"/>
  </r>
  <r>
    <x v="0"/>
    <x v="15"/>
    <x v="42"/>
  </r>
  <r>
    <x v="0"/>
    <x v="5"/>
    <x v="100"/>
  </r>
  <r>
    <x v="0"/>
    <x v="3"/>
    <x v="87"/>
  </r>
  <r>
    <x v="0"/>
    <x v="18"/>
    <x v="140"/>
  </r>
  <r>
    <x v="0"/>
    <x v="4"/>
    <x v="17"/>
  </r>
  <r>
    <x v="0"/>
    <x v="4"/>
    <x v="32"/>
  </r>
  <r>
    <x v="0"/>
    <x v="5"/>
    <x v="98"/>
  </r>
  <r>
    <x v="0"/>
    <x v="0"/>
    <x v="89"/>
  </r>
  <r>
    <x v="0"/>
    <x v="5"/>
    <x v="22"/>
  </r>
  <r>
    <x v="0"/>
    <x v="3"/>
    <x v="35"/>
  </r>
  <r>
    <x v="1"/>
    <x v="3"/>
    <x v="4"/>
  </r>
  <r>
    <x v="1"/>
    <x v="5"/>
    <x v="4"/>
  </r>
  <r>
    <x v="1"/>
    <x v="4"/>
    <x v="19"/>
  </r>
  <r>
    <x v="1"/>
    <x v="0"/>
    <x v="18"/>
  </r>
  <r>
    <x v="1"/>
    <x v="18"/>
    <x v="82"/>
  </r>
  <r>
    <x v="1"/>
    <x v="30"/>
    <x v="99"/>
  </r>
  <r>
    <x v="1"/>
    <x v="31"/>
    <x v="50"/>
  </r>
  <r>
    <x v="1"/>
    <x v="6"/>
    <x v="102"/>
  </r>
  <r>
    <x v="1"/>
    <x v="26"/>
    <x v="139"/>
  </r>
  <r>
    <x v="1"/>
    <x v="23"/>
    <x v="27"/>
  </r>
  <r>
    <x v="1"/>
    <x v="14"/>
    <x v="90"/>
  </r>
  <r>
    <x v="1"/>
    <x v="2"/>
    <x v="54"/>
  </r>
  <r>
    <x v="1"/>
    <x v="2"/>
    <x v="100"/>
  </r>
  <r>
    <x v="1"/>
    <x v="2"/>
    <x v="108"/>
  </r>
  <r>
    <x v="1"/>
    <x v="17"/>
    <x v="17"/>
  </r>
  <r>
    <x v="1"/>
    <x v="2"/>
    <x v="32"/>
  </r>
  <r>
    <x v="1"/>
    <x v="2"/>
    <x v="140"/>
  </r>
  <r>
    <x v="1"/>
    <x v="17"/>
    <x v="19"/>
  </r>
  <r>
    <x v="1"/>
    <x v="3"/>
    <x v="7"/>
  </r>
  <r>
    <x v="1"/>
    <x v="3"/>
    <x v="4"/>
  </r>
  <r>
    <x v="1"/>
    <x v="3"/>
    <x v="4"/>
  </r>
  <r>
    <x v="1"/>
    <x v="3"/>
    <x v="4"/>
  </r>
  <r>
    <x v="1"/>
    <x v="3"/>
    <x v="34"/>
  </r>
  <r>
    <x v="2"/>
    <x v="3"/>
    <x v="89"/>
  </r>
  <r>
    <x v="2"/>
    <x v="2"/>
    <x v="55"/>
  </r>
  <r>
    <x v="2"/>
    <x v="15"/>
    <x v="141"/>
  </r>
  <r>
    <x v="2"/>
    <x v="17"/>
    <x v="52"/>
  </r>
  <r>
    <x v="2"/>
    <x v="15"/>
    <x v="60"/>
  </r>
  <r>
    <x v="2"/>
    <x v="0"/>
    <x v="30"/>
  </r>
  <r>
    <x v="2"/>
    <x v="16"/>
    <x v="15"/>
  </r>
  <r>
    <x v="2"/>
    <x v="15"/>
    <x v="25"/>
  </r>
  <r>
    <x v="2"/>
    <x v="4"/>
    <x v="30"/>
  </r>
  <r>
    <x v="2"/>
    <x v="18"/>
    <x v="54"/>
  </r>
  <r>
    <x v="2"/>
    <x v="17"/>
    <x v="43"/>
  </r>
  <r>
    <x v="2"/>
    <x v="15"/>
    <x v="86"/>
  </r>
  <r>
    <x v="2"/>
    <x v="1"/>
    <x v="142"/>
  </r>
  <r>
    <x v="2"/>
    <x v="2"/>
    <x v="143"/>
  </r>
  <r>
    <x v="2"/>
    <x v="5"/>
    <x v="122"/>
  </r>
  <r>
    <x v="2"/>
    <x v="15"/>
    <x v="42"/>
  </r>
  <r>
    <x v="2"/>
    <x v="0"/>
    <x v="1"/>
  </r>
  <r>
    <x v="2"/>
    <x v="0"/>
    <x v="144"/>
  </r>
  <r>
    <x v="2"/>
    <x v="0"/>
    <x v="8"/>
  </r>
  <r>
    <x v="2"/>
    <x v="3"/>
    <x v="34"/>
  </r>
  <r>
    <x v="2"/>
    <x v="3"/>
    <x v="6"/>
  </r>
  <r>
    <x v="2"/>
    <x v="3"/>
    <x v="4"/>
  </r>
  <r>
    <x v="3"/>
    <x v="3"/>
    <x v="33"/>
  </r>
  <r>
    <x v="3"/>
    <x v="5"/>
    <x v="96"/>
  </r>
  <r>
    <x v="3"/>
    <x v="2"/>
    <x v="145"/>
  </r>
  <r>
    <x v="3"/>
    <x v="2"/>
    <x v="146"/>
  </r>
  <r>
    <x v="3"/>
    <x v="22"/>
    <x v="120"/>
  </r>
  <r>
    <x v="3"/>
    <x v="15"/>
    <x v="47"/>
  </r>
  <r>
    <x v="3"/>
    <x v="15"/>
    <x v="11"/>
  </r>
  <r>
    <x v="3"/>
    <x v="27"/>
    <x v="66"/>
  </r>
  <r>
    <x v="3"/>
    <x v="27"/>
    <x v="109"/>
  </r>
  <r>
    <x v="3"/>
    <x v="16"/>
    <x v="77"/>
  </r>
  <r>
    <x v="3"/>
    <x v="27"/>
    <x v="36"/>
  </r>
  <r>
    <x v="3"/>
    <x v="24"/>
    <x v="46"/>
  </r>
  <r>
    <x v="3"/>
    <x v="24"/>
    <x v="147"/>
  </r>
  <r>
    <x v="3"/>
    <x v="18"/>
    <x v="148"/>
  </r>
  <r>
    <x v="3"/>
    <x v="23"/>
    <x v="149"/>
  </r>
  <r>
    <x v="3"/>
    <x v="19"/>
    <x v="145"/>
  </r>
  <r>
    <x v="3"/>
    <x v="2"/>
    <x v="71"/>
  </r>
  <r>
    <x v="3"/>
    <x v="17"/>
    <x v="47"/>
  </r>
  <r>
    <x v="3"/>
    <x v="0"/>
    <x v="53"/>
  </r>
  <r>
    <x v="3"/>
    <x v="0"/>
    <x v="88"/>
  </r>
  <r>
    <x v="3"/>
    <x v="3"/>
    <x v="34"/>
  </r>
  <r>
    <x v="3"/>
    <x v="0"/>
    <x v="7"/>
  </r>
  <r>
    <x v="3"/>
    <x v="3"/>
    <x v="4"/>
  </r>
  <r>
    <x v="4"/>
    <x v="3"/>
    <x v="21"/>
  </r>
  <r>
    <x v="4"/>
    <x v="5"/>
    <x v="31"/>
  </r>
  <r>
    <x v="4"/>
    <x v="0"/>
    <x v="94"/>
  </r>
  <r>
    <x v="4"/>
    <x v="0"/>
    <x v="11"/>
  </r>
  <r>
    <x v="4"/>
    <x v="4"/>
    <x v="16"/>
  </r>
  <r>
    <x v="4"/>
    <x v="15"/>
    <x v="96"/>
  </r>
  <r>
    <x v="4"/>
    <x v="18"/>
    <x v="40"/>
  </r>
  <r>
    <x v="4"/>
    <x v="17"/>
    <x v="30"/>
  </r>
  <r>
    <x v="4"/>
    <x v="3"/>
    <x v="49"/>
  </r>
  <r>
    <x v="4"/>
    <x v="5"/>
    <x v="76"/>
  </r>
  <r>
    <x v="4"/>
    <x v="5"/>
    <x v="96"/>
  </r>
  <r>
    <x v="4"/>
    <x v="3"/>
    <x v="16"/>
  </r>
  <r>
    <x v="4"/>
    <x v="5"/>
    <x v="140"/>
  </r>
  <r>
    <x v="4"/>
    <x v="4"/>
    <x v="70"/>
  </r>
  <r>
    <x v="4"/>
    <x v="0"/>
    <x v="143"/>
  </r>
  <r>
    <x v="4"/>
    <x v="0"/>
    <x v="83"/>
  </r>
  <r>
    <x v="4"/>
    <x v="17"/>
    <x v="11"/>
  </r>
  <r>
    <x v="4"/>
    <x v="4"/>
    <x v="49"/>
  </r>
  <r>
    <x v="4"/>
    <x v="3"/>
    <x v="2"/>
  </r>
  <r>
    <x v="4"/>
    <x v="3"/>
    <x v="20"/>
  </r>
  <r>
    <x v="4"/>
    <x v="3"/>
    <x v="33"/>
  </r>
  <r>
    <x v="4"/>
    <x v="5"/>
    <x v="6"/>
  </r>
  <r>
    <x v="4"/>
    <x v="3"/>
    <x v="6"/>
  </r>
  <r>
    <x v="5"/>
    <x v="5"/>
    <x v="5"/>
  </r>
  <r>
    <x v="5"/>
    <x v="3"/>
    <x v="22"/>
  </r>
  <r>
    <x v="5"/>
    <x v="3"/>
    <x v="20"/>
  </r>
  <r>
    <x v="5"/>
    <x v="4"/>
    <x v="29"/>
  </r>
  <r>
    <x v="5"/>
    <x v="4"/>
    <x v="119"/>
  </r>
  <r>
    <x v="5"/>
    <x v="15"/>
    <x v="73"/>
  </r>
  <r>
    <x v="5"/>
    <x v="3"/>
    <x v="47"/>
  </r>
  <r>
    <x v="5"/>
    <x v="3"/>
    <x v="10"/>
  </r>
  <r>
    <x v="5"/>
    <x v="5"/>
    <x v="95"/>
  </r>
  <r>
    <x v="5"/>
    <x v="3"/>
    <x v="17"/>
  </r>
  <r>
    <x v="5"/>
    <x v="4"/>
    <x v="49"/>
  </r>
  <r>
    <x v="5"/>
    <x v="5"/>
    <x v="7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10">
  <r>
    <x v="0"/>
    <x v="0"/>
    <n v="13"/>
  </r>
  <r>
    <x v="1"/>
    <x v="1"/>
    <n v="32"/>
  </r>
  <r>
    <x v="1"/>
    <x v="2"/>
    <n v="27"/>
  </r>
  <r>
    <x v="0"/>
    <x v="0"/>
    <n v="10"/>
  </r>
  <r>
    <x v="0"/>
    <x v="3"/>
    <n v="1"/>
  </r>
  <r>
    <x v="0"/>
    <x v="3"/>
    <n v="1"/>
  </r>
  <r>
    <x v="1"/>
    <x v="4"/>
    <n v="0"/>
  </r>
  <r>
    <x v="2"/>
    <x v="5"/>
    <n v="2"/>
  </r>
  <r>
    <x v="0"/>
    <x v="5"/>
    <n v="7"/>
  </r>
  <r>
    <x v="3"/>
    <x v="1"/>
    <n v="6"/>
  </r>
  <r>
    <x v="4"/>
    <x v="6"/>
    <n v="24"/>
  </r>
  <r>
    <x v="5"/>
    <x v="7"/>
    <n v="30"/>
  </r>
  <r>
    <x v="6"/>
    <x v="8"/>
    <n v="55"/>
  </r>
  <r>
    <x v="7"/>
    <x v="9"/>
    <n v="47"/>
  </r>
  <r>
    <x v="7"/>
    <x v="10"/>
    <n v="71"/>
  </r>
  <r>
    <x v="8"/>
    <x v="11"/>
    <n v="70"/>
  </r>
  <r>
    <x v="6"/>
    <x v="12"/>
    <n v="52"/>
  </r>
  <r>
    <x v="8"/>
    <x v="13"/>
    <n v="52"/>
  </r>
  <r>
    <x v="6"/>
    <x v="14"/>
    <n v="26"/>
  </r>
  <r>
    <x v="6"/>
    <x v="15"/>
    <n v="31"/>
  </r>
  <r>
    <x v="9"/>
    <x v="16"/>
    <n v="25"/>
  </r>
  <r>
    <x v="9"/>
    <x v="0"/>
    <n v="31"/>
  </r>
  <r>
    <x v="9"/>
    <x v="16"/>
    <n v="17"/>
  </r>
  <r>
    <x v="7"/>
    <x v="13"/>
    <n v="24"/>
  </r>
  <r>
    <x v="7"/>
    <x v="17"/>
    <n v="13"/>
  </r>
  <r>
    <x v="8"/>
    <x v="5"/>
    <n v="16"/>
  </r>
  <r>
    <x v="6"/>
    <x v="5"/>
    <n v="8"/>
  </r>
  <r>
    <x v="7"/>
    <x v="4"/>
    <n v="4"/>
  </r>
  <r>
    <x v="7"/>
    <x v="4"/>
    <n v="1"/>
  </r>
  <r>
    <x v="6"/>
    <x v="3"/>
    <n v="2"/>
  </r>
  <r>
    <x v="9"/>
    <x v="3"/>
    <n v="1"/>
  </r>
  <r>
    <x v="9"/>
    <x v="3"/>
    <n v="8"/>
  </r>
  <r>
    <x v="4"/>
    <x v="5"/>
    <n v="19"/>
  </r>
  <r>
    <x v="5"/>
    <x v="18"/>
    <n v="46"/>
  </r>
  <r>
    <x v="5"/>
    <x v="19"/>
    <n v="54"/>
  </r>
  <r>
    <x v="5"/>
    <x v="20"/>
    <n v="73"/>
  </r>
  <r>
    <x v="5"/>
    <x v="16"/>
    <n v="64"/>
  </r>
  <r>
    <x v="5"/>
    <x v="17"/>
    <n v="55"/>
  </r>
  <r>
    <x v="10"/>
    <x v="21"/>
    <n v="55"/>
  </r>
  <r>
    <x v="10"/>
    <x v="14"/>
    <n v="67"/>
  </r>
  <r>
    <x v="10"/>
    <x v="18"/>
    <n v="58"/>
  </r>
  <r>
    <x v="5"/>
    <x v="22"/>
    <n v="43"/>
  </r>
  <r>
    <x v="3"/>
    <x v="5"/>
    <n v="29"/>
  </r>
  <r>
    <x v="11"/>
    <x v="2"/>
    <n v="17"/>
  </r>
  <r>
    <x v="12"/>
    <x v="16"/>
    <n v="20"/>
  </r>
  <r>
    <x v="0"/>
    <x v="3"/>
    <n v="9"/>
  </r>
  <r>
    <x v="1"/>
    <x v="3"/>
    <n v="8"/>
  </r>
  <r>
    <x v="1"/>
    <x v="3"/>
    <n v="5"/>
  </r>
  <r>
    <x v="2"/>
    <x v="3"/>
    <n v="2"/>
  </r>
  <r>
    <x v="13"/>
    <x v="3"/>
    <n v="1"/>
  </r>
  <r>
    <x v="13"/>
    <x v="3"/>
    <n v="3"/>
  </r>
  <r>
    <x v="14"/>
    <x v="3"/>
    <n v="30"/>
  </r>
  <r>
    <x v="14"/>
    <x v="5"/>
    <n v="63"/>
  </r>
  <r>
    <x v="14"/>
    <x v="5"/>
    <n v="153"/>
  </r>
  <r>
    <x v="13"/>
    <x v="18"/>
    <n v="81"/>
  </r>
  <r>
    <x v="15"/>
    <x v="16"/>
    <n v="33"/>
  </r>
  <r>
    <x v="2"/>
    <x v="22"/>
    <n v="41"/>
  </r>
  <r>
    <x v="1"/>
    <x v="23"/>
    <n v="48"/>
  </r>
  <r>
    <x v="0"/>
    <x v="1"/>
    <n v="53"/>
  </r>
  <r>
    <x v="12"/>
    <x v="16"/>
    <n v="66"/>
  </r>
  <r>
    <x v="12"/>
    <x v="24"/>
    <n v="58"/>
  </r>
  <r>
    <x v="12"/>
    <x v="14"/>
    <n v="67"/>
  </r>
  <r>
    <x v="0"/>
    <x v="16"/>
    <n v="146"/>
  </r>
  <r>
    <x v="0"/>
    <x v="14"/>
    <n v="148"/>
  </r>
  <r>
    <x v="2"/>
    <x v="1"/>
    <n v="102"/>
  </r>
  <r>
    <x v="2"/>
    <x v="0"/>
    <n v="49"/>
  </r>
  <r>
    <x v="15"/>
    <x v="0"/>
    <n v="49"/>
  </r>
  <r>
    <x v="14"/>
    <x v="3"/>
    <n v="20"/>
  </r>
  <r>
    <x v="15"/>
    <x v="5"/>
    <n v="11"/>
  </r>
  <r>
    <x v="13"/>
    <x v="3"/>
    <n v="5"/>
  </r>
  <r>
    <x v="13"/>
    <x v="3"/>
    <n v="2"/>
  </r>
  <r>
    <x v="14"/>
    <x v="3"/>
    <n v="1"/>
  </r>
  <r>
    <x v="14"/>
    <x v="3"/>
    <n v="2"/>
  </r>
  <r>
    <x v="16"/>
    <x v="3"/>
    <n v="4"/>
  </r>
  <r>
    <x v="16"/>
    <x v="3"/>
    <n v="36"/>
  </r>
  <r>
    <x v="16"/>
    <x v="4"/>
    <n v="92"/>
  </r>
  <r>
    <x v="14"/>
    <x v="4"/>
    <n v="177"/>
  </r>
  <r>
    <x v="13"/>
    <x v="4"/>
    <n v="98"/>
  </r>
  <r>
    <x v="13"/>
    <x v="2"/>
    <n v="37"/>
  </r>
  <r>
    <x v="1"/>
    <x v="18"/>
    <n v="50"/>
  </r>
  <r>
    <x v="1"/>
    <x v="6"/>
    <n v="66"/>
  </r>
  <r>
    <x v="0"/>
    <x v="25"/>
    <n v="79"/>
  </r>
  <r>
    <x v="12"/>
    <x v="14"/>
    <n v="54"/>
  </r>
  <r>
    <x v="17"/>
    <x v="26"/>
    <n v="48"/>
  </r>
  <r>
    <x v="11"/>
    <x v="13"/>
    <n v="68"/>
  </r>
  <r>
    <x v="17"/>
    <x v="22"/>
    <n v="202"/>
  </r>
  <r>
    <x v="12"/>
    <x v="0"/>
    <n v="179"/>
  </r>
  <r>
    <x v="0"/>
    <x v="4"/>
    <n v="110"/>
  </r>
  <r>
    <x v="0"/>
    <x v="5"/>
    <n v="53"/>
  </r>
  <r>
    <x v="1"/>
    <x v="3"/>
    <n v="48"/>
  </r>
  <r>
    <x v="1"/>
    <x v="5"/>
    <n v="34"/>
  </r>
  <r>
    <x v="2"/>
    <x v="4"/>
    <n v="9"/>
  </r>
  <r>
    <x v="2"/>
    <x v="3"/>
    <n v="6"/>
  </r>
  <r>
    <x v="13"/>
    <x v="3"/>
    <n v="6"/>
  </r>
  <r>
    <x v="13"/>
    <x v="3"/>
    <n v="2"/>
  </r>
  <r>
    <x v="0"/>
    <x v="3"/>
    <n v="2"/>
  </r>
  <r>
    <x v="1"/>
    <x v="3"/>
    <n v="3"/>
  </r>
  <r>
    <x v="2"/>
    <x v="3"/>
    <n v="33"/>
  </r>
  <r>
    <x v="15"/>
    <x v="5"/>
    <n v="87"/>
  </r>
  <r>
    <x v="2"/>
    <x v="0"/>
    <n v="192"/>
  </r>
  <r>
    <x v="1"/>
    <x v="15"/>
    <n v="109"/>
  </r>
  <r>
    <x v="1"/>
    <x v="17"/>
    <n v="53"/>
  </r>
  <r>
    <x v="12"/>
    <x v="6"/>
    <n v="34"/>
  </r>
  <r>
    <x v="12"/>
    <x v="2"/>
    <n v="74"/>
  </r>
  <r>
    <x v="17"/>
    <x v="15"/>
    <n v="65"/>
  </r>
  <r>
    <x v="11"/>
    <x v="22"/>
    <n v="52"/>
  </r>
  <r>
    <x v="11"/>
    <x v="18"/>
    <n v="55"/>
  </r>
  <r>
    <x v="11"/>
    <x v="17"/>
    <n v="85"/>
  </r>
  <r>
    <x v="0"/>
    <x v="17"/>
    <n v="186"/>
  </r>
  <r>
    <x v="0"/>
    <x v="0"/>
    <n v="166"/>
  </r>
  <r>
    <x v="0"/>
    <x v="2"/>
    <n v="127"/>
  </r>
  <r>
    <x v="1"/>
    <x v="18"/>
    <n v="82"/>
  </r>
  <r>
    <x v="2"/>
    <x v="0"/>
    <n v="40"/>
  </r>
  <r>
    <x v="15"/>
    <x v="5"/>
    <n v="41"/>
  </r>
  <r>
    <x v="2"/>
    <x v="5"/>
    <n v="18"/>
  </r>
  <r>
    <x v="15"/>
    <x v="3"/>
    <n v="11"/>
  </r>
  <r>
    <x v="13"/>
    <x v="3"/>
    <n v="4"/>
  </r>
  <r>
    <x v="13"/>
    <x v="3"/>
    <n v="2"/>
  </r>
  <r>
    <x v="13"/>
    <x v="3"/>
    <n v="1"/>
  </r>
  <r>
    <x v="14"/>
    <x v="3"/>
    <n v="4"/>
  </r>
  <r>
    <x v="14"/>
    <x v="3"/>
    <n v="36"/>
  </r>
  <r>
    <x v="13"/>
    <x v="3"/>
    <n v="95"/>
  </r>
  <r>
    <x v="13"/>
    <x v="0"/>
    <n v="216"/>
  </r>
  <r>
    <x v="15"/>
    <x v="15"/>
    <n v="116"/>
  </r>
  <r>
    <x v="2"/>
    <x v="0"/>
    <n v="42"/>
  </r>
  <r>
    <x v="1"/>
    <x v="4"/>
    <n v="57"/>
  </r>
  <r>
    <x v="12"/>
    <x v="15"/>
    <n v="78"/>
  </r>
  <r>
    <x v="12"/>
    <x v="6"/>
    <n v="55"/>
  </r>
  <r>
    <x v="17"/>
    <x v="16"/>
    <n v="59"/>
  </r>
  <r>
    <x v="17"/>
    <x v="1"/>
    <n v="54"/>
  </r>
  <r>
    <x v="12"/>
    <x v="6"/>
    <n v="74"/>
  </r>
  <r>
    <x v="1"/>
    <x v="14"/>
    <n v="163"/>
  </r>
  <r>
    <x v="1"/>
    <x v="2"/>
    <n v="158"/>
  </r>
  <r>
    <x v="1"/>
    <x v="0"/>
    <n v="109"/>
  </r>
  <r>
    <x v="2"/>
    <x v="0"/>
    <n v="66"/>
  </r>
  <r>
    <x v="1"/>
    <x v="3"/>
    <n v="48"/>
  </r>
  <r>
    <x v="1"/>
    <x v="5"/>
    <n v="51"/>
  </r>
  <r>
    <x v="2"/>
    <x v="17"/>
    <n v="19"/>
  </r>
  <r>
    <x v="2"/>
    <x v="17"/>
    <n v="13"/>
  </r>
  <r>
    <x v="2"/>
    <x v="4"/>
    <n v="5"/>
  </r>
  <r>
    <x v="2"/>
    <x v="3"/>
    <n v="1"/>
  </r>
  <r>
    <x v="2"/>
    <x v="3"/>
    <n v="1"/>
  </r>
  <r>
    <x v="1"/>
    <x v="3"/>
    <n v="5"/>
  </r>
  <r>
    <x v="2"/>
    <x v="1"/>
    <n v="26"/>
  </r>
  <r>
    <x v="2"/>
    <x v="1"/>
    <n v="76"/>
  </r>
  <r>
    <x v="2"/>
    <x v="20"/>
    <n v="190"/>
  </r>
  <r>
    <x v="2"/>
    <x v="14"/>
    <n v="125"/>
  </r>
  <r>
    <x v="1"/>
    <x v="19"/>
    <n v="47"/>
  </r>
  <r>
    <x v="2"/>
    <x v="21"/>
    <n v="48"/>
  </r>
  <r>
    <x v="2"/>
    <x v="14"/>
    <n v="50"/>
  </r>
  <r>
    <x v="2"/>
    <x v="14"/>
    <n v="64"/>
  </r>
  <r>
    <x v="2"/>
    <x v="18"/>
    <n v="43"/>
  </r>
  <r>
    <x v="2"/>
    <x v="14"/>
    <n v="63"/>
  </r>
  <r>
    <x v="2"/>
    <x v="2"/>
    <n v="82"/>
  </r>
  <r>
    <x v="2"/>
    <x v="14"/>
    <n v="178"/>
  </r>
  <r>
    <x v="2"/>
    <x v="18"/>
    <n v="116"/>
  </r>
  <r>
    <x v="13"/>
    <x v="0"/>
    <n v="92"/>
  </r>
  <r>
    <x v="15"/>
    <x v="5"/>
    <n v="50"/>
  </r>
  <r>
    <x v="15"/>
    <x v="3"/>
    <n v="39"/>
  </r>
  <r>
    <x v="15"/>
    <x v="4"/>
    <n v="34"/>
  </r>
  <r>
    <x v="15"/>
    <x v="5"/>
    <n v="14"/>
  </r>
  <r>
    <x v="15"/>
    <x v="5"/>
    <n v="24"/>
  </r>
  <r>
    <x v="15"/>
    <x v="5"/>
    <n v="15"/>
  </r>
  <r>
    <x v="15"/>
    <x v="0"/>
    <n v="13"/>
  </r>
  <r>
    <x v="15"/>
    <x v="3"/>
    <n v="7"/>
  </r>
  <r>
    <x v="15"/>
    <x v="3"/>
    <n v="1"/>
  </r>
  <r>
    <x v="13"/>
    <x v="3"/>
    <n v="5"/>
  </r>
  <r>
    <x v="13"/>
    <x v="3"/>
    <n v="2"/>
  </r>
  <r>
    <x v="13"/>
    <x v="5"/>
    <n v="8"/>
  </r>
  <r>
    <x v="13"/>
    <x v="3"/>
    <n v="15"/>
  </r>
  <r>
    <x v="13"/>
    <x v="3"/>
    <n v="20"/>
  </r>
  <r>
    <x v="15"/>
    <x v="2"/>
    <n v="56"/>
  </r>
  <r>
    <x v="2"/>
    <x v="4"/>
    <n v="60"/>
  </r>
  <r>
    <x v="2"/>
    <x v="1"/>
    <n v="90"/>
  </r>
  <r>
    <x v="2"/>
    <x v="18"/>
    <n v="95"/>
  </r>
  <r>
    <x v="2"/>
    <x v="6"/>
    <n v="83"/>
  </r>
  <r>
    <x v="2"/>
    <x v="2"/>
    <n v="69"/>
  </r>
  <r>
    <x v="15"/>
    <x v="1"/>
    <n v="68"/>
  </r>
  <r>
    <x v="13"/>
    <x v="2"/>
    <n v="64"/>
  </r>
  <r>
    <x v="14"/>
    <x v="0"/>
    <n v="52"/>
  </r>
  <r>
    <x v="14"/>
    <x v="17"/>
    <n v="26"/>
  </r>
  <r>
    <x v="16"/>
    <x v="3"/>
    <n v="28"/>
  </r>
  <r>
    <x v="16"/>
    <x v="4"/>
    <n v="35"/>
  </r>
  <r>
    <x v="16"/>
    <x v="5"/>
    <n v="33"/>
  </r>
  <r>
    <x v="18"/>
    <x v="3"/>
    <n v="22"/>
  </r>
  <r>
    <x v="18"/>
    <x v="5"/>
    <n v="24"/>
  </r>
  <r>
    <x v="18"/>
    <x v="3"/>
    <n v="12"/>
  </r>
  <r>
    <x v="18"/>
    <x v="3"/>
    <n v="11"/>
  </r>
  <r>
    <x v="18"/>
    <x v="3"/>
    <n v="4"/>
  </r>
  <r>
    <x v="19"/>
    <x v="3"/>
    <n v="1"/>
  </r>
  <r>
    <x v="19"/>
    <x v="3"/>
    <n v="1"/>
  </r>
  <r>
    <x v="18"/>
    <x v="3"/>
    <n v="1"/>
  </r>
  <r>
    <x v="19"/>
    <x v="5"/>
    <n v="5"/>
  </r>
  <r>
    <x v="18"/>
    <x v="3"/>
    <n v="10"/>
  </r>
  <r>
    <x v="16"/>
    <x v="3"/>
    <n v="19"/>
  </r>
  <r>
    <x v="14"/>
    <x v="3"/>
    <n v="49"/>
  </r>
  <r>
    <x v="13"/>
    <x v="4"/>
    <n v="47"/>
  </r>
  <r>
    <x v="15"/>
    <x v="17"/>
    <n v="79"/>
  </r>
  <r>
    <x v="2"/>
    <x v="15"/>
    <n v="69"/>
  </r>
  <r>
    <x v="1"/>
    <x v="1"/>
    <n v="64"/>
  </r>
  <r>
    <x v="1"/>
    <x v="2"/>
    <n v="77"/>
  </r>
  <r>
    <x v="2"/>
    <x v="23"/>
    <n v="79"/>
  </r>
  <r>
    <x v="15"/>
    <x v="0"/>
    <n v="59"/>
  </r>
  <r>
    <x v="13"/>
    <x v="17"/>
    <n v="44"/>
  </r>
  <r>
    <x v="13"/>
    <x v="5"/>
    <n v="40"/>
  </r>
  <r>
    <x v="14"/>
    <x v="3"/>
    <n v="38"/>
  </r>
  <r>
    <x v="14"/>
    <x v="5"/>
    <n v="19"/>
  </r>
  <r>
    <x v="14"/>
    <x v="2"/>
    <n v="10"/>
  </r>
  <r>
    <x v="16"/>
    <x v="3"/>
    <n v="6"/>
  </r>
  <r>
    <x v="16"/>
    <x v="4"/>
    <n v="3"/>
  </r>
  <r>
    <x v="16"/>
    <x v="5"/>
    <n v="0"/>
  </r>
  <r>
    <x v="16"/>
    <x v="3"/>
    <n v="3"/>
  </r>
  <r>
    <x v="16"/>
    <x v="3"/>
    <n v="1"/>
  </r>
  <r>
    <x v="18"/>
    <x v="5"/>
    <n v="2"/>
  </r>
  <r>
    <x v="18"/>
    <x v="3"/>
    <n v="3"/>
  </r>
  <r>
    <x v="16"/>
    <x v="3"/>
    <n v="31"/>
  </r>
  <r>
    <x v="16"/>
    <x v="4"/>
    <n v="75"/>
  </r>
  <r>
    <x v="16"/>
    <x v="17"/>
    <n v="184"/>
  </r>
  <r>
    <x v="14"/>
    <x v="4"/>
    <n v="92"/>
  </r>
  <r>
    <x v="14"/>
    <x v="3"/>
    <n v="31"/>
  </r>
  <r>
    <x v="13"/>
    <x v="4"/>
    <n v="28"/>
  </r>
  <r>
    <x v="2"/>
    <x v="2"/>
    <n v="47"/>
  </r>
  <r>
    <x v="2"/>
    <x v="17"/>
    <n v="50"/>
  </r>
  <r>
    <x v="2"/>
    <x v="3"/>
    <n v="47"/>
  </r>
  <r>
    <x v="2"/>
    <x v="4"/>
    <n v="43"/>
  </r>
  <r>
    <x v="2"/>
    <x v="17"/>
    <n v="70"/>
  </r>
  <r>
    <x v="2"/>
    <x v="17"/>
    <n v="174"/>
  </r>
  <r>
    <x v="2"/>
    <x v="5"/>
    <n v="154"/>
  </r>
  <r>
    <x v="13"/>
    <x v="0"/>
    <n v="92"/>
  </r>
  <r>
    <x v="13"/>
    <x v="5"/>
    <n v="73"/>
  </r>
  <r>
    <x v="14"/>
    <x v="5"/>
    <n v="37"/>
  </r>
  <r>
    <x v="14"/>
    <x v="4"/>
    <n v="22"/>
  </r>
  <r>
    <x v="14"/>
    <x v="3"/>
    <n v="18"/>
  </r>
  <r>
    <x v="14"/>
    <x v="4"/>
    <n v="10"/>
  </r>
  <r>
    <x v="14"/>
    <x v="3"/>
    <n v="3"/>
  </r>
  <r>
    <x v="13"/>
    <x v="3"/>
    <n v="3"/>
  </r>
  <r>
    <x v="13"/>
    <x v="3"/>
    <n v="6"/>
  </r>
  <r>
    <x v="13"/>
    <x v="3"/>
    <n v="27"/>
  </r>
  <r>
    <x v="13"/>
    <x v="4"/>
    <n v="97"/>
  </r>
  <r>
    <x v="15"/>
    <x v="0"/>
    <n v="214"/>
  </r>
  <r>
    <x v="15"/>
    <x v="0"/>
    <n v="127"/>
  </r>
  <r>
    <x v="2"/>
    <x v="0"/>
    <n v="51"/>
  </r>
  <r>
    <x v="2"/>
    <x v="17"/>
    <n v="31"/>
  </r>
  <r>
    <x v="2"/>
    <x v="4"/>
    <n v="55"/>
  </r>
  <r>
    <x v="2"/>
    <x v="15"/>
    <n v="46"/>
  </r>
  <r>
    <x v="2"/>
    <x v="0"/>
    <n v="60"/>
  </r>
  <r>
    <x v="13"/>
    <x v="4"/>
    <n v="45"/>
  </r>
  <r>
    <x v="13"/>
    <x v="17"/>
    <n v="72"/>
  </r>
  <r>
    <x v="13"/>
    <x v="15"/>
    <n v="130"/>
  </r>
  <r>
    <x v="13"/>
    <x v="5"/>
    <n v="94"/>
  </r>
  <r>
    <x v="13"/>
    <x v="3"/>
    <n v="51"/>
  </r>
  <r>
    <x v="13"/>
    <x v="3"/>
    <n v="32"/>
  </r>
  <r>
    <x v="13"/>
    <x v="3"/>
    <n v="20"/>
  </r>
  <r>
    <x v="13"/>
    <x v="5"/>
    <n v="28"/>
  </r>
  <r>
    <x v="13"/>
    <x v="5"/>
    <n v="18"/>
  </r>
  <r>
    <x v="13"/>
    <x v="3"/>
    <n v="7"/>
  </r>
  <r>
    <x v="13"/>
    <x v="3"/>
    <n v="6"/>
  </r>
  <r>
    <x v="14"/>
    <x v="3"/>
    <n v="1"/>
  </r>
  <r>
    <x v="14"/>
    <x v="3"/>
    <n v="5"/>
  </r>
  <r>
    <x v="16"/>
    <x v="3"/>
    <n v="16"/>
  </r>
  <r>
    <x v="14"/>
    <x v="3"/>
    <n v="54"/>
  </r>
  <r>
    <x v="13"/>
    <x v="0"/>
    <n v="125"/>
  </r>
  <r>
    <x v="13"/>
    <x v="0"/>
    <n v="78"/>
  </r>
  <r>
    <x v="15"/>
    <x v="3"/>
    <n v="39"/>
  </r>
  <r>
    <x v="2"/>
    <x v="0"/>
    <n v="32"/>
  </r>
  <r>
    <x v="2"/>
    <x v="0"/>
    <n v="52"/>
  </r>
  <r>
    <x v="1"/>
    <x v="3"/>
    <n v="49"/>
  </r>
  <r>
    <x v="2"/>
    <x v="3"/>
    <n v="44"/>
  </r>
  <r>
    <x v="2"/>
    <x v="5"/>
    <n v="48"/>
  </r>
  <r>
    <x v="1"/>
    <x v="2"/>
    <n v="63"/>
  </r>
  <r>
    <x v="2"/>
    <x v="3"/>
    <n v="139"/>
  </r>
  <r>
    <x v="2"/>
    <x v="4"/>
    <n v="135"/>
  </r>
  <r>
    <x v="15"/>
    <x v="5"/>
    <n v="82"/>
  </r>
  <r>
    <x v="13"/>
    <x v="4"/>
    <n v="54"/>
  </r>
  <r>
    <x v="13"/>
    <x v="3"/>
    <n v="57"/>
  </r>
  <r>
    <x v="13"/>
    <x v="5"/>
    <n v="32"/>
  </r>
  <r>
    <x v="14"/>
    <x v="5"/>
    <n v="19"/>
  </r>
  <r>
    <x v="14"/>
    <x v="5"/>
    <n v="6"/>
  </r>
  <r>
    <x v="14"/>
    <x v="3"/>
    <n v="2"/>
  </r>
  <r>
    <x v="14"/>
    <x v="3"/>
    <n v="2"/>
  </r>
  <r>
    <x v="14"/>
    <x v="3"/>
    <n v="3"/>
  </r>
  <r>
    <x v="14"/>
    <x v="3"/>
    <n v="4"/>
  </r>
  <r>
    <x v="14"/>
    <x v="3"/>
    <n v="3"/>
  </r>
  <r>
    <x v="16"/>
    <x v="3"/>
    <n v="28"/>
  </r>
  <r>
    <x v="16"/>
    <x v="3"/>
    <n v="72"/>
  </r>
  <r>
    <x v="14"/>
    <x v="2"/>
    <n v="197"/>
  </r>
  <r>
    <x v="14"/>
    <x v="4"/>
    <n v="137"/>
  </r>
  <r>
    <x v="13"/>
    <x v="4"/>
    <n v="36"/>
  </r>
  <r>
    <x v="2"/>
    <x v="17"/>
    <n v="33"/>
  </r>
  <r>
    <x v="2"/>
    <x v="0"/>
    <n v="49"/>
  </r>
  <r>
    <x v="1"/>
    <x v="4"/>
    <n v="81"/>
  </r>
  <r>
    <x v="1"/>
    <x v="0"/>
    <n v="39"/>
  </r>
  <r>
    <x v="0"/>
    <x v="2"/>
    <n v="55"/>
  </r>
  <r>
    <x v="0"/>
    <x v="4"/>
    <n v="76"/>
  </r>
  <r>
    <x v="2"/>
    <x v="17"/>
    <n v="158"/>
  </r>
  <r>
    <x v="2"/>
    <x v="0"/>
    <n v="141"/>
  </r>
  <r>
    <x v="13"/>
    <x v="5"/>
    <n v="98"/>
  </r>
  <r>
    <x v="13"/>
    <x v="3"/>
    <n v="64"/>
  </r>
  <r>
    <x v="14"/>
    <x v="3"/>
    <n v="40"/>
  </r>
  <r>
    <x v="14"/>
    <x v="3"/>
    <n v="30"/>
  </r>
  <r>
    <x v="16"/>
    <x v="5"/>
    <n v="14"/>
  </r>
  <r>
    <x v="16"/>
    <x v="3"/>
    <n v="14"/>
  </r>
  <r>
    <x v="18"/>
    <x v="3"/>
    <n v="5"/>
  </r>
  <r>
    <x v="18"/>
    <x v="3"/>
    <n v="1"/>
  </r>
  <r>
    <x v="18"/>
    <x v="3"/>
    <n v="1"/>
  </r>
  <r>
    <x v="18"/>
    <x v="3"/>
    <n v="8"/>
  </r>
  <r>
    <x v="18"/>
    <x v="3"/>
    <n v="17"/>
  </r>
  <r>
    <x v="18"/>
    <x v="3"/>
    <n v="70"/>
  </r>
  <r>
    <x v="16"/>
    <x v="4"/>
    <n v="156"/>
  </r>
  <r>
    <x v="14"/>
    <x v="3"/>
    <n v="117"/>
  </r>
  <r>
    <x v="15"/>
    <x v="17"/>
    <n v="40"/>
  </r>
  <r>
    <x v="15"/>
    <x v="15"/>
    <n v="47"/>
  </r>
  <r>
    <x v="2"/>
    <x v="4"/>
    <n v="59"/>
  </r>
  <r>
    <x v="1"/>
    <x v="17"/>
    <n v="73"/>
  </r>
  <r>
    <x v="1"/>
    <x v="2"/>
    <n v="59"/>
  </r>
  <r>
    <x v="0"/>
    <x v="14"/>
    <n v="59"/>
  </r>
  <r>
    <x v="1"/>
    <x v="0"/>
    <n v="87"/>
  </r>
  <r>
    <x v="1"/>
    <x v="17"/>
    <n v="155"/>
  </r>
  <r>
    <x v="2"/>
    <x v="2"/>
    <n v="134"/>
  </r>
  <r>
    <x v="13"/>
    <x v="0"/>
    <n v="89"/>
  </r>
  <r>
    <x v="15"/>
    <x v="3"/>
    <n v="68"/>
  </r>
  <r>
    <x v="13"/>
    <x v="17"/>
    <n v="48"/>
  </r>
  <r>
    <x v="13"/>
    <x v="4"/>
    <n v="34"/>
  </r>
  <r>
    <x v="15"/>
    <x v="5"/>
    <n v="26"/>
  </r>
  <r>
    <x v="15"/>
    <x v="0"/>
    <n v="25"/>
  </r>
  <r>
    <x v="13"/>
    <x v="4"/>
    <n v="18"/>
  </r>
  <r>
    <x v="13"/>
    <x v="3"/>
    <n v="12"/>
  </r>
  <r>
    <x v="13"/>
    <x v="5"/>
    <n v="7"/>
  </r>
  <r>
    <x v="13"/>
    <x v="3"/>
    <n v="5"/>
  </r>
  <r>
    <x v="13"/>
    <x v="3"/>
    <n v="1"/>
  </r>
  <r>
    <x v="14"/>
    <x v="5"/>
    <n v="2"/>
  </r>
  <r>
    <x v="14"/>
    <x v="5"/>
    <n v="9"/>
  </r>
  <r>
    <x v="14"/>
    <x v="5"/>
    <n v="22"/>
  </r>
  <r>
    <x v="13"/>
    <x v="4"/>
    <n v="31"/>
  </r>
  <r>
    <x v="15"/>
    <x v="4"/>
    <n v="57"/>
  </r>
  <r>
    <x v="2"/>
    <x v="25"/>
    <n v="54"/>
  </r>
  <r>
    <x v="0"/>
    <x v="13"/>
    <n v="74"/>
  </r>
  <r>
    <x v="17"/>
    <x v="27"/>
    <n v="80"/>
  </r>
  <r>
    <x v="11"/>
    <x v="7"/>
    <n v="92"/>
  </r>
  <r>
    <x v="3"/>
    <x v="27"/>
    <n v="108"/>
  </r>
  <r>
    <x v="10"/>
    <x v="28"/>
    <n v="95"/>
  </r>
  <r>
    <x v="3"/>
    <x v="8"/>
    <n v="54"/>
  </r>
  <r>
    <x v="11"/>
    <x v="13"/>
    <n v="69"/>
  </r>
  <r>
    <x v="3"/>
    <x v="24"/>
    <n v="60"/>
  </r>
  <r>
    <x v="3"/>
    <x v="15"/>
    <n v="35"/>
  </r>
  <r>
    <x v="3"/>
    <x v="15"/>
    <n v="51"/>
  </r>
  <r>
    <x v="11"/>
    <x v="3"/>
    <n v="26"/>
  </r>
  <r>
    <x v="11"/>
    <x v="2"/>
    <n v="39"/>
  </r>
  <r>
    <x v="12"/>
    <x v="15"/>
    <n v="33"/>
  </r>
  <r>
    <x v="12"/>
    <x v="17"/>
    <n v="19"/>
  </r>
  <r>
    <x v="12"/>
    <x v="0"/>
    <n v="13"/>
  </r>
  <r>
    <x v="1"/>
    <x v="14"/>
    <n v="6"/>
  </r>
  <r>
    <x v="12"/>
    <x v="3"/>
    <n v="1"/>
  </r>
  <r>
    <x v="12"/>
    <x v="5"/>
    <n v="1"/>
  </r>
  <r>
    <x v="12"/>
    <x v="3"/>
    <n v="1"/>
  </r>
  <r>
    <x v="0"/>
    <x v="3"/>
    <n v="3"/>
  </r>
  <r>
    <x v="1"/>
    <x v="3"/>
    <n v="18"/>
  </r>
  <r>
    <x v="1"/>
    <x v="0"/>
    <n v="29"/>
  </r>
  <r>
    <x v="1"/>
    <x v="1"/>
    <n v="71"/>
  </r>
  <r>
    <x v="0"/>
    <x v="29"/>
    <n v="70"/>
  </r>
  <r>
    <x v="0"/>
    <x v="8"/>
    <n v="75"/>
  </r>
  <r>
    <x v="12"/>
    <x v="29"/>
    <n v="95"/>
  </r>
  <r>
    <x v="17"/>
    <x v="30"/>
    <n v="69"/>
  </r>
  <r>
    <x v="12"/>
    <x v="10"/>
    <n v="78"/>
  </r>
  <r>
    <x v="0"/>
    <x v="30"/>
    <n v="77"/>
  </r>
  <r>
    <x v="1"/>
    <x v="29"/>
    <n v="82"/>
  </r>
  <r>
    <x v="2"/>
    <x v="16"/>
    <n v="56"/>
  </r>
  <r>
    <x v="15"/>
    <x v="24"/>
    <n v="47"/>
  </r>
  <r>
    <x v="15"/>
    <x v="18"/>
    <n v="50"/>
  </r>
  <r>
    <x v="15"/>
    <x v="15"/>
    <n v="22"/>
  </r>
  <r>
    <x v="2"/>
    <x v="4"/>
    <n v="19"/>
  </r>
  <r>
    <x v="2"/>
    <x v="3"/>
    <n v="18"/>
  </r>
  <r>
    <x v="2"/>
    <x v="5"/>
    <n v="16"/>
  </r>
  <r>
    <x v="2"/>
    <x v="5"/>
    <n v="15"/>
  </r>
  <r>
    <x v="15"/>
    <x v="3"/>
    <n v="8"/>
  </r>
  <r>
    <x v="15"/>
    <x v="3"/>
    <n v="2"/>
  </r>
  <r>
    <x v="15"/>
    <x v="5"/>
    <n v="2"/>
  </r>
  <r>
    <x v="15"/>
    <x v="3"/>
    <n v="1"/>
  </r>
  <r>
    <x v="15"/>
    <x v="3"/>
    <n v="5"/>
  </r>
  <r>
    <x v="13"/>
    <x v="17"/>
    <n v="9"/>
  </r>
  <r>
    <x v="13"/>
    <x v="0"/>
    <n v="30"/>
  </r>
  <r>
    <x v="13"/>
    <x v="1"/>
    <n v="39"/>
  </r>
  <r>
    <x v="13"/>
    <x v="18"/>
    <n v="50"/>
  </r>
  <r>
    <x v="13"/>
    <x v="14"/>
    <n v="55"/>
  </r>
  <r>
    <x v="15"/>
    <x v="22"/>
    <n v="70"/>
  </r>
  <r>
    <x v="15"/>
    <x v="23"/>
    <n v="80"/>
  </r>
  <r>
    <x v="15"/>
    <x v="6"/>
    <n v="74"/>
  </r>
  <r>
    <x v="2"/>
    <x v="27"/>
    <n v="72"/>
  </r>
  <r>
    <x v="2"/>
    <x v="15"/>
    <n v="76"/>
  </r>
  <r>
    <x v="2"/>
    <x v="17"/>
    <n v="67"/>
  </r>
  <r>
    <x v="15"/>
    <x v="18"/>
    <n v="85"/>
  </r>
  <r>
    <x v="15"/>
    <x v="4"/>
    <n v="58"/>
  </r>
  <r>
    <x v="13"/>
    <x v="17"/>
    <n v="29"/>
  </r>
  <r>
    <x v="13"/>
    <x v="0"/>
    <n v="24"/>
  </r>
  <r>
    <x v="14"/>
    <x v="3"/>
    <n v="13"/>
  </r>
  <r>
    <x v="13"/>
    <x v="5"/>
    <n v="3"/>
  </r>
  <r>
    <x v="2"/>
    <x v="3"/>
    <n v="3"/>
  </r>
  <r>
    <x v="2"/>
    <x v="3"/>
    <n v="22"/>
  </r>
  <r>
    <x v="1"/>
    <x v="4"/>
    <n v="26"/>
  </r>
  <r>
    <x v="1"/>
    <x v="0"/>
    <n v="32"/>
  </r>
  <r>
    <x v="1"/>
    <x v="3"/>
    <n v="61"/>
  </r>
  <r>
    <x v="1"/>
    <x v="5"/>
    <n v="124"/>
  </r>
  <r>
    <x v="1"/>
    <x v="5"/>
    <n v="132"/>
  </r>
  <r>
    <x v="1"/>
    <x v="5"/>
    <n v="98"/>
  </r>
  <r>
    <x v="1"/>
    <x v="3"/>
    <n v="83"/>
  </r>
  <r>
    <x v="1"/>
    <x v="3"/>
    <n v="41"/>
  </r>
  <r>
    <x v="1"/>
    <x v="3"/>
    <n v="33"/>
  </r>
  <r>
    <x v="1"/>
    <x v="5"/>
    <n v="19"/>
  </r>
  <r>
    <x v="1"/>
    <x v="3"/>
    <n v="3"/>
  </r>
  <r>
    <x v="1"/>
    <x v="5"/>
    <n v="6"/>
  </r>
  <r>
    <x v="1"/>
    <x v="3"/>
    <n v="3"/>
  </r>
  <r>
    <x v="1"/>
    <x v="5"/>
    <n v="1"/>
  </r>
  <r>
    <x v="1"/>
    <x v="3"/>
    <n v="7"/>
  </r>
  <r>
    <x v="1"/>
    <x v="3"/>
    <n v="32"/>
  </r>
  <r>
    <x v="0"/>
    <x v="5"/>
    <n v="89"/>
  </r>
  <r>
    <x v="0"/>
    <x v="5"/>
    <n v="196"/>
  </r>
  <r>
    <x v="0"/>
    <x v="4"/>
    <n v="107"/>
  </r>
  <r>
    <x v="12"/>
    <x v="5"/>
    <n v="46"/>
  </r>
  <r>
    <x v="17"/>
    <x v="2"/>
    <n v="47"/>
  </r>
  <r>
    <x v="11"/>
    <x v="2"/>
    <n v="65"/>
  </r>
  <r>
    <x v="9"/>
    <x v="16"/>
    <n v="67"/>
  </r>
  <r>
    <x v="9"/>
    <x v="18"/>
    <n v="68"/>
  </r>
  <r>
    <x v="9"/>
    <x v="17"/>
    <n v="78"/>
  </r>
  <r>
    <x v="4"/>
    <x v="22"/>
    <n v="94"/>
  </r>
  <r>
    <x v="5"/>
    <x v="18"/>
    <n v="190"/>
  </r>
  <r>
    <x v="10"/>
    <x v="2"/>
    <n v="156"/>
  </r>
  <r>
    <x v="3"/>
    <x v="17"/>
    <n v="108"/>
  </r>
  <r>
    <x v="3"/>
    <x v="4"/>
    <n v="74"/>
  </r>
  <r>
    <x v="3"/>
    <x v="17"/>
    <n v="55"/>
  </r>
  <r>
    <x v="11"/>
    <x v="15"/>
    <n v="53"/>
  </r>
  <r>
    <x v="11"/>
    <x v="5"/>
    <n v="27"/>
  </r>
  <r>
    <x v="12"/>
    <x v="2"/>
    <n v="8"/>
  </r>
  <r>
    <x v="12"/>
    <x v="4"/>
    <n v="3"/>
  </r>
  <r>
    <x v="12"/>
    <x v="3"/>
    <n v="2"/>
  </r>
  <r>
    <x v="12"/>
    <x v="3"/>
    <n v="1"/>
  </r>
  <r>
    <x v="12"/>
    <x v="3"/>
    <n v="1"/>
  </r>
  <r>
    <x v="0"/>
    <x v="3"/>
    <n v="6"/>
  </r>
  <r>
    <x v="1"/>
    <x v="3"/>
    <n v="35"/>
  </r>
  <r>
    <x v="1"/>
    <x v="5"/>
    <n v="100"/>
  </r>
  <r>
    <x v="1"/>
    <x v="4"/>
    <n v="247"/>
  </r>
  <r>
    <x v="0"/>
    <x v="0"/>
    <n v="140"/>
  </r>
  <r>
    <x v="12"/>
    <x v="5"/>
    <n v="56"/>
  </r>
  <r>
    <x v="17"/>
    <x v="2"/>
    <n v="63"/>
  </r>
  <r>
    <x v="11"/>
    <x v="18"/>
    <n v="77"/>
  </r>
  <r>
    <x v="17"/>
    <x v="6"/>
    <n v="86"/>
  </r>
  <r>
    <x v="11"/>
    <x v="15"/>
    <n v="75"/>
  </r>
  <r>
    <x v="3"/>
    <x v="1"/>
    <n v="62"/>
  </r>
  <r>
    <x v="11"/>
    <x v="1"/>
    <n v="83"/>
  </r>
  <r>
    <x v="11"/>
    <x v="1"/>
    <n v="207"/>
  </r>
  <r>
    <x v="12"/>
    <x v="5"/>
    <n v="184"/>
  </r>
  <r>
    <x v="12"/>
    <x v="15"/>
    <n v="146"/>
  </r>
  <r>
    <x v="12"/>
    <x v="4"/>
    <n v="124"/>
  </r>
  <r>
    <x v="0"/>
    <x v="0"/>
    <n v="54"/>
  </r>
  <r>
    <x v="0"/>
    <x v="3"/>
    <n v="56"/>
  </r>
  <r>
    <x v="0"/>
    <x v="0"/>
    <n v="28"/>
  </r>
  <r>
    <x v="0"/>
    <x v="5"/>
    <n v="20"/>
  </r>
  <r>
    <x v="0"/>
    <x v="3"/>
    <n v="6"/>
  </r>
  <r>
    <x v="0"/>
    <x v="3"/>
    <n v="2"/>
  </r>
  <r>
    <x v="1"/>
    <x v="3"/>
    <n v="1"/>
  </r>
  <r>
    <x v="1"/>
    <x v="3"/>
    <n v="1"/>
  </r>
  <r>
    <x v="0"/>
    <x v="5"/>
    <n v="4"/>
  </r>
  <r>
    <x v="1"/>
    <x v="3"/>
    <n v="27"/>
  </r>
  <r>
    <x v="2"/>
    <x v="4"/>
    <n v="66"/>
  </r>
  <r>
    <x v="2"/>
    <x v="18"/>
    <n v="210"/>
  </r>
  <r>
    <x v="2"/>
    <x v="18"/>
    <n v="159"/>
  </r>
  <r>
    <x v="2"/>
    <x v="15"/>
    <n v="57"/>
  </r>
  <r>
    <x v="1"/>
    <x v="15"/>
    <n v="53"/>
  </r>
  <r>
    <x v="1"/>
    <x v="16"/>
    <n v="67"/>
  </r>
  <r>
    <x v="2"/>
    <x v="1"/>
    <n v="65"/>
  </r>
  <r>
    <x v="2"/>
    <x v="15"/>
    <n v="56"/>
  </r>
  <r>
    <x v="13"/>
    <x v="17"/>
    <n v="61"/>
  </r>
  <r>
    <x v="13"/>
    <x v="3"/>
    <n v="97"/>
  </r>
  <r>
    <x v="14"/>
    <x v="22"/>
    <n v="151"/>
  </r>
  <r>
    <x v="16"/>
    <x v="5"/>
    <n v="119"/>
  </r>
  <r>
    <x v="16"/>
    <x v="0"/>
    <n v="93"/>
  </r>
  <r>
    <x v="18"/>
    <x v="5"/>
    <n v="52"/>
  </r>
  <r>
    <x v="19"/>
    <x v="3"/>
    <n v="41"/>
  </r>
  <r>
    <x v="20"/>
    <x v="5"/>
    <n v="33"/>
  </r>
  <r>
    <x v="20"/>
    <x v="3"/>
    <n v="27"/>
  </r>
  <r>
    <x v="21"/>
    <x v="3"/>
    <n v="13"/>
  </r>
  <r>
    <x v="21"/>
    <x v="0"/>
    <n v="9"/>
  </r>
  <r>
    <x v="21"/>
    <x v="3"/>
    <n v="11"/>
  </r>
  <r>
    <x v="21"/>
    <x v="5"/>
    <n v="6"/>
  </r>
  <r>
    <x v="22"/>
    <x v="3"/>
    <n v="3"/>
  </r>
  <r>
    <x v="22"/>
    <x v="3"/>
    <n v="2"/>
  </r>
  <r>
    <x v="22"/>
    <x v="3"/>
    <n v="8"/>
  </r>
  <r>
    <x v="22"/>
    <x v="5"/>
    <n v="26"/>
  </r>
  <r>
    <x v="21"/>
    <x v="0"/>
    <n v="37"/>
  </r>
  <r>
    <x v="21"/>
    <x v="0"/>
    <n v="50"/>
  </r>
  <r>
    <x v="20"/>
    <x v="17"/>
    <n v="59"/>
  </r>
  <r>
    <x v="20"/>
    <x v="22"/>
    <n v="60"/>
  </r>
  <r>
    <x v="19"/>
    <x v="6"/>
    <n v="72"/>
  </r>
  <r>
    <x v="18"/>
    <x v="16"/>
    <n v="64"/>
  </r>
  <r>
    <x v="16"/>
    <x v="22"/>
    <n v="93"/>
  </r>
  <r>
    <x v="16"/>
    <x v="16"/>
    <n v="72"/>
  </r>
  <r>
    <x v="16"/>
    <x v="1"/>
    <n v="59"/>
  </r>
  <r>
    <x v="19"/>
    <x v="3"/>
    <n v="54"/>
  </r>
  <r>
    <x v="19"/>
    <x v="15"/>
    <n v="53"/>
  </r>
  <r>
    <x v="20"/>
    <x v="5"/>
    <n v="44"/>
  </r>
  <r>
    <x v="20"/>
    <x v="3"/>
    <n v="39"/>
  </r>
  <r>
    <x v="20"/>
    <x v="18"/>
    <n v="23"/>
  </r>
  <r>
    <x v="21"/>
    <x v="4"/>
    <n v="31"/>
  </r>
  <r>
    <x v="21"/>
    <x v="4"/>
    <n v="20"/>
  </r>
  <r>
    <x v="21"/>
    <x v="5"/>
    <n v="12"/>
  </r>
  <r>
    <x v="22"/>
    <x v="0"/>
    <n v="15"/>
  </r>
  <r>
    <x v="22"/>
    <x v="5"/>
    <n v="4"/>
  </r>
  <r>
    <x v="21"/>
    <x v="3"/>
    <n v="3"/>
  </r>
  <r>
    <x v="21"/>
    <x v="3"/>
    <n v="1"/>
  </r>
  <r>
    <x v="19"/>
    <x v="5"/>
    <n v="1"/>
  </r>
  <r>
    <x v="20"/>
    <x v="4"/>
    <n v="17"/>
  </r>
  <r>
    <x v="18"/>
    <x v="0"/>
    <n v="25"/>
  </r>
  <r>
    <x v="14"/>
    <x v="18"/>
    <n v="51"/>
  </r>
  <r>
    <x v="14"/>
    <x v="30"/>
    <n v="77"/>
  </r>
  <r>
    <x v="13"/>
    <x v="31"/>
    <n v="92"/>
  </r>
  <r>
    <x v="14"/>
    <x v="6"/>
    <n v="75"/>
  </r>
  <r>
    <x v="13"/>
    <x v="26"/>
    <n v="93"/>
  </r>
  <r>
    <x v="13"/>
    <x v="23"/>
    <n v="64"/>
  </r>
  <r>
    <x v="13"/>
    <x v="14"/>
    <n v="56"/>
  </r>
  <r>
    <x v="14"/>
    <x v="2"/>
    <n v="50"/>
  </r>
  <r>
    <x v="16"/>
    <x v="2"/>
    <n v="44"/>
  </r>
  <r>
    <x v="16"/>
    <x v="2"/>
    <n v="45"/>
  </r>
  <r>
    <x v="18"/>
    <x v="17"/>
    <n v="31"/>
  </r>
  <r>
    <x v="18"/>
    <x v="2"/>
    <n v="20"/>
  </r>
  <r>
    <x v="19"/>
    <x v="2"/>
    <n v="23"/>
  </r>
  <r>
    <x v="20"/>
    <x v="17"/>
    <n v="17"/>
  </r>
  <r>
    <x v="20"/>
    <x v="3"/>
    <n v="7"/>
  </r>
  <r>
    <x v="21"/>
    <x v="3"/>
    <n v="1"/>
  </r>
  <r>
    <x v="21"/>
    <x v="3"/>
    <n v="1"/>
  </r>
  <r>
    <x v="22"/>
    <x v="3"/>
    <n v="1"/>
  </r>
  <r>
    <x v="22"/>
    <x v="3"/>
    <n v="5"/>
  </r>
  <r>
    <x v="22"/>
    <x v="3"/>
    <n v="15"/>
  </r>
  <r>
    <x v="22"/>
    <x v="2"/>
    <n v="79"/>
  </r>
  <r>
    <x v="21"/>
    <x v="15"/>
    <n v="171"/>
  </r>
  <r>
    <x v="20"/>
    <x v="17"/>
    <n v="98"/>
  </r>
  <r>
    <x v="18"/>
    <x v="15"/>
    <n v="34"/>
  </r>
  <r>
    <x v="18"/>
    <x v="0"/>
    <n v="43"/>
  </r>
  <r>
    <x v="16"/>
    <x v="16"/>
    <n v="52"/>
  </r>
  <r>
    <x v="14"/>
    <x v="15"/>
    <n v="54"/>
  </r>
  <r>
    <x v="14"/>
    <x v="4"/>
    <n v="43"/>
  </r>
  <r>
    <x v="13"/>
    <x v="18"/>
    <n v="50"/>
  </r>
  <r>
    <x v="13"/>
    <x v="17"/>
    <n v="66"/>
  </r>
  <r>
    <x v="14"/>
    <x v="15"/>
    <n v="178"/>
  </r>
  <r>
    <x v="14"/>
    <x v="1"/>
    <n v="145"/>
  </r>
  <r>
    <x v="14"/>
    <x v="2"/>
    <n v="101"/>
  </r>
  <r>
    <x v="14"/>
    <x v="5"/>
    <n v="80"/>
  </r>
  <r>
    <x v="14"/>
    <x v="15"/>
    <n v="53"/>
  </r>
  <r>
    <x v="14"/>
    <x v="0"/>
    <n v="32"/>
  </r>
  <r>
    <x v="13"/>
    <x v="0"/>
    <n v="21"/>
  </r>
  <r>
    <x v="13"/>
    <x v="0"/>
    <n v="6"/>
  </r>
  <r>
    <x v="13"/>
    <x v="3"/>
    <n v="5"/>
  </r>
  <r>
    <x v="13"/>
    <x v="3"/>
    <n v="2"/>
  </r>
  <r>
    <x v="14"/>
    <x v="3"/>
    <n v="1"/>
  </r>
  <r>
    <x v="14"/>
    <x v="3"/>
    <n v="9"/>
  </r>
  <r>
    <x v="13"/>
    <x v="5"/>
    <n v="35"/>
  </r>
  <r>
    <x v="13"/>
    <x v="2"/>
    <n v="103"/>
  </r>
  <r>
    <x v="13"/>
    <x v="2"/>
    <n v="233"/>
  </r>
  <r>
    <x v="2"/>
    <x v="22"/>
    <n v="134"/>
  </r>
  <r>
    <x v="1"/>
    <x v="15"/>
    <n v="49"/>
  </r>
  <r>
    <x v="0"/>
    <x v="15"/>
    <n v="55"/>
  </r>
  <r>
    <x v="12"/>
    <x v="27"/>
    <n v="85"/>
  </r>
  <r>
    <x v="12"/>
    <x v="27"/>
    <n v="72"/>
  </r>
  <r>
    <x v="11"/>
    <x v="16"/>
    <n v="57"/>
  </r>
  <r>
    <x v="3"/>
    <x v="27"/>
    <n v="63"/>
  </r>
  <r>
    <x v="3"/>
    <x v="24"/>
    <n v="102"/>
  </r>
  <r>
    <x v="11"/>
    <x v="24"/>
    <n v="208"/>
  </r>
  <r>
    <x v="11"/>
    <x v="18"/>
    <n v="218"/>
  </r>
  <r>
    <x v="12"/>
    <x v="23"/>
    <n v="133"/>
  </r>
  <r>
    <x v="0"/>
    <x v="19"/>
    <n v="103"/>
  </r>
  <r>
    <x v="0"/>
    <x v="2"/>
    <n v="40"/>
  </r>
  <r>
    <x v="1"/>
    <x v="17"/>
    <n v="49"/>
  </r>
  <r>
    <x v="1"/>
    <x v="0"/>
    <n v="37"/>
  </r>
  <r>
    <x v="1"/>
    <x v="0"/>
    <n v="14"/>
  </r>
  <r>
    <x v="0"/>
    <x v="3"/>
    <n v="5"/>
  </r>
  <r>
    <x v="1"/>
    <x v="0"/>
    <n v="7"/>
  </r>
  <r>
    <x v="2"/>
    <x v="3"/>
    <n v="1"/>
  </r>
  <r>
    <x v="2"/>
    <x v="3"/>
    <n v="8"/>
  </r>
  <r>
    <x v="1"/>
    <x v="5"/>
    <n v="29"/>
  </r>
  <r>
    <x v="1"/>
    <x v="0"/>
    <n v="69"/>
  </r>
  <r>
    <x v="1"/>
    <x v="0"/>
    <n v="55"/>
  </r>
  <r>
    <x v="1"/>
    <x v="4"/>
    <n v="26"/>
  </r>
  <r>
    <x v="1"/>
    <x v="15"/>
    <n v="35"/>
  </r>
  <r>
    <x v="1"/>
    <x v="18"/>
    <n v="41"/>
  </r>
  <r>
    <x v="1"/>
    <x v="17"/>
    <n v="43"/>
  </r>
  <r>
    <x v="1"/>
    <x v="3"/>
    <n v="36"/>
  </r>
  <r>
    <x v="1"/>
    <x v="5"/>
    <n v="42"/>
  </r>
  <r>
    <x v="1"/>
    <x v="5"/>
    <n v="35"/>
  </r>
  <r>
    <x v="2"/>
    <x v="3"/>
    <n v="26"/>
  </r>
  <r>
    <x v="1"/>
    <x v="5"/>
    <n v="23"/>
  </r>
  <r>
    <x v="1"/>
    <x v="4"/>
    <n v="82"/>
  </r>
  <r>
    <x v="2"/>
    <x v="0"/>
    <n v="101"/>
  </r>
  <r>
    <x v="2"/>
    <x v="0"/>
    <n v="76"/>
  </r>
  <r>
    <x v="15"/>
    <x v="17"/>
    <n v="55"/>
  </r>
  <r>
    <x v="15"/>
    <x v="4"/>
    <n v="36"/>
  </r>
  <r>
    <x v="15"/>
    <x v="3"/>
    <n v="27"/>
  </r>
  <r>
    <x v="15"/>
    <x v="3"/>
    <n v="16"/>
  </r>
  <r>
    <x v="2"/>
    <x v="3"/>
    <n v="9"/>
  </r>
  <r>
    <x v="2"/>
    <x v="5"/>
    <n v="2"/>
  </r>
  <r>
    <x v="2"/>
    <x v="3"/>
    <n v="2"/>
  </r>
  <r>
    <x v="2"/>
    <x v="5"/>
    <n v="0"/>
  </r>
  <r>
    <x v="15"/>
    <x v="3"/>
    <n v="4"/>
  </r>
  <r>
    <x v="15"/>
    <x v="3"/>
    <n v="16"/>
  </r>
  <r>
    <x v="13"/>
    <x v="4"/>
    <n v="58"/>
  </r>
  <r>
    <x v="13"/>
    <x v="4"/>
    <n v="155"/>
  </r>
  <r>
    <x v="15"/>
    <x v="15"/>
    <n v="95"/>
  </r>
  <r>
    <x v="15"/>
    <x v="3"/>
    <n v="49"/>
  </r>
  <r>
    <x v="15"/>
    <x v="3"/>
    <n v="30"/>
  </r>
  <r>
    <x v="15"/>
    <x v="5"/>
    <n v="28"/>
  </r>
  <r>
    <x v="15"/>
    <x v="3"/>
    <n v="31"/>
  </r>
  <r>
    <x v="1"/>
    <x v="4"/>
    <n v="36"/>
  </r>
  <r>
    <x v="2"/>
    <x v="5"/>
    <n v="4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10">
  <r>
    <x v="0"/>
    <x v="0"/>
    <x v="0"/>
  </r>
  <r>
    <x v="0"/>
    <x v="1"/>
    <x v="1"/>
  </r>
  <r>
    <x v="0"/>
    <x v="2"/>
    <x v="2"/>
  </r>
  <r>
    <x v="0"/>
    <x v="0"/>
    <x v="3"/>
  </r>
  <r>
    <x v="0"/>
    <x v="3"/>
    <x v="4"/>
  </r>
  <r>
    <x v="1"/>
    <x v="3"/>
    <x v="4"/>
  </r>
  <r>
    <x v="0"/>
    <x v="4"/>
    <x v="5"/>
  </r>
  <r>
    <x v="0"/>
    <x v="5"/>
    <x v="6"/>
  </r>
  <r>
    <x v="0"/>
    <x v="5"/>
    <x v="7"/>
  </r>
  <r>
    <x v="0"/>
    <x v="1"/>
    <x v="8"/>
  </r>
  <r>
    <x v="0"/>
    <x v="6"/>
    <x v="9"/>
  </r>
  <r>
    <x v="0"/>
    <x v="7"/>
    <x v="10"/>
  </r>
  <r>
    <x v="0"/>
    <x v="8"/>
    <x v="11"/>
  </r>
  <r>
    <x v="1"/>
    <x v="9"/>
    <x v="12"/>
  </r>
  <r>
    <x v="1"/>
    <x v="10"/>
    <x v="13"/>
  </r>
  <r>
    <x v="1"/>
    <x v="11"/>
    <x v="14"/>
  </r>
  <r>
    <x v="1"/>
    <x v="12"/>
    <x v="15"/>
  </r>
  <r>
    <x v="1"/>
    <x v="13"/>
    <x v="15"/>
  </r>
  <r>
    <x v="2"/>
    <x v="14"/>
    <x v="16"/>
  </r>
  <r>
    <x v="2"/>
    <x v="15"/>
    <x v="17"/>
  </r>
  <r>
    <x v="1"/>
    <x v="16"/>
    <x v="18"/>
  </r>
  <r>
    <x v="1"/>
    <x v="0"/>
    <x v="17"/>
  </r>
  <r>
    <x v="1"/>
    <x v="16"/>
    <x v="19"/>
  </r>
  <r>
    <x v="1"/>
    <x v="13"/>
    <x v="9"/>
  </r>
  <r>
    <x v="1"/>
    <x v="17"/>
    <x v="0"/>
  </r>
  <r>
    <x v="1"/>
    <x v="5"/>
    <x v="20"/>
  </r>
  <r>
    <x v="1"/>
    <x v="5"/>
    <x v="21"/>
  </r>
  <r>
    <x v="1"/>
    <x v="4"/>
    <x v="22"/>
  </r>
  <r>
    <x v="1"/>
    <x v="4"/>
    <x v="4"/>
  </r>
  <r>
    <x v="2"/>
    <x v="3"/>
    <x v="6"/>
  </r>
  <r>
    <x v="1"/>
    <x v="3"/>
    <x v="4"/>
  </r>
  <r>
    <x v="2"/>
    <x v="3"/>
    <x v="21"/>
  </r>
  <r>
    <x v="1"/>
    <x v="5"/>
    <x v="23"/>
  </r>
  <r>
    <x v="1"/>
    <x v="18"/>
    <x v="24"/>
  </r>
  <r>
    <x v="1"/>
    <x v="19"/>
    <x v="25"/>
  </r>
  <r>
    <x v="1"/>
    <x v="20"/>
    <x v="26"/>
  </r>
  <r>
    <x v="1"/>
    <x v="16"/>
    <x v="27"/>
  </r>
  <r>
    <x v="2"/>
    <x v="17"/>
    <x v="11"/>
  </r>
  <r>
    <x v="2"/>
    <x v="21"/>
    <x v="11"/>
  </r>
  <r>
    <x v="2"/>
    <x v="14"/>
    <x v="28"/>
  </r>
  <r>
    <x v="0"/>
    <x v="18"/>
    <x v="29"/>
  </r>
  <r>
    <x v="1"/>
    <x v="22"/>
    <x v="30"/>
  </r>
  <r>
    <x v="0"/>
    <x v="5"/>
    <x v="31"/>
  </r>
  <r>
    <x v="0"/>
    <x v="2"/>
    <x v="19"/>
  </r>
  <r>
    <x v="0"/>
    <x v="16"/>
    <x v="32"/>
  </r>
  <r>
    <x v="0"/>
    <x v="3"/>
    <x v="33"/>
  </r>
  <r>
    <x v="0"/>
    <x v="3"/>
    <x v="21"/>
  </r>
  <r>
    <x v="0"/>
    <x v="3"/>
    <x v="34"/>
  </r>
  <r>
    <x v="0"/>
    <x v="3"/>
    <x v="6"/>
  </r>
  <r>
    <x v="0"/>
    <x v="3"/>
    <x v="4"/>
  </r>
  <r>
    <x v="0"/>
    <x v="3"/>
    <x v="35"/>
  </r>
  <r>
    <x v="0"/>
    <x v="3"/>
    <x v="10"/>
  </r>
  <r>
    <x v="0"/>
    <x v="5"/>
    <x v="36"/>
  </r>
  <r>
    <x v="0"/>
    <x v="5"/>
    <x v="37"/>
  </r>
  <r>
    <x v="0"/>
    <x v="18"/>
    <x v="38"/>
  </r>
  <r>
    <x v="0"/>
    <x v="16"/>
    <x v="39"/>
  </r>
  <r>
    <x v="0"/>
    <x v="22"/>
    <x v="40"/>
  </r>
  <r>
    <x v="0"/>
    <x v="23"/>
    <x v="41"/>
  </r>
  <r>
    <x v="0"/>
    <x v="1"/>
    <x v="42"/>
  </r>
  <r>
    <x v="0"/>
    <x v="16"/>
    <x v="43"/>
  </r>
  <r>
    <x v="0"/>
    <x v="24"/>
    <x v="29"/>
  </r>
  <r>
    <x v="0"/>
    <x v="14"/>
    <x v="28"/>
  </r>
  <r>
    <x v="0"/>
    <x v="16"/>
    <x v="44"/>
  </r>
  <r>
    <x v="0"/>
    <x v="14"/>
    <x v="45"/>
  </r>
  <r>
    <x v="0"/>
    <x v="1"/>
    <x v="46"/>
  </r>
  <r>
    <x v="0"/>
    <x v="0"/>
    <x v="47"/>
  </r>
  <r>
    <x v="0"/>
    <x v="0"/>
    <x v="47"/>
  </r>
  <r>
    <x v="0"/>
    <x v="3"/>
    <x v="32"/>
  </r>
  <r>
    <x v="0"/>
    <x v="5"/>
    <x v="48"/>
  </r>
  <r>
    <x v="0"/>
    <x v="3"/>
    <x v="34"/>
  </r>
  <r>
    <x v="0"/>
    <x v="3"/>
    <x v="6"/>
  </r>
  <r>
    <x v="0"/>
    <x v="3"/>
    <x v="4"/>
  </r>
  <r>
    <x v="0"/>
    <x v="3"/>
    <x v="6"/>
  </r>
  <r>
    <x v="0"/>
    <x v="3"/>
    <x v="22"/>
  </r>
  <r>
    <x v="0"/>
    <x v="3"/>
    <x v="49"/>
  </r>
  <r>
    <x v="0"/>
    <x v="4"/>
    <x v="50"/>
  </r>
  <r>
    <x v="0"/>
    <x v="4"/>
    <x v="51"/>
  </r>
  <r>
    <x v="0"/>
    <x v="4"/>
    <x v="52"/>
  </r>
  <r>
    <x v="1"/>
    <x v="2"/>
    <x v="53"/>
  </r>
  <r>
    <x v="0"/>
    <x v="18"/>
    <x v="54"/>
  </r>
  <r>
    <x v="0"/>
    <x v="6"/>
    <x v="43"/>
  </r>
  <r>
    <x v="0"/>
    <x v="25"/>
    <x v="55"/>
  </r>
  <r>
    <x v="0"/>
    <x v="14"/>
    <x v="25"/>
  </r>
  <r>
    <x v="0"/>
    <x v="26"/>
    <x v="41"/>
  </r>
  <r>
    <x v="0"/>
    <x v="13"/>
    <x v="56"/>
  </r>
  <r>
    <x v="0"/>
    <x v="22"/>
    <x v="57"/>
  </r>
  <r>
    <x v="0"/>
    <x v="0"/>
    <x v="58"/>
  </r>
  <r>
    <x v="0"/>
    <x v="4"/>
    <x v="59"/>
  </r>
  <r>
    <x v="0"/>
    <x v="5"/>
    <x v="42"/>
  </r>
  <r>
    <x v="0"/>
    <x v="3"/>
    <x v="41"/>
  </r>
  <r>
    <x v="0"/>
    <x v="5"/>
    <x v="60"/>
  </r>
  <r>
    <x v="0"/>
    <x v="4"/>
    <x v="33"/>
  </r>
  <r>
    <x v="0"/>
    <x v="3"/>
    <x v="8"/>
  </r>
  <r>
    <x v="0"/>
    <x v="3"/>
    <x v="8"/>
  </r>
  <r>
    <x v="0"/>
    <x v="3"/>
    <x v="6"/>
  </r>
  <r>
    <x v="0"/>
    <x v="3"/>
    <x v="6"/>
  </r>
  <r>
    <x v="0"/>
    <x v="3"/>
    <x v="35"/>
  </r>
  <r>
    <x v="0"/>
    <x v="3"/>
    <x v="39"/>
  </r>
  <r>
    <x v="0"/>
    <x v="5"/>
    <x v="61"/>
  </r>
  <r>
    <x v="0"/>
    <x v="0"/>
    <x v="62"/>
  </r>
  <r>
    <x v="0"/>
    <x v="15"/>
    <x v="63"/>
  </r>
  <r>
    <x v="0"/>
    <x v="17"/>
    <x v="42"/>
  </r>
  <r>
    <x v="0"/>
    <x v="6"/>
    <x v="60"/>
  </r>
  <r>
    <x v="0"/>
    <x v="2"/>
    <x v="64"/>
  </r>
  <r>
    <x v="0"/>
    <x v="15"/>
    <x v="65"/>
  </r>
  <r>
    <x v="0"/>
    <x v="22"/>
    <x v="15"/>
  </r>
  <r>
    <x v="0"/>
    <x v="18"/>
    <x v="11"/>
  </r>
  <r>
    <x v="0"/>
    <x v="17"/>
    <x v="66"/>
  </r>
  <r>
    <x v="0"/>
    <x v="17"/>
    <x v="67"/>
  </r>
  <r>
    <x v="0"/>
    <x v="0"/>
    <x v="68"/>
  </r>
  <r>
    <x v="0"/>
    <x v="2"/>
    <x v="69"/>
  </r>
  <r>
    <x v="0"/>
    <x v="18"/>
    <x v="70"/>
  </r>
  <r>
    <x v="0"/>
    <x v="0"/>
    <x v="71"/>
  </r>
  <r>
    <x v="0"/>
    <x v="5"/>
    <x v="40"/>
  </r>
  <r>
    <x v="0"/>
    <x v="5"/>
    <x v="72"/>
  </r>
  <r>
    <x v="0"/>
    <x v="3"/>
    <x v="48"/>
  </r>
  <r>
    <x v="0"/>
    <x v="3"/>
    <x v="22"/>
  </r>
  <r>
    <x v="0"/>
    <x v="3"/>
    <x v="6"/>
  </r>
  <r>
    <x v="1"/>
    <x v="3"/>
    <x v="4"/>
  </r>
  <r>
    <x v="1"/>
    <x v="3"/>
    <x v="22"/>
  </r>
  <r>
    <x v="1"/>
    <x v="3"/>
    <x v="49"/>
  </r>
  <r>
    <x v="1"/>
    <x v="3"/>
    <x v="73"/>
  </r>
  <r>
    <x v="0"/>
    <x v="0"/>
    <x v="74"/>
  </r>
  <r>
    <x v="1"/>
    <x v="15"/>
    <x v="75"/>
  </r>
  <r>
    <x v="0"/>
    <x v="0"/>
    <x v="76"/>
  </r>
  <r>
    <x v="0"/>
    <x v="4"/>
    <x v="77"/>
  </r>
  <r>
    <x v="0"/>
    <x v="15"/>
    <x v="78"/>
  </r>
  <r>
    <x v="0"/>
    <x v="6"/>
    <x v="11"/>
  </r>
  <r>
    <x v="0"/>
    <x v="16"/>
    <x v="79"/>
  </r>
  <r>
    <x v="0"/>
    <x v="1"/>
    <x v="25"/>
  </r>
  <r>
    <x v="0"/>
    <x v="6"/>
    <x v="64"/>
  </r>
  <r>
    <x v="0"/>
    <x v="14"/>
    <x v="80"/>
  </r>
  <r>
    <x v="0"/>
    <x v="2"/>
    <x v="81"/>
  </r>
  <r>
    <x v="0"/>
    <x v="0"/>
    <x v="63"/>
  </r>
  <r>
    <x v="0"/>
    <x v="0"/>
    <x v="43"/>
  </r>
  <r>
    <x v="1"/>
    <x v="3"/>
    <x v="41"/>
  </r>
  <r>
    <x v="1"/>
    <x v="5"/>
    <x v="82"/>
  </r>
  <r>
    <x v="1"/>
    <x v="17"/>
    <x v="23"/>
  </r>
  <r>
    <x v="1"/>
    <x v="17"/>
    <x v="0"/>
  </r>
  <r>
    <x v="1"/>
    <x v="4"/>
    <x v="34"/>
  </r>
  <r>
    <x v="1"/>
    <x v="3"/>
    <x v="4"/>
  </r>
  <r>
    <x v="1"/>
    <x v="3"/>
    <x v="4"/>
  </r>
  <r>
    <x v="2"/>
    <x v="3"/>
    <x v="34"/>
  </r>
  <r>
    <x v="1"/>
    <x v="1"/>
    <x v="16"/>
  </r>
  <r>
    <x v="0"/>
    <x v="1"/>
    <x v="83"/>
  </r>
  <r>
    <x v="0"/>
    <x v="20"/>
    <x v="84"/>
  </r>
  <r>
    <x v="0"/>
    <x v="14"/>
    <x v="85"/>
  </r>
  <r>
    <x v="0"/>
    <x v="19"/>
    <x v="12"/>
  </r>
  <r>
    <x v="1"/>
    <x v="21"/>
    <x v="41"/>
  </r>
  <r>
    <x v="1"/>
    <x v="14"/>
    <x v="54"/>
  </r>
  <r>
    <x v="1"/>
    <x v="14"/>
    <x v="27"/>
  </r>
  <r>
    <x v="1"/>
    <x v="18"/>
    <x v="30"/>
  </r>
  <r>
    <x v="1"/>
    <x v="14"/>
    <x v="36"/>
  </r>
  <r>
    <x v="1"/>
    <x v="2"/>
    <x v="70"/>
  </r>
  <r>
    <x v="1"/>
    <x v="14"/>
    <x v="86"/>
  </r>
  <r>
    <x v="0"/>
    <x v="18"/>
    <x v="75"/>
  </r>
  <r>
    <x v="0"/>
    <x v="0"/>
    <x v="50"/>
  </r>
  <r>
    <x v="0"/>
    <x v="5"/>
    <x v="54"/>
  </r>
  <r>
    <x v="0"/>
    <x v="3"/>
    <x v="87"/>
  </r>
  <r>
    <x v="1"/>
    <x v="4"/>
    <x v="60"/>
  </r>
  <r>
    <x v="1"/>
    <x v="5"/>
    <x v="88"/>
  </r>
  <r>
    <x v="1"/>
    <x v="5"/>
    <x v="9"/>
  </r>
  <r>
    <x v="1"/>
    <x v="5"/>
    <x v="89"/>
  </r>
  <r>
    <x v="1"/>
    <x v="0"/>
    <x v="0"/>
  </r>
  <r>
    <x v="2"/>
    <x v="3"/>
    <x v="7"/>
  </r>
  <r>
    <x v="2"/>
    <x v="3"/>
    <x v="4"/>
  </r>
  <r>
    <x v="1"/>
    <x v="3"/>
    <x v="34"/>
  </r>
  <r>
    <x v="1"/>
    <x v="3"/>
    <x v="6"/>
  </r>
  <r>
    <x v="1"/>
    <x v="5"/>
    <x v="21"/>
  </r>
  <r>
    <x v="2"/>
    <x v="3"/>
    <x v="89"/>
  </r>
  <r>
    <x v="2"/>
    <x v="3"/>
    <x v="32"/>
  </r>
  <r>
    <x v="1"/>
    <x v="2"/>
    <x v="90"/>
  </r>
  <r>
    <x v="1"/>
    <x v="4"/>
    <x v="91"/>
  </r>
  <r>
    <x v="1"/>
    <x v="1"/>
    <x v="92"/>
  </r>
  <r>
    <x v="0"/>
    <x v="18"/>
    <x v="73"/>
  </r>
  <r>
    <x v="0"/>
    <x v="6"/>
    <x v="93"/>
  </r>
  <r>
    <x v="0"/>
    <x v="2"/>
    <x v="94"/>
  </r>
  <r>
    <x v="0"/>
    <x v="1"/>
    <x v="56"/>
  </r>
  <r>
    <x v="0"/>
    <x v="2"/>
    <x v="27"/>
  </r>
  <r>
    <x v="0"/>
    <x v="0"/>
    <x v="15"/>
  </r>
  <r>
    <x v="0"/>
    <x v="17"/>
    <x v="16"/>
  </r>
  <r>
    <x v="0"/>
    <x v="3"/>
    <x v="95"/>
  </r>
  <r>
    <x v="0"/>
    <x v="4"/>
    <x v="96"/>
  </r>
  <r>
    <x v="0"/>
    <x v="5"/>
    <x v="39"/>
  </r>
  <r>
    <x v="0"/>
    <x v="3"/>
    <x v="97"/>
  </r>
  <r>
    <x v="0"/>
    <x v="5"/>
    <x v="9"/>
  </r>
  <r>
    <x v="0"/>
    <x v="3"/>
    <x v="98"/>
  </r>
  <r>
    <x v="0"/>
    <x v="3"/>
    <x v="48"/>
  </r>
  <r>
    <x v="0"/>
    <x v="3"/>
    <x v="22"/>
  </r>
  <r>
    <x v="0"/>
    <x v="3"/>
    <x v="4"/>
  </r>
  <r>
    <x v="0"/>
    <x v="3"/>
    <x v="4"/>
  </r>
  <r>
    <x v="0"/>
    <x v="3"/>
    <x v="4"/>
  </r>
  <r>
    <x v="0"/>
    <x v="5"/>
    <x v="34"/>
  </r>
  <r>
    <x v="0"/>
    <x v="3"/>
    <x v="3"/>
  </r>
  <r>
    <x v="0"/>
    <x v="3"/>
    <x v="23"/>
  </r>
  <r>
    <x v="0"/>
    <x v="3"/>
    <x v="47"/>
  </r>
  <r>
    <x v="0"/>
    <x v="4"/>
    <x v="12"/>
  </r>
  <r>
    <x v="0"/>
    <x v="17"/>
    <x v="55"/>
  </r>
  <r>
    <x v="0"/>
    <x v="15"/>
    <x v="94"/>
  </r>
  <r>
    <x v="0"/>
    <x v="1"/>
    <x v="27"/>
  </r>
  <r>
    <x v="0"/>
    <x v="2"/>
    <x v="99"/>
  </r>
  <r>
    <x v="0"/>
    <x v="23"/>
    <x v="55"/>
  </r>
  <r>
    <x v="0"/>
    <x v="0"/>
    <x v="79"/>
  </r>
  <r>
    <x v="0"/>
    <x v="17"/>
    <x v="100"/>
  </r>
  <r>
    <x v="0"/>
    <x v="5"/>
    <x v="71"/>
  </r>
  <r>
    <x v="0"/>
    <x v="3"/>
    <x v="101"/>
  </r>
  <r>
    <x v="0"/>
    <x v="5"/>
    <x v="23"/>
  </r>
  <r>
    <x v="0"/>
    <x v="2"/>
    <x v="3"/>
  </r>
  <r>
    <x v="0"/>
    <x v="3"/>
    <x v="8"/>
  </r>
  <r>
    <x v="0"/>
    <x v="4"/>
    <x v="35"/>
  </r>
  <r>
    <x v="0"/>
    <x v="5"/>
    <x v="5"/>
  </r>
  <r>
    <x v="0"/>
    <x v="3"/>
    <x v="35"/>
  </r>
  <r>
    <x v="0"/>
    <x v="3"/>
    <x v="4"/>
  </r>
  <r>
    <x v="0"/>
    <x v="5"/>
    <x v="6"/>
  </r>
  <r>
    <x v="0"/>
    <x v="3"/>
    <x v="35"/>
  </r>
  <r>
    <x v="0"/>
    <x v="3"/>
    <x v="17"/>
  </r>
  <r>
    <x v="0"/>
    <x v="4"/>
    <x v="102"/>
  </r>
  <r>
    <x v="1"/>
    <x v="17"/>
    <x v="103"/>
  </r>
  <r>
    <x v="1"/>
    <x v="4"/>
    <x v="50"/>
  </r>
  <r>
    <x v="1"/>
    <x v="3"/>
    <x v="17"/>
  </r>
  <r>
    <x v="1"/>
    <x v="4"/>
    <x v="95"/>
  </r>
  <r>
    <x v="1"/>
    <x v="2"/>
    <x v="12"/>
  </r>
  <r>
    <x v="1"/>
    <x v="17"/>
    <x v="54"/>
  </r>
  <r>
    <x v="1"/>
    <x v="3"/>
    <x v="12"/>
  </r>
  <r>
    <x v="1"/>
    <x v="4"/>
    <x v="30"/>
  </r>
  <r>
    <x v="0"/>
    <x v="17"/>
    <x v="14"/>
  </r>
  <r>
    <x v="0"/>
    <x v="17"/>
    <x v="104"/>
  </r>
  <r>
    <x v="0"/>
    <x v="5"/>
    <x v="105"/>
  </r>
  <r>
    <x v="0"/>
    <x v="0"/>
    <x v="50"/>
  </r>
  <r>
    <x v="0"/>
    <x v="5"/>
    <x v="26"/>
  </r>
  <r>
    <x v="0"/>
    <x v="5"/>
    <x v="53"/>
  </r>
  <r>
    <x v="0"/>
    <x v="4"/>
    <x v="97"/>
  </r>
  <r>
    <x v="0"/>
    <x v="3"/>
    <x v="72"/>
  </r>
  <r>
    <x v="0"/>
    <x v="4"/>
    <x v="3"/>
  </r>
  <r>
    <x v="0"/>
    <x v="3"/>
    <x v="35"/>
  </r>
  <r>
    <x v="1"/>
    <x v="3"/>
    <x v="35"/>
  </r>
  <r>
    <x v="1"/>
    <x v="3"/>
    <x v="8"/>
  </r>
  <r>
    <x v="1"/>
    <x v="3"/>
    <x v="2"/>
  </r>
  <r>
    <x v="1"/>
    <x v="4"/>
    <x v="106"/>
  </r>
  <r>
    <x v="1"/>
    <x v="0"/>
    <x v="107"/>
  </r>
  <r>
    <x v="1"/>
    <x v="0"/>
    <x v="69"/>
  </r>
  <r>
    <x v="1"/>
    <x v="0"/>
    <x v="82"/>
  </r>
  <r>
    <x v="1"/>
    <x v="17"/>
    <x v="17"/>
  </r>
  <r>
    <x v="1"/>
    <x v="4"/>
    <x v="11"/>
  </r>
  <r>
    <x v="1"/>
    <x v="15"/>
    <x v="24"/>
  </r>
  <r>
    <x v="1"/>
    <x v="0"/>
    <x v="91"/>
  </r>
  <r>
    <x v="1"/>
    <x v="4"/>
    <x v="108"/>
  </r>
  <r>
    <x v="1"/>
    <x v="17"/>
    <x v="109"/>
  </r>
  <r>
    <x v="1"/>
    <x v="15"/>
    <x v="110"/>
  </r>
  <r>
    <x v="2"/>
    <x v="5"/>
    <x v="111"/>
  </r>
  <r>
    <x v="2"/>
    <x v="3"/>
    <x v="82"/>
  </r>
  <r>
    <x v="2"/>
    <x v="3"/>
    <x v="1"/>
  </r>
  <r>
    <x v="2"/>
    <x v="3"/>
    <x v="32"/>
  </r>
  <r>
    <x v="2"/>
    <x v="5"/>
    <x v="95"/>
  </r>
  <r>
    <x v="2"/>
    <x v="5"/>
    <x v="72"/>
  </r>
  <r>
    <x v="1"/>
    <x v="3"/>
    <x v="7"/>
  </r>
  <r>
    <x v="1"/>
    <x v="3"/>
    <x v="8"/>
  </r>
  <r>
    <x v="0"/>
    <x v="3"/>
    <x v="4"/>
  </r>
  <r>
    <x v="0"/>
    <x v="3"/>
    <x v="34"/>
  </r>
  <r>
    <x v="0"/>
    <x v="3"/>
    <x v="20"/>
  </r>
  <r>
    <x v="0"/>
    <x v="3"/>
    <x v="25"/>
  </r>
  <r>
    <x v="0"/>
    <x v="0"/>
    <x v="85"/>
  </r>
  <r>
    <x v="0"/>
    <x v="0"/>
    <x v="78"/>
  </r>
  <r>
    <x v="0"/>
    <x v="3"/>
    <x v="87"/>
  </r>
  <r>
    <x v="0"/>
    <x v="0"/>
    <x v="1"/>
  </r>
  <r>
    <x v="0"/>
    <x v="0"/>
    <x v="15"/>
  </r>
  <r>
    <x v="0"/>
    <x v="3"/>
    <x v="47"/>
  </r>
  <r>
    <x v="0"/>
    <x v="3"/>
    <x v="100"/>
  </r>
  <r>
    <x v="0"/>
    <x v="5"/>
    <x v="41"/>
  </r>
  <r>
    <x v="0"/>
    <x v="2"/>
    <x v="36"/>
  </r>
  <r>
    <x v="0"/>
    <x v="3"/>
    <x v="112"/>
  </r>
  <r>
    <x v="0"/>
    <x v="4"/>
    <x v="113"/>
  </r>
  <r>
    <x v="0"/>
    <x v="5"/>
    <x v="70"/>
  </r>
  <r>
    <x v="0"/>
    <x v="4"/>
    <x v="25"/>
  </r>
  <r>
    <x v="0"/>
    <x v="3"/>
    <x v="77"/>
  </r>
  <r>
    <x v="0"/>
    <x v="5"/>
    <x v="1"/>
  </r>
  <r>
    <x v="0"/>
    <x v="5"/>
    <x v="23"/>
  </r>
  <r>
    <x v="0"/>
    <x v="5"/>
    <x v="8"/>
  </r>
  <r>
    <x v="0"/>
    <x v="3"/>
    <x v="6"/>
  </r>
  <r>
    <x v="0"/>
    <x v="3"/>
    <x v="6"/>
  </r>
  <r>
    <x v="0"/>
    <x v="3"/>
    <x v="35"/>
  </r>
  <r>
    <x v="0"/>
    <x v="3"/>
    <x v="22"/>
  </r>
  <r>
    <x v="0"/>
    <x v="3"/>
    <x v="35"/>
  </r>
  <r>
    <x v="0"/>
    <x v="3"/>
    <x v="95"/>
  </r>
  <r>
    <x v="0"/>
    <x v="3"/>
    <x v="109"/>
  </r>
  <r>
    <x v="0"/>
    <x v="2"/>
    <x v="114"/>
  </r>
  <r>
    <x v="0"/>
    <x v="4"/>
    <x v="115"/>
  </r>
  <r>
    <x v="1"/>
    <x v="4"/>
    <x v="49"/>
  </r>
  <r>
    <x v="1"/>
    <x v="17"/>
    <x v="39"/>
  </r>
  <r>
    <x v="0"/>
    <x v="0"/>
    <x v="47"/>
  </r>
  <r>
    <x v="0"/>
    <x v="4"/>
    <x v="38"/>
  </r>
  <r>
    <x v="0"/>
    <x v="0"/>
    <x v="87"/>
  </r>
  <r>
    <x v="0"/>
    <x v="2"/>
    <x v="11"/>
  </r>
  <r>
    <x v="0"/>
    <x v="4"/>
    <x v="83"/>
  </r>
  <r>
    <x v="0"/>
    <x v="17"/>
    <x v="81"/>
  </r>
  <r>
    <x v="0"/>
    <x v="0"/>
    <x v="116"/>
  </r>
  <r>
    <x v="0"/>
    <x v="5"/>
    <x v="52"/>
  </r>
  <r>
    <x v="0"/>
    <x v="3"/>
    <x v="27"/>
  </r>
  <r>
    <x v="0"/>
    <x v="3"/>
    <x v="71"/>
  </r>
  <r>
    <x v="0"/>
    <x v="3"/>
    <x v="10"/>
  </r>
  <r>
    <x v="0"/>
    <x v="5"/>
    <x v="88"/>
  </r>
  <r>
    <x v="0"/>
    <x v="3"/>
    <x v="88"/>
  </r>
  <r>
    <x v="0"/>
    <x v="3"/>
    <x v="34"/>
  </r>
  <r>
    <x v="0"/>
    <x v="3"/>
    <x v="4"/>
  </r>
  <r>
    <x v="0"/>
    <x v="3"/>
    <x v="4"/>
  </r>
  <r>
    <x v="0"/>
    <x v="3"/>
    <x v="21"/>
  </r>
  <r>
    <x v="0"/>
    <x v="3"/>
    <x v="19"/>
  </r>
  <r>
    <x v="0"/>
    <x v="3"/>
    <x v="14"/>
  </r>
  <r>
    <x v="0"/>
    <x v="4"/>
    <x v="117"/>
  </r>
  <r>
    <x v="0"/>
    <x v="3"/>
    <x v="118"/>
  </r>
  <r>
    <x v="0"/>
    <x v="17"/>
    <x v="71"/>
  </r>
  <r>
    <x v="0"/>
    <x v="15"/>
    <x v="12"/>
  </r>
  <r>
    <x v="0"/>
    <x v="4"/>
    <x v="79"/>
  </r>
  <r>
    <x v="0"/>
    <x v="17"/>
    <x v="26"/>
  </r>
  <r>
    <x v="0"/>
    <x v="2"/>
    <x v="79"/>
  </r>
  <r>
    <x v="0"/>
    <x v="14"/>
    <x v="79"/>
  </r>
  <r>
    <x v="0"/>
    <x v="0"/>
    <x v="61"/>
  </r>
  <r>
    <x v="0"/>
    <x v="17"/>
    <x v="119"/>
  </r>
  <r>
    <x v="0"/>
    <x v="2"/>
    <x v="120"/>
  </r>
  <r>
    <x v="0"/>
    <x v="0"/>
    <x v="121"/>
  </r>
  <r>
    <x v="0"/>
    <x v="3"/>
    <x v="56"/>
  </r>
  <r>
    <x v="0"/>
    <x v="17"/>
    <x v="41"/>
  </r>
  <r>
    <x v="1"/>
    <x v="4"/>
    <x v="60"/>
  </r>
  <r>
    <x v="1"/>
    <x v="5"/>
    <x v="16"/>
  </r>
  <r>
    <x v="0"/>
    <x v="0"/>
    <x v="18"/>
  </r>
  <r>
    <x v="1"/>
    <x v="4"/>
    <x v="72"/>
  </r>
  <r>
    <x v="1"/>
    <x v="3"/>
    <x v="98"/>
  </r>
  <r>
    <x v="1"/>
    <x v="5"/>
    <x v="7"/>
  </r>
  <r>
    <x v="1"/>
    <x v="3"/>
    <x v="34"/>
  </r>
  <r>
    <x v="0"/>
    <x v="3"/>
    <x v="4"/>
  </r>
  <r>
    <x v="0"/>
    <x v="5"/>
    <x v="6"/>
  </r>
  <r>
    <x v="0"/>
    <x v="5"/>
    <x v="33"/>
  </r>
  <r>
    <x v="0"/>
    <x v="5"/>
    <x v="97"/>
  </r>
  <r>
    <x v="0"/>
    <x v="4"/>
    <x v="17"/>
  </r>
  <r>
    <x v="0"/>
    <x v="4"/>
    <x v="77"/>
  </r>
  <r>
    <x v="0"/>
    <x v="25"/>
    <x v="25"/>
  </r>
  <r>
    <x v="0"/>
    <x v="13"/>
    <x v="64"/>
  </r>
  <r>
    <x v="0"/>
    <x v="27"/>
    <x v="122"/>
  </r>
  <r>
    <x v="0"/>
    <x v="7"/>
    <x v="50"/>
  </r>
  <r>
    <x v="1"/>
    <x v="27"/>
    <x v="123"/>
  </r>
  <r>
    <x v="1"/>
    <x v="28"/>
    <x v="73"/>
  </r>
  <r>
    <x v="1"/>
    <x v="8"/>
    <x v="25"/>
  </r>
  <r>
    <x v="1"/>
    <x v="13"/>
    <x v="94"/>
  </r>
  <r>
    <x v="1"/>
    <x v="24"/>
    <x v="91"/>
  </r>
  <r>
    <x v="1"/>
    <x v="15"/>
    <x v="96"/>
  </r>
  <r>
    <x v="1"/>
    <x v="15"/>
    <x v="82"/>
  </r>
  <r>
    <x v="1"/>
    <x v="3"/>
    <x v="16"/>
  </r>
  <r>
    <x v="0"/>
    <x v="2"/>
    <x v="87"/>
  </r>
  <r>
    <x v="0"/>
    <x v="15"/>
    <x v="39"/>
  </r>
  <r>
    <x v="0"/>
    <x v="17"/>
    <x v="23"/>
  </r>
  <r>
    <x v="0"/>
    <x v="0"/>
    <x v="0"/>
  </r>
  <r>
    <x v="0"/>
    <x v="14"/>
    <x v="8"/>
  </r>
  <r>
    <x v="0"/>
    <x v="3"/>
    <x v="4"/>
  </r>
  <r>
    <x v="1"/>
    <x v="5"/>
    <x v="4"/>
  </r>
  <r>
    <x v="1"/>
    <x v="3"/>
    <x v="4"/>
  </r>
  <r>
    <x v="1"/>
    <x v="3"/>
    <x v="35"/>
  </r>
  <r>
    <x v="0"/>
    <x v="3"/>
    <x v="72"/>
  </r>
  <r>
    <x v="0"/>
    <x v="0"/>
    <x v="31"/>
  </r>
  <r>
    <x v="0"/>
    <x v="1"/>
    <x v="13"/>
  </r>
  <r>
    <x v="0"/>
    <x v="29"/>
    <x v="14"/>
  </r>
  <r>
    <x v="0"/>
    <x v="8"/>
    <x v="102"/>
  </r>
  <r>
    <x v="0"/>
    <x v="29"/>
    <x v="73"/>
  </r>
  <r>
    <x v="0"/>
    <x v="30"/>
    <x v="94"/>
  </r>
  <r>
    <x v="0"/>
    <x v="10"/>
    <x v="78"/>
  </r>
  <r>
    <x v="0"/>
    <x v="30"/>
    <x v="99"/>
  </r>
  <r>
    <x v="0"/>
    <x v="29"/>
    <x v="70"/>
  </r>
  <r>
    <x v="0"/>
    <x v="16"/>
    <x v="90"/>
  </r>
  <r>
    <x v="0"/>
    <x v="24"/>
    <x v="12"/>
  </r>
  <r>
    <x v="0"/>
    <x v="18"/>
    <x v="54"/>
  </r>
  <r>
    <x v="0"/>
    <x v="15"/>
    <x v="97"/>
  </r>
  <r>
    <x v="1"/>
    <x v="4"/>
    <x v="23"/>
  </r>
  <r>
    <x v="1"/>
    <x v="3"/>
    <x v="72"/>
  </r>
  <r>
    <x v="1"/>
    <x v="5"/>
    <x v="20"/>
  </r>
  <r>
    <x v="1"/>
    <x v="5"/>
    <x v="89"/>
  </r>
  <r>
    <x v="1"/>
    <x v="3"/>
    <x v="21"/>
  </r>
  <r>
    <x v="1"/>
    <x v="3"/>
    <x v="6"/>
  </r>
  <r>
    <x v="1"/>
    <x v="5"/>
    <x v="6"/>
  </r>
  <r>
    <x v="1"/>
    <x v="3"/>
    <x v="4"/>
  </r>
  <r>
    <x v="1"/>
    <x v="3"/>
    <x v="34"/>
  </r>
  <r>
    <x v="1"/>
    <x v="17"/>
    <x v="33"/>
  </r>
  <r>
    <x v="1"/>
    <x v="0"/>
    <x v="10"/>
  </r>
  <r>
    <x v="1"/>
    <x v="1"/>
    <x v="87"/>
  </r>
  <r>
    <x v="1"/>
    <x v="18"/>
    <x v="54"/>
  </r>
  <r>
    <x v="1"/>
    <x v="14"/>
    <x v="11"/>
  </r>
  <r>
    <x v="1"/>
    <x v="22"/>
    <x v="14"/>
  </r>
  <r>
    <x v="1"/>
    <x v="23"/>
    <x v="122"/>
  </r>
  <r>
    <x v="1"/>
    <x v="6"/>
    <x v="64"/>
  </r>
  <r>
    <x v="1"/>
    <x v="27"/>
    <x v="109"/>
  </r>
  <r>
    <x v="1"/>
    <x v="15"/>
    <x v="83"/>
  </r>
  <r>
    <x v="0"/>
    <x v="17"/>
    <x v="28"/>
  </r>
  <r>
    <x v="1"/>
    <x v="18"/>
    <x v="66"/>
  </r>
  <r>
    <x v="2"/>
    <x v="4"/>
    <x v="29"/>
  </r>
  <r>
    <x v="2"/>
    <x v="17"/>
    <x v="31"/>
  </r>
  <r>
    <x v="2"/>
    <x v="0"/>
    <x v="9"/>
  </r>
  <r>
    <x v="2"/>
    <x v="3"/>
    <x v="0"/>
  </r>
  <r>
    <x v="2"/>
    <x v="5"/>
    <x v="35"/>
  </r>
  <r>
    <x v="1"/>
    <x v="3"/>
    <x v="35"/>
  </r>
  <r>
    <x v="1"/>
    <x v="3"/>
    <x v="97"/>
  </r>
  <r>
    <x v="1"/>
    <x v="4"/>
    <x v="16"/>
  </r>
  <r>
    <x v="1"/>
    <x v="0"/>
    <x v="1"/>
  </r>
  <r>
    <x v="1"/>
    <x v="3"/>
    <x v="124"/>
  </r>
  <r>
    <x v="1"/>
    <x v="5"/>
    <x v="125"/>
  </r>
  <r>
    <x v="1"/>
    <x v="5"/>
    <x v="126"/>
  </r>
  <r>
    <x v="1"/>
    <x v="5"/>
    <x v="52"/>
  </r>
  <r>
    <x v="1"/>
    <x v="3"/>
    <x v="93"/>
  </r>
  <r>
    <x v="1"/>
    <x v="3"/>
    <x v="40"/>
  </r>
  <r>
    <x v="1"/>
    <x v="3"/>
    <x v="39"/>
  </r>
  <r>
    <x v="1"/>
    <x v="5"/>
    <x v="23"/>
  </r>
  <r>
    <x v="1"/>
    <x v="3"/>
    <x v="35"/>
  </r>
  <r>
    <x v="2"/>
    <x v="5"/>
    <x v="8"/>
  </r>
  <r>
    <x v="2"/>
    <x v="3"/>
    <x v="35"/>
  </r>
  <r>
    <x v="2"/>
    <x v="5"/>
    <x v="4"/>
  </r>
  <r>
    <x v="1"/>
    <x v="3"/>
    <x v="7"/>
  </r>
  <r>
    <x v="1"/>
    <x v="3"/>
    <x v="1"/>
  </r>
  <r>
    <x v="1"/>
    <x v="5"/>
    <x v="121"/>
  </r>
  <r>
    <x v="1"/>
    <x v="5"/>
    <x v="127"/>
  </r>
  <r>
    <x v="1"/>
    <x v="4"/>
    <x v="128"/>
  </r>
  <r>
    <x v="1"/>
    <x v="5"/>
    <x v="24"/>
  </r>
  <r>
    <x v="1"/>
    <x v="2"/>
    <x v="12"/>
  </r>
  <r>
    <x v="1"/>
    <x v="2"/>
    <x v="65"/>
  </r>
  <r>
    <x v="0"/>
    <x v="16"/>
    <x v="28"/>
  </r>
  <r>
    <x v="0"/>
    <x v="18"/>
    <x v="56"/>
  </r>
  <r>
    <x v="0"/>
    <x v="17"/>
    <x v="78"/>
  </r>
  <r>
    <x v="0"/>
    <x v="22"/>
    <x v="111"/>
  </r>
  <r>
    <x v="0"/>
    <x v="18"/>
    <x v="84"/>
  </r>
  <r>
    <x v="0"/>
    <x v="2"/>
    <x v="117"/>
  </r>
  <r>
    <x v="0"/>
    <x v="17"/>
    <x v="123"/>
  </r>
  <r>
    <x v="0"/>
    <x v="4"/>
    <x v="64"/>
  </r>
  <r>
    <x v="0"/>
    <x v="17"/>
    <x v="11"/>
  </r>
  <r>
    <x v="0"/>
    <x v="15"/>
    <x v="42"/>
  </r>
  <r>
    <x v="0"/>
    <x v="5"/>
    <x v="2"/>
  </r>
  <r>
    <x v="0"/>
    <x v="2"/>
    <x v="21"/>
  </r>
  <r>
    <x v="0"/>
    <x v="4"/>
    <x v="35"/>
  </r>
  <r>
    <x v="0"/>
    <x v="3"/>
    <x v="6"/>
  </r>
  <r>
    <x v="0"/>
    <x v="3"/>
    <x v="4"/>
  </r>
  <r>
    <x v="0"/>
    <x v="3"/>
    <x v="4"/>
  </r>
  <r>
    <x v="0"/>
    <x v="3"/>
    <x v="8"/>
  </r>
  <r>
    <x v="0"/>
    <x v="3"/>
    <x v="96"/>
  </r>
  <r>
    <x v="0"/>
    <x v="5"/>
    <x v="129"/>
  </r>
  <r>
    <x v="0"/>
    <x v="4"/>
    <x v="130"/>
  </r>
  <r>
    <x v="1"/>
    <x v="0"/>
    <x v="131"/>
  </r>
  <r>
    <x v="0"/>
    <x v="5"/>
    <x v="90"/>
  </r>
  <r>
    <x v="1"/>
    <x v="2"/>
    <x v="36"/>
  </r>
  <r>
    <x v="1"/>
    <x v="18"/>
    <x v="99"/>
  </r>
  <r>
    <x v="1"/>
    <x v="6"/>
    <x v="132"/>
  </r>
  <r>
    <x v="1"/>
    <x v="15"/>
    <x v="102"/>
  </r>
  <r>
    <x v="1"/>
    <x v="1"/>
    <x v="133"/>
  </r>
  <r>
    <x v="1"/>
    <x v="1"/>
    <x v="93"/>
  </r>
  <r>
    <x v="1"/>
    <x v="1"/>
    <x v="134"/>
  </r>
  <r>
    <x v="1"/>
    <x v="5"/>
    <x v="103"/>
  </r>
  <r>
    <x v="0"/>
    <x v="15"/>
    <x v="44"/>
  </r>
  <r>
    <x v="1"/>
    <x v="4"/>
    <x v="125"/>
  </r>
  <r>
    <x v="1"/>
    <x v="0"/>
    <x v="25"/>
  </r>
  <r>
    <x v="1"/>
    <x v="3"/>
    <x v="90"/>
  </r>
  <r>
    <x v="1"/>
    <x v="0"/>
    <x v="95"/>
  </r>
  <r>
    <x v="1"/>
    <x v="5"/>
    <x v="32"/>
  </r>
  <r>
    <x v="1"/>
    <x v="3"/>
    <x v="8"/>
  </r>
  <r>
    <x v="2"/>
    <x v="3"/>
    <x v="6"/>
  </r>
  <r>
    <x v="2"/>
    <x v="3"/>
    <x v="4"/>
  </r>
  <r>
    <x v="1"/>
    <x v="3"/>
    <x v="4"/>
  </r>
  <r>
    <x v="0"/>
    <x v="5"/>
    <x v="22"/>
  </r>
  <r>
    <x v="0"/>
    <x v="3"/>
    <x v="2"/>
  </r>
  <r>
    <x v="0"/>
    <x v="4"/>
    <x v="43"/>
  </r>
  <r>
    <x v="0"/>
    <x v="18"/>
    <x v="135"/>
  </r>
  <r>
    <x v="0"/>
    <x v="18"/>
    <x v="136"/>
  </r>
  <r>
    <x v="0"/>
    <x v="15"/>
    <x v="77"/>
  </r>
  <r>
    <x v="0"/>
    <x v="15"/>
    <x v="42"/>
  </r>
  <r>
    <x v="0"/>
    <x v="16"/>
    <x v="28"/>
  </r>
  <r>
    <x v="0"/>
    <x v="1"/>
    <x v="65"/>
  </r>
  <r>
    <x v="0"/>
    <x v="15"/>
    <x v="90"/>
  </r>
  <r>
    <x v="0"/>
    <x v="17"/>
    <x v="124"/>
  </r>
  <r>
    <x v="0"/>
    <x v="3"/>
    <x v="106"/>
  </r>
  <r>
    <x v="0"/>
    <x v="22"/>
    <x v="137"/>
  </r>
  <r>
    <x v="0"/>
    <x v="5"/>
    <x v="138"/>
  </r>
  <r>
    <x v="0"/>
    <x v="0"/>
    <x v="139"/>
  </r>
  <r>
    <x v="0"/>
    <x v="5"/>
    <x v="15"/>
  </r>
  <r>
    <x v="0"/>
    <x v="3"/>
    <x v="40"/>
  </r>
  <r>
    <x v="0"/>
    <x v="5"/>
    <x v="39"/>
  </r>
  <r>
    <x v="0"/>
    <x v="3"/>
    <x v="2"/>
  </r>
  <r>
    <x v="0"/>
    <x v="3"/>
    <x v="0"/>
  </r>
  <r>
    <x v="1"/>
    <x v="0"/>
    <x v="33"/>
  </r>
  <r>
    <x v="1"/>
    <x v="3"/>
    <x v="48"/>
  </r>
  <r>
    <x v="1"/>
    <x v="5"/>
    <x v="8"/>
  </r>
  <r>
    <x v="1"/>
    <x v="3"/>
    <x v="35"/>
  </r>
  <r>
    <x v="1"/>
    <x v="3"/>
    <x v="6"/>
  </r>
  <r>
    <x v="0"/>
    <x v="3"/>
    <x v="21"/>
  </r>
  <r>
    <x v="0"/>
    <x v="5"/>
    <x v="16"/>
  </r>
  <r>
    <x v="0"/>
    <x v="0"/>
    <x v="53"/>
  </r>
  <r>
    <x v="1"/>
    <x v="0"/>
    <x v="54"/>
  </r>
  <r>
    <x v="1"/>
    <x v="17"/>
    <x v="79"/>
  </r>
  <r>
    <x v="1"/>
    <x v="22"/>
    <x v="91"/>
  </r>
  <r>
    <x v="0"/>
    <x v="6"/>
    <x v="109"/>
  </r>
  <r>
    <x v="0"/>
    <x v="16"/>
    <x v="27"/>
  </r>
  <r>
    <x v="0"/>
    <x v="22"/>
    <x v="139"/>
  </r>
  <r>
    <x v="0"/>
    <x v="16"/>
    <x v="109"/>
  </r>
  <r>
    <x v="0"/>
    <x v="1"/>
    <x v="79"/>
  </r>
  <r>
    <x v="0"/>
    <x v="3"/>
    <x v="25"/>
  </r>
  <r>
    <x v="0"/>
    <x v="15"/>
    <x v="42"/>
  </r>
  <r>
    <x v="0"/>
    <x v="5"/>
    <x v="100"/>
  </r>
  <r>
    <x v="0"/>
    <x v="3"/>
    <x v="87"/>
  </r>
  <r>
    <x v="0"/>
    <x v="18"/>
    <x v="140"/>
  </r>
  <r>
    <x v="0"/>
    <x v="4"/>
    <x v="17"/>
  </r>
  <r>
    <x v="0"/>
    <x v="4"/>
    <x v="32"/>
  </r>
  <r>
    <x v="0"/>
    <x v="5"/>
    <x v="98"/>
  </r>
  <r>
    <x v="0"/>
    <x v="0"/>
    <x v="89"/>
  </r>
  <r>
    <x v="0"/>
    <x v="5"/>
    <x v="22"/>
  </r>
  <r>
    <x v="1"/>
    <x v="3"/>
    <x v="35"/>
  </r>
  <r>
    <x v="1"/>
    <x v="3"/>
    <x v="4"/>
  </r>
  <r>
    <x v="0"/>
    <x v="5"/>
    <x v="4"/>
  </r>
  <r>
    <x v="0"/>
    <x v="4"/>
    <x v="19"/>
  </r>
  <r>
    <x v="0"/>
    <x v="0"/>
    <x v="18"/>
  </r>
  <r>
    <x v="0"/>
    <x v="18"/>
    <x v="82"/>
  </r>
  <r>
    <x v="0"/>
    <x v="30"/>
    <x v="99"/>
  </r>
  <r>
    <x v="0"/>
    <x v="31"/>
    <x v="50"/>
  </r>
  <r>
    <x v="0"/>
    <x v="6"/>
    <x v="102"/>
  </r>
  <r>
    <x v="0"/>
    <x v="26"/>
    <x v="139"/>
  </r>
  <r>
    <x v="0"/>
    <x v="23"/>
    <x v="27"/>
  </r>
  <r>
    <x v="0"/>
    <x v="14"/>
    <x v="90"/>
  </r>
  <r>
    <x v="0"/>
    <x v="2"/>
    <x v="54"/>
  </r>
  <r>
    <x v="0"/>
    <x v="2"/>
    <x v="100"/>
  </r>
  <r>
    <x v="0"/>
    <x v="2"/>
    <x v="108"/>
  </r>
  <r>
    <x v="0"/>
    <x v="17"/>
    <x v="17"/>
  </r>
  <r>
    <x v="0"/>
    <x v="2"/>
    <x v="32"/>
  </r>
  <r>
    <x v="0"/>
    <x v="2"/>
    <x v="140"/>
  </r>
  <r>
    <x v="0"/>
    <x v="17"/>
    <x v="19"/>
  </r>
  <r>
    <x v="0"/>
    <x v="3"/>
    <x v="7"/>
  </r>
  <r>
    <x v="0"/>
    <x v="3"/>
    <x v="4"/>
  </r>
  <r>
    <x v="0"/>
    <x v="3"/>
    <x v="4"/>
  </r>
  <r>
    <x v="0"/>
    <x v="3"/>
    <x v="4"/>
  </r>
  <r>
    <x v="0"/>
    <x v="3"/>
    <x v="34"/>
  </r>
  <r>
    <x v="0"/>
    <x v="3"/>
    <x v="89"/>
  </r>
  <r>
    <x v="0"/>
    <x v="2"/>
    <x v="55"/>
  </r>
  <r>
    <x v="0"/>
    <x v="15"/>
    <x v="141"/>
  </r>
  <r>
    <x v="0"/>
    <x v="17"/>
    <x v="52"/>
  </r>
  <r>
    <x v="0"/>
    <x v="15"/>
    <x v="60"/>
  </r>
  <r>
    <x v="0"/>
    <x v="0"/>
    <x v="30"/>
  </r>
  <r>
    <x v="1"/>
    <x v="16"/>
    <x v="15"/>
  </r>
  <r>
    <x v="1"/>
    <x v="15"/>
    <x v="25"/>
  </r>
  <r>
    <x v="1"/>
    <x v="4"/>
    <x v="30"/>
  </r>
  <r>
    <x v="0"/>
    <x v="18"/>
    <x v="54"/>
  </r>
  <r>
    <x v="0"/>
    <x v="17"/>
    <x v="43"/>
  </r>
  <r>
    <x v="0"/>
    <x v="15"/>
    <x v="86"/>
  </r>
  <r>
    <x v="0"/>
    <x v="1"/>
    <x v="142"/>
  </r>
  <r>
    <x v="0"/>
    <x v="2"/>
    <x v="143"/>
  </r>
  <r>
    <x v="0"/>
    <x v="5"/>
    <x v="122"/>
  </r>
  <r>
    <x v="0"/>
    <x v="15"/>
    <x v="42"/>
  </r>
  <r>
    <x v="1"/>
    <x v="0"/>
    <x v="1"/>
  </r>
  <r>
    <x v="1"/>
    <x v="0"/>
    <x v="144"/>
  </r>
  <r>
    <x v="1"/>
    <x v="0"/>
    <x v="8"/>
  </r>
  <r>
    <x v="1"/>
    <x v="3"/>
    <x v="34"/>
  </r>
  <r>
    <x v="0"/>
    <x v="3"/>
    <x v="6"/>
  </r>
  <r>
    <x v="0"/>
    <x v="3"/>
    <x v="4"/>
  </r>
  <r>
    <x v="0"/>
    <x v="3"/>
    <x v="33"/>
  </r>
  <r>
    <x v="0"/>
    <x v="5"/>
    <x v="96"/>
  </r>
  <r>
    <x v="0"/>
    <x v="2"/>
    <x v="145"/>
  </r>
  <r>
    <x v="1"/>
    <x v="2"/>
    <x v="146"/>
  </r>
  <r>
    <x v="1"/>
    <x v="22"/>
    <x v="120"/>
  </r>
  <r>
    <x v="1"/>
    <x v="15"/>
    <x v="47"/>
  </r>
  <r>
    <x v="1"/>
    <x v="15"/>
    <x v="11"/>
  </r>
  <r>
    <x v="1"/>
    <x v="27"/>
    <x v="66"/>
  </r>
  <r>
    <x v="1"/>
    <x v="27"/>
    <x v="109"/>
  </r>
  <r>
    <x v="1"/>
    <x v="16"/>
    <x v="77"/>
  </r>
  <r>
    <x v="1"/>
    <x v="27"/>
    <x v="36"/>
  </r>
  <r>
    <x v="1"/>
    <x v="24"/>
    <x v="46"/>
  </r>
  <r>
    <x v="0"/>
    <x v="24"/>
    <x v="147"/>
  </r>
  <r>
    <x v="1"/>
    <x v="18"/>
    <x v="148"/>
  </r>
  <r>
    <x v="1"/>
    <x v="23"/>
    <x v="149"/>
  </r>
  <r>
    <x v="0"/>
    <x v="19"/>
    <x v="145"/>
  </r>
  <r>
    <x v="0"/>
    <x v="2"/>
    <x v="71"/>
  </r>
  <r>
    <x v="0"/>
    <x v="17"/>
    <x v="47"/>
  </r>
  <r>
    <x v="1"/>
    <x v="0"/>
    <x v="53"/>
  </r>
  <r>
    <x v="1"/>
    <x v="0"/>
    <x v="88"/>
  </r>
  <r>
    <x v="1"/>
    <x v="3"/>
    <x v="34"/>
  </r>
  <r>
    <x v="2"/>
    <x v="0"/>
    <x v="7"/>
  </r>
  <r>
    <x v="2"/>
    <x v="3"/>
    <x v="4"/>
  </r>
  <r>
    <x v="2"/>
    <x v="3"/>
    <x v="21"/>
  </r>
  <r>
    <x v="2"/>
    <x v="5"/>
    <x v="31"/>
  </r>
  <r>
    <x v="2"/>
    <x v="0"/>
    <x v="94"/>
  </r>
  <r>
    <x v="2"/>
    <x v="0"/>
    <x v="11"/>
  </r>
  <r>
    <x v="2"/>
    <x v="4"/>
    <x v="16"/>
  </r>
  <r>
    <x v="2"/>
    <x v="15"/>
    <x v="96"/>
  </r>
  <r>
    <x v="2"/>
    <x v="18"/>
    <x v="40"/>
  </r>
  <r>
    <x v="2"/>
    <x v="17"/>
    <x v="30"/>
  </r>
  <r>
    <x v="2"/>
    <x v="3"/>
    <x v="49"/>
  </r>
  <r>
    <x v="2"/>
    <x v="5"/>
    <x v="76"/>
  </r>
  <r>
    <x v="3"/>
    <x v="5"/>
    <x v="96"/>
  </r>
  <r>
    <x v="2"/>
    <x v="3"/>
    <x v="16"/>
  </r>
  <r>
    <x v="0"/>
    <x v="5"/>
    <x v="140"/>
  </r>
  <r>
    <x v="0"/>
    <x v="4"/>
    <x v="70"/>
  </r>
  <r>
    <x v="0"/>
    <x v="0"/>
    <x v="143"/>
  </r>
  <r>
    <x v="0"/>
    <x v="0"/>
    <x v="83"/>
  </r>
  <r>
    <x v="0"/>
    <x v="17"/>
    <x v="11"/>
  </r>
  <r>
    <x v="0"/>
    <x v="4"/>
    <x v="49"/>
  </r>
  <r>
    <x v="0"/>
    <x v="3"/>
    <x v="2"/>
  </r>
  <r>
    <x v="0"/>
    <x v="3"/>
    <x v="20"/>
  </r>
  <r>
    <x v="1"/>
    <x v="3"/>
    <x v="33"/>
  </r>
  <r>
    <x v="1"/>
    <x v="5"/>
    <x v="6"/>
  </r>
  <r>
    <x v="1"/>
    <x v="3"/>
    <x v="6"/>
  </r>
  <r>
    <x v="1"/>
    <x v="5"/>
    <x v="5"/>
  </r>
  <r>
    <x v="1"/>
    <x v="3"/>
    <x v="22"/>
  </r>
  <r>
    <x v="1"/>
    <x v="3"/>
    <x v="20"/>
  </r>
  <r>
    <x v="1"/>
    <x v="4"/>
    <x v="29"/>
  </r>
  <r>
    <x v="1"/>
    <x v="4"/>
    <x v="119"/>
  </r>
  <r>
    <x v="2"/>
    <x v="15"/>
    <x v="73"/>
  </r>
  <r>
    <x v="2"/>
    <x v="3"/>
    <x v="47"/>
  </r>
  <r>
    <x v="2"/>
    <x v="3"/>
    <x v="10"/>
  </r>
  <r>
    <x v="2"/>
    <x v="5"/>
    <x v="95"/>
  </r>
  <r>
    <x v="2"/>
    <x v="3"/>
    <x v="17"/>
  </r>
  <r>
    <x v="2"/>
    <x v="4"/>
    <x v="49"/>
  </r>
  <r>
    <x v="1"/>
    <x v="5"/>
    <x v="7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7F00CDF-C858-4A93-B60E-B08DAC374E41}" name="PivotTable10"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0">
  <location ref="F12:H17" firstHeaderRow="0" firstDataRow="1" firstDataCol="1"/>
  <pivotFields count="3">
    <pivotField axis="axisRow" showAll="0">
      <items count="5">
        <item x="0"/>
        <item x="1"/>
        <item x="2"/>
        <item x="3"/>
        <item t="default"/>
      </items>
    </pivotField>
    <pivotField dataField="1" showAll="0">
      <items count="33">
        <item x="3"/>
        <item x="5"/>
        <item x="4"/>
        <item x="0"/>
        <item x="17"/>
        <item x="2"/>
        <item x="15"/>
        <item x="18"/>
        <item x="1"/>
        <item x="14"/>
        <item x="22"/>
        <item x="16"/>
        <item x="6"/>
        <item x="23"/>
        <item x="24"/>
        <item x="13"/>
        <item x="19"/>
        <item x="26"/>
        <item x="25"/>
        <item x="21"/>
        <item x="20"/>
        <item x="27"/>
        <item x="30"/>
        <item x="29"/>
        <item x="31"/>
        <item x="7"/>
        <item x="8"/>
        <item x="28"/>
        <item x="10"/>
        <item x="11"/>
        <item x="12"/>
        <item x="9"/>
        <item t="default"/>
      </items>
    </pivotField>
    <pivotField dataField="1" showAll="0">
      <items count="151">
        <item x="5"/>
        <item x="4"/>
        <item x="6"/>
        <item x="35"/>
        <item x="22"/>
        <item x="34"/>
        <item x="8"/>
        <item x="7"/>
        <item x="21"/>
        <item x="33"/>
        <item x="3"/>
        <item x="48"/>
        <item x="98"/>
        <item x="0"/>
        <item x="88"/>
        <item x="89"/>
        <item x="20"/>
        <item x="19"/>
        <item x="72"/>
        <item x="23"/>
        <item x="32"/>
        <item x="144"/>
        <item x="97"/>
        <item x="140"/>
        <item x="9"/>
        <item x="18"/>
        <item x="16"/>
        <item x="2"/>
        <item x="95"/>
        <item x="31"/>
        <item x="10"/>
        <item x="17"/>
        <item x="1"/>
        <item x="39"/>
        <item x="60"/>
        <item x="96"/>
        <item x="49"/>
        <item x="53"/>
        <item x="101"/>
        <item x="87"/>
        <item x="71"/>
        <item x="40"/>
        <item x="76"/>
        <item x="30"/>
        <item x="100"/>
        <item x="108"/>
        <item x="24"/>
        <item x="12"/>
        <item x="41"/>
        <item x="47"/>
        <item x="54"/>
        <item x="82"/>
        <item x="15"/>
        <item x="42"/>
        <item x="25"/>
        <item x="11"/>
        <item x="90"/>
        <item x="77"/>
        <item x="29"/>
        <item x="79"/>
        <item x="91"/>
        <item x="124"/>
        <item x="133"/>
        <item x="36"/>
        <item x="27"/>
        <item x="65"/>
        <item x="43"/>
        <item x="28"/>
        <item x="56"/>
        <item x="94"/>
        <item x="14"/>
        <item x="13"/>
        <item x="109"/>
        <item x="26"/>
        <item x="64"/>
        <item x="102"/>
        <item x="83"/>
        <item x="99"/>
        <item x="78"/>
        <item x="55"/>
        <item x="122"/>
        <item x="38"/>
        <item x="70"/>
        <item x="93"/>
        <item x="66"/>
        <item x="132"/>
        <item x="61"/>
        <item x="121"/>
        <item x="92"/>
        <item x="50"/>
        <item x="139"/>
        <item x="111"/>
        <item x="73"/>
        <item x="106"/>
        <item x="52"/>
        <item x="129"/>
        <item x="143"/>
        <item x="46"/>
        <item x="145"/>
        <item x="128"/>
        <item x="123"/>
        <item x="63"/>
        <item x="59"/>
        <item x="75"/>
        <item x="118"/>
        <item x="138"/>
        <item x="125"/>
        <item x="85"/>
        <item x="69"/>
        <item x="110"/>
        <item x="126"/>
        <item x="149"/>
        <item x="120"/>
        <item x="113"/>
        <item x="115"/>
        <item x="112"/>
        <item x="131"/>
        <item x="116"/>
        <item x="142"/>
        <item x="44"/>
        <item x="45"/>
        <item x="137"/>
        <item x="37"/>
        <item x="105"/>
        <item x="119"/>
        <item x="117"/>
        <item x="81"/>
        <item x="136"/>
        <item x="80"/>
        <item x="68"/>
        <item x="141"/>
        <item x="104"/>
        <item x="51"/>
        <item x="86"/>
        <item x="58"/>
        <item x="103"/>
        <item x="67"/>
        <item x="84"/>
        <item x="62"/>
        <item x="127"/>
        <item x="114"/>
        <item x="57"/>
        <item x="134"/>
        <item x="147"/>
        <item x="135"/>
        <item x="107"/>
        <item x="74"/>
        <item x="148"/>
        <item x="146"/>
        <item x="130"/>
        <item t="default"/>
      </items>
    </pivotField>
  </pivotFields>
  <rowFields count="1">
    <field x="0"/>
  </rowFields>
  <rowItems count="5">
    <i>
      <x/>
    </i>
    <i>
      <x v="1"/>
    </i>
    <i>
      <x v="2"/>
    </i>
    <i>
      <x v="3"/>
    </i>
    <i t="grand">
      <x/>
    </i>
  </rowItems>
  <colFields count="1">
    <field x="-2"/>
  </colFields>
  <colItems count="2">
    <i>
      <x/>
    </i>
    <i i="1">
      <x v="1"/>
    </i>
  </colItems>
  <dataFields count="2">
    <dataField name="Sum of registered" fld="2" baseField="0" baseItem="0"/>
    <dataField name="Sum of casual" fld="1" baseField="0" baseItem="0"/>
  </dataFields>
  <chartFormats count="6">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 chart="39" format="4" series="1">
      <pivotArea type="data" outline="0" fieldPosition="0">
        <references count="1">
          <reference field="4294967294" count="1" selected="0">
            <x v="0"/>
          </reference>
        </references>
      </pivotArea>
    </chartFormat>
    <chartFormat chart="3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CBF2E7A-CD1F-468E-91A9-12DBA184D57F}" name="PivotTable13"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A4:AC28" firstHeaderRow="0" firstDataRow="1" firstDataCol="1"/>
  <pivotFields count="3">
    <pivotField axis="axisRow" showAll="0">
      <items count="24">
        <item x="22"/>
        <item x="21"/>
        <item x="20"/>
        <item x="19"/>
        <item x="18"/>
        <item x="16"/>
        <item x="14"/>
        <item x="13"/>
        <item x="15"/>
        <item x="2"/>
        <item x="1"/>
        <item x="0"/>
        <item x="12"/>
        <item x="17"/>
        <item x="11"/>
        <item x="3"/>
        <item x="10"/>
        <item x="5"/>
        <item x="4"/>
        <item x="9"/>
        <item x="6"/>
        <item x="8"/>
        <item x="7"/>
        <item t="default"/>
      </items>
    </pivotField>
    <pivotField dataField="1" showAll="0">
      <items count="33">
        <item x="3"/>
        <item x="5"/>
        <item x="4"/>
        <item x="0"/>
        <item x="17"/>
        <item x="2"/>
        <item x="15"/>
        <item x="18"/>
        <item x="1"/>
        <item x="14"/>
        <item x="22"/>
        <item x="16"/>
        <item x="6"/>
        <item x="23"/>
        <item x="24"/>
        <item x="13"/>
        <item x="19"/>
        <item x="26"/>
        <item x="25"/>
        <item x="21"/>
        <item x="20"/>
        <item x="27"/>
        <item x="30"/>
        <item x="29"/>
        <item x="31"/>
        <item x="7"/>
        <item x="8"/>
        <item x="28"/>
        <item x="10"/>
        <item x="11"/>
        <item x="12"/>
        <item x="9"/>
        <item t="default"/>
      </items>
    </pivotField>
    <pivotField dataField="1" showAll="0"/>
  </pivotFields>
  <rowFields count="1">
    <field x="0"/>
  </rowFields>
  <rowItems count="24">
    <i>
      <x/>
    </i>
    <i>
      <x v="1"/>
    </i>
    <i>
      <x v="2"/>
    </i>
    <i>
      <x v="3"/>
    </i>
    <i>
      <x v="4"/>
    </i>
    <i>
      <x v="5"/>
    </i>
    <i>
      <x v="6"/>
    </i>
    <i>
      <x v="7"/>
    </i>
    <i>
      <x v="8"/>
    </i>
    <i>
      <x v="9"/>
    </i>
    <i>
      <x v="10"/>
    </i>
    <i>
      <x v="11"/>
    </i>
    <i>
      <x v="12"/>
    </i>
    <i>
      <x v="13"/>
    </i>
    <i>
      <x v="14"/>
    </i>
    <i>
      <x v="15"/>
    </i>
    <i>
      <x v="16"/>
    </i>
    <i>
      <x v="17"/>
    </i>
    <i>
      <x v="18"/>
    </i>
    <i>
      <x v="19"/>
    </i>
    <i>
      <x v="20"/>
    </i>
    <i>
      <x v="21"/>
    </i>
    <i>
      <x v="22"/>
    </i>
    <i t="grand">
      <x/>
    </i>
  </rowItems>
  <colFields count="1">
    <field x="-2"/>
  </colFields>
  <colItems count="2">
    <i>
      <x/>
    </i>
    <i i="1">
      <x v="1"/>
    </i>
  </colItems>
  <dataFields count="2">
    <dataField name="Sum of registered" fld="2" baseField="0" baseItem="0"/>
    <dataField name="Sum of casual" fld="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56658D9-1C03-4888-BD8B-EF4BE94688F9}" name="PivotTable7"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R5:T13" firstHeaderRow="0" firstDataRow="1" firstDataCol="1"/>
  <pivotFields count="3">
    <pivotField axis="axisRow" showAll="0" sortType="ascending">
      <items count="8">
        <item x="1"/>
        <item x="2"/>
        <item x="3"/>
        <item x="4"/>
        <item x="5"/>
        <item x="6"/>
        <item x="0"/>
        <item t="default"/>
      </items>
    </pivotField>
    <pivotField dataField="1" showAll="0">
      <items count="33">
        <item x="3"/>
        <item x="5"/>
        <item x="4"/>
        <item x="0"/>
        <item x="17"/>
        <item x="2"/>
        <item x="15"/>
        <item x="18"/>
        <item x="1"/>
        <item x="14"/>
        <item x="22"/>
        <item x="16"/>
        <item x="6"/>
        <item x="23"/>
        <item x="24"/>
        <item x="13"/>
        <item x="19"/>
        <item x="26"/>
        <item x="25"/>
        <item x="21"/>
        <item x="20"/>
        <item x="27"/>
        <item x="30"/>
        <item x="29"/>
        <item x="31"/>
        <item x="7"/>
        <item x="8"/>
        <item x="28"/>
        <item x="10"/>
        <item x="11"/>
        <item x="12"/>
        <item x="9"/>
        <item t="default"/>
      </items>
    </pivotField>
    <pivotField dataField="1" showAll="0">
      <items count="151">
        <item x="5"/>
        <item x="4"/>
        <item h="1" x="6"/>
        <item h="1" x="35"/>
        <item h="1" x="22"/>
        <item h="1" x="34"/>
        <item h="1" x="8"/>
        <item x="7"/>
        <item h="1" x="21"/>
        <item h="1" x="33"/>
        <item h="1" x="3"/>
        <item h="1" x="48"/>
        <item h="1" x="98"/>
        <item h="1" x="0"/>
        <item h="1" x="88"/>
        <item h="1" x="89"/>
        <item h="1" x="20"/>
        <item h="1" x="19"/>
        <item h="1" x="72"/>
        <item h="1" x="23"/>
        <item h="1" x="32"/>
        <item h="1" x="144"/>
        <item h="1" x="97"/>
        <item h="1" x="140"/>
        <item h="1" x="9"/>
        <item h="1" x="18"/>
        <item h="1" x="16"/>
        <item h="1" x="2"/>
        <item h="1" x="95"/>
        <item h="1" x="31"/>
        <item h="1" x="10"/>
        <item h="1" x="17"/>
        <item h="1" x="1"/>
        <item h="1" x="39"/>
        <item h="1" x="60"/>
        <item h="1" x="96"/>
        <item h="1" x="49"/>
        <item h="1" x="53"/>
        <item h="1" x="101"/>
        <item h="1" x="87"/>
        <item h="1" x="71"/>
        <item h="1" x="40"/>
        <item h="1" x="76"/>
        <item h="1" x="30"/>
        <item h="1" x="100"/>
        <item h="1" x="108"/>
        <item h="1" x="24"/>
        <item h="1" x="12"/>
        <item h="1" x="41"/>
        <item h="1" x="47"/>
        <item h="1" x="54"/>
        <item h="1" x="82"/>
        <item h="1" x="15"/>
        <item h="1" x="42"/>
        <item h="1" x="25"/>
        <item h="1" x="11"/>
        <item h="1" x="90"/>
        <item h="1" x="77"/>
        <item h="1" x="29"/>
        <item h="1" x="79"/>
        <item h="1" x="91"/>
        <item h="1" x="124"/>
        <item h="1" x="133"/>
        <item h="1" x="36"/>
        <item h="1" x="27"/>
        <item h="1" x="65"/>
        <item h="1" x="43"/>
        <item h="1" x="28"/>
        <item h="1" x="56"/>
        <item h="1" x="94"/>
        <item h="1" x="14"/>
        <item h="1" x="13"/>
        <item h="1" x="109"/>
        <item h="1" x="26"/>
        <item h="1" x="64"/>
        <item h="1" x="102"/>
        <item h="1" x="83"/>
        <item h="1" x="99"/>
        <item h="1" x="78"/>
        <item h="1" x="55"/>
        <item h="1" x="122"/>
        <item h="1" x="38"/>
        <item h="1" x="70"/>
        <item h="1" x="93"/>
        <item h="1" x="66"/>
        <item h="1" x="132"/>
        <item h="1" x="61"/>
        <item h="1" x="121"/>
        <item h="1" x="92"/>
        <item h="1" x="50"/>
        <item h="1" x="139"/>
        <item h="1" x="111"/>
        <item h="1" x="73"/>
        <item h="1" x="106"/>
        <item h="1" x="52"/>
        <item h="1" x="129"/>
        <item h="1" x="143"/>
        <item h="1" x="46"/>
        <item h="1" x="145"/>
        <item h="1" x="128"/>
        <item h="1" x="123"/>
        <item h="1" x="63"/>
        <item h="1" x="59"/>
        <item h="1" x="75"/>
        <item h="1" x="118"/>
        <item h="1" x="138"/>
        <item h="1" x="125"/>
        <item h="1" x="85"/>
        <item h="1" x="69"/>
        <item h="1" x="110"/>
        <item h="1" x="126"/>
        <item h="1" x="149"/>
        <item h="1" x="120"/>
        <item h="1" x="113"/>
        <item h="1" x="115"/>
        <item h="1" x="112"/>
        <item h="1" x="131"/>
        <item h="1" x="116"/>
        <item h="1" x="142"/>
        <item h="1" x="44"/>
        <item h="1" x="45"/>
        <item h="1" x="137"/>
        <item h="1" x="37"/>
        <item h="1" x="105"/>
        <item h="1" x="119"/>
        <item h="1" x="117"/>
        <item h="1" x="81"/>
        <item h="1" x="136"/>
        <item h="1" x="80"/>
        <item h="1" x="68"/>
        <item h="1" x="141"/>
        <item h="1" x="104"/>
        <item h="1" x="51"/>
        <item h="1" x="86"/>
        <item h="1" x="58"/>
        <item h="1" x="103"/>
        <item h="1" x="67"/>
        <item h="1" x="84"/>
        <item x="62"/>
        <item x="127"/>
        <item x="114"/>
        <item h="1" x="57"/>
        <item h="1" x="134"/>
        <item h="1" x="147"/>
        <item h="1" x="135"/>
        <item h="1" x="107"/>
        <item h="1" x="74"/>
        <item h="1" x="148"/>
        <item h="1" x="146"/>
        <item h="1" x="130"/>
        <item t="default"/>
      </items>
    </pivotField>
  </pivotFields>
  <rowFields count="1">
    <field x="0"/>
  </rowFields>
  <rowItems count="8">
    <i>
      <x/>
    </i>
    <i>
      <x v="1"/>
    </i>
    <i>
      <x v="2"/>
    </i>
    <i>
      <x v="3"/>
    </i>
    <i>
      <x v="4"/>
    </i>
    <i>
      <x v="5"/>
    </i>
    <i>
      <x v="6"/>
    </i>
    <i t="grand">
      <x/>
    </i>
  </rowItems>
  <colFields count="1">
    <field x="-2"/>
  </colFields>
  <colItems count="2">
    <i>
      <x/>
    </i>
    <i i="1">
      <x v="1"/>
    </i>
  </colItems>
  <dataFields count="2">
    <dataField name="Sum of registered" fld="2" baseField="0" baseItem="0"/>
    <dataField name="Sum of casual" fld="1" baseField="0" baseItem="0"/>
  </dataFields>
  <chartFormats count="2">
    <chartFormat chart="18" format="84" series="1">
      <pivotArea type="data" outline="0" fieldPosition="0">
        <references count="1">
          <reference field="4294967294" count="1" selected="0">
            <x v="0"/>
          </reference>
        </references>
      </pivotArea>
    </chartFormat>
    <chartFormat chart="18" format="8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athersit" xr10:uid="{A8B0F892-8F25-419B-8111-1F37D2B38273}" sourceName="weathersit">
  <data>
    <tabular pivotCacheId="390763840">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days" xr10:uid="{5767CEC8-1B30-48AC-A0CF-61C81027DA98}" sourceName="Weekdays">
  <data>
    <tabular pivotCacheId="1454109416">
      <items count="7">
        <i x="1" s="1"/>
        <i x="2" s="1"/>
        <i x="3" s="1"/>
        <i x="4" s="1"/>
        <i x="5" s="1"/>
        <i x="6"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mp" xr10:uid="{85EDEA71-50A4-43E1-B4EE-7BCDAB955A64}" sourceName="temp">
  <data>
    <tabular pivotCacheId="1084055556">
      <items count="23">
        <i x="22" s="1"/>
        <i x="21" s="1"/>
        <i x="20" s="1"/>
        <i x="19" s="1"/>
        <i x="18" s="1"/>
        <i x="16" s="1"/>
        <i x="14" s="1"/>
        <i x="13" s="1"/>
        <i x="15" s="1"/>
        <i x="2" s="1"/>
        <i x="1" s="1"/>
        <i x="0" s="1"/>
        <i x="12" s="1"/>
        <i x="17" s="1"/>
        <i x="11" s="1"/>
        <i x="3" s="1"/>
        <i x="10" s="1"/>
        <i x="5" s="1"/>
        <i x="4" s="1"/>
        <i x="9" s="1"/>
        <i x="6" s="1"/>
        <i x="8"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athersit" xr10:uid="{16C8309A-CF77-4CFC-98AF-2BC7016470D1}" cache="Slicer_weathersit" caption="weathersit" rowHeight="209550"/>
  <slicer name="Weekdays 1" xr10:uid="{6FEA04A1-6ACF-4D52-AE5B-1E9E433F8276}" cache="Slicer_Weekdays" caption="Weekdays" rowHeight="209550"/>
  <slicer name="temp" xr10:uid="{CDAFF5C1-2DAB-4A20-994E-038A8C76D755}" cache="Slicer_temp" caption="temp" rowHeight="209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99E0EF9-3D39-418F-9623-FE6246E85B49}" name="Table6" displayName="Table6" ref="A2:XFD1048576" headerRowCount="0" totalsRowShown="0">
  <tableColumns count="16384">
    <tableColumn id="1" xr3:uid="{7C1C893C-4E7C-4925-A4BE-F9696FB87998}" name="Column1"/>
    <tableColumn id="2" xr3:uid="{6DDB5B91-E270-4303-923D-03010A8CB8B4}" name="Column2" headerRowDxfId="0"/>
    <tableColumn id="3" xr3:uid="{D369EAAD-115C-45CD-8168-44541E31A4D4}" name="Column3"/>
    <tableColumn id="4" xr3:uid="{D39DA142-DF13-464B-8503-34FE24F970FA}" name="Column4"/>
    <tableColumn id="5" xr3:uid="{CCE1D990-6576-49DA-AB99-12C7DE538A0A}" name="Column5"/>
    <tableColumn id="6" xr3:uid="{ACCF7A0F-49C0-4277-AC1D-0321CA374433}" name="Column6"/>
    <tableColumn id="7" xr3:uid="{EF3351ED-FFFF-4A12-8987-0F5694BD9F00}" name="Column7"/>
    <tableColumn id="8" xr3:uid="{4C140C38-6E1C-4D40-9E15-ECDC9F8DC0CC}" name="Column8"/>
    <tableColumn id="9" xr3:uid="{1ACB3F6B-77BC-4330-8B0B-B323BF63861D}" name="Column9"/>
    <tableColumn id="10" xr3:uid="{0C82D7E3-0B70-4F0F-A4DA-3A3EE20A622D}" name="Column10"/>
    <tableColumn id="11" xr3:uid="{E13AFE65-DAAA-4AAC-B17B-AB59A746486E}" name="Column11"/>
    <tableColumn id="12" xr3:uid="{FFB8028E-7EA6-4761-B9FD-6B8660A5F204}" name="Column12"/>
    <tableColumn id="13" xr3:uid="{301C54DA-930C-4A84-861F-E380077C1544}" name="Column13"/>
    <tableColumn id="14" xr3:uid="{6EB4C433-E239-4914-A4A2-243370A04B2B}" name="Column14"/>
    <tableColumn id="15" xr3:uid="{CAFB28A4-5C8A-448B-9686-853DD702FFED}" name="Column15"/>
    <tableColumn id="16" xr3:uid="{A2F097E3-AF9E-4466-81A0-6DA9BD73A8FD}" name="Column16"/>
    <tableColumn id="17" xr3:uid="{675284F0-6334-4E26-97C1-9025F9400982}" name="Column17"/>
    <tableColumn id="18" xr3:uid="{6A594157-D5E3-46EC-BD30-E1FBF2623FE9}" name="Column18"/>
    <tableColumn id="19" xr3:uid="{58AD8F77-2D96-46B1-BE87-1558A40EEDAC}" name="Column19"/>
    <tableColumn id="20" xr3:uid="{719A85F3-5098-4DAD-9BD5-75B3F7D1EBB6}" name="Column20"/>
    <tableColumn id="21" xr3:uid="{177570E5-AFF8-4C3F-8FB8-5A4E4B95D955}" name="Column21"/>
    <tableColumn id="22" xr3:uid="{148003C0-F67A-40B1-8AD8-FEE6CF5E9DA9}" name="Column22"/>
    <tableColumn id="23" xr3:uid="{9B4600B9-C985-4BE4-8B58-096815ABC8B2}" name="Column23"/>
    <tableColumn id="24" xr3:uid="{0B7A2CC6-9F87-47C5-BE49-A1C7A64B5BF7}" name="Column24"/>
    <tableColumn id="25" xr3:uid="{68001322-1BDE-4652-8BCD-84C29C1AC783}" name="Column25"/>
    <tableColumn id="26" xr3:uid="{D251B4C5-8D68-42AB-8911-2A0CF9B33ADB}" name="Column26"/>
    <tableColumn id="27" xr3:uid="{5A0C323D-2AB5-47CE-8483-29547A1B626E}" name="Column27"/>
    <tableColumn id="28" xr3:uid="{FDE9B1A5-60A2-4319-B179-2A54FEA10155}" name="Column28"/>
    <tableColumn id="29" xr3:uid="{9B6A926A-6896-4D6B-85F9-8EDB196EAE3B}" name="Column29"/>
    <tableColumn id="30" xr3:uid="{D30E1BC6-8100-4E78-B511-3DC3255A2752}" name="Column30"/>
    <tableColumn id="31" xr3:uid="{45FA697C-5D67-4C50-8D7F-09AE34B204D5}" name="Column31"/>
    <tableColumn id="32" xr3:uid="{3B84D2FB-C52B-4326-8CCE-3E3C71283D00}" name="Column32"/>
    <tableColumn id="33" xr3:uid="{524E6772-6507-45DD-B73F-448DF9A576DF}" name="Column33"/>
    <tableColumn id="34" xr3:uid="{24C05EA6-2C9D-43B0-BEF9-2EAAA5A50ABC}" name="Column34"/>
    <tableColumn id="35" xr3:uid="{C06D9090-9B54-42CA-A4E1-9BB46842FAE0}" name="Column35"/>
    <tableColumn id="36" xr3:uid="{3866F20C-7E1A-4FAD-9970-3CBFB4AD715F}" name="Column36"/>
    <tableColumn id="37" xr3:uid="{138A8001-FF80-456E-B316-C0B6B8D63BDA}" name="Column37"/>
    <tableColumn id="38" xr3:uid="{39A25C95-038D-48B8-BC0C-17CCC02A8A98}" name="Column38"/>
    <tableColumn id="39" xr3:uid="{21F298C3-D759-4905-ABA4-C34726D0A555}" name="Column39"/>
    <tableColumn id="40" xr3:uid="{0F2E809E-0933-4169-A087-185E98306170}" name="Column40"/>
    <tableColumn id="41" xr3:uid="{24FEDCFF-8E99-4497-8A5F-07887A3A1F84}" name="Column41"/>
    <tableColumn id="42" xr3:uid="{8D36FC33-C056-4088-84F6-414D57368EFD}" name="Column42"/>
    <tableColumn id="43" xr3:uid="{B9F27566-746E-4318-9651-503955310FDA}" name="Column43"/>
    <tableColumn id="44" xr3:uid="{AC8B4633-14A9-44D6-AC54-AC95B22809F0}" name="Column44"/>
    <tableColumn id="45" xr3:uid="{DB044355-8B7F-4AEF-8CCD-6B9F6F63E6B9}" name="Column45"/>
    <tableColumn id="46" xr3:uid="{CBDDD939-7249-4044-8CFF-61BAE98A6D74}" name="Column46"/>
    <tableColumn id="47" xr3:uid="{1C4584B4-25F9-44A3-ABE4-1A274573D384}" name="Column47"/>
    <tableColumn id="48" xr3:uid="{9EA25D05-E863-4D01-9C9F-78DE30548EED}" name="Column48"/>
    <tableColumn id="49" xr3:uid="{8C9D2585-E827-4A03-A3C1-ACE1B5079B6D}" name="Column49"/>
    <tableColumn id="50" xr3:uid="{7E6CE6B2-0114-4B69-AC14-45ADD38F8E73}" name="Column50"/>
    <tableColumn id="51" xr3:uid="{C194FB3F-5FCF-43B3-A123-2CF6F6B6F68C}" name="Column51"/>
    <tableColumn id="52" xr3:uid="{7AB7EC4B-EBB7-4A67-9DFB-D62C7558BD62}" name="Column52"/>
    <tableColumn id="53" xr3:uid="{B9F1AE54-1324-4465-8F1D-2483A62B65F7}" name="Column53"/>
    <tableColumn id="54" xr3:uid="{FC27218F-61D7-42C0-B52A-A781BF54D0F8}" name="Column54"/>
    <tableColumn id="55" xr3:uid="{05C5C754-8488-414A-B5F4-1F7E3B474E77}" name="Column55"/>
    <tableColumn id="56" xr3:uid="{73BEF6F8-13D1-4249-826A-0D451C9F791D}" name="Column56"/>
    <tableColumn id="57" xr3:uid="{F4EB7A77-09CC-4121-BF1F-D2FE0624FB33}" name="Column57"/>
    <tableColumn id="58" xr3:uid="{F0B4DB68-9A24-4BEF-A3EF-2738908B3743}" name="Column58"/>
    <tableColumn id="59" xr3:uid="{C7ACB42E-5114-4CD3-9226-5371E170C569}" name="Column59"/>
    <tableColumn id="60" xr3:uid="{EC94D4A3-CA1E-4E87-834E-CAEEBF1843F9}" name="Column60"/>
    <tableColumn id="61" xr3:uid="{5DA4FD4C-C297-4197-B2D2-9CDE508E5ED8}" name="Column61"/>
    <tableColumn id="62" xr3:uid="{955B7CF7-BBF0-47F4-AFDE-D01AD521757F}" name="Column62"/>
    <tableColumn id="63" xr3:uid="{9C64BEAA-7CDF-45A1-B218-DD36FF629DF5}" name="Column63"/>
    <tableColumn id="64" xr3:uid="{09BB6FE1-5850-468F-B085-D7F08EDD1B7A}" name="Column64"/>
    <tableColumn id="65" xr3:uid="{D11089D8-C909-4D80-8442-752945806A9B}" name="Column65"/>
    <tableColumn id="66" xr3:uid="{26118AC0-767D-4E29-8A92-3AD04D4ADA44}" name="Column66"/>
    <tableColumn id="67" xr3:uid="{B5533329-6263-4575-923B-7AC06CF31947}" name="Column67"/>
    <tableColumn id="68" xr3:uid="{C5F98766-6F9D-445E-B4FD-12D34EB17B6B}" name="Column68"/>
    <tableColumn id="69" xr3:uid="{96E830E1-A8E0-42EC-A735-78604D88FDCD}" name="Column69"/>
    <tableColumn id="70" xr3:uid="{2759DB0D-21B6-4EB7-8ECB-1FD8FD1DC548}" name="Column70"/>
    <tableColumn id="71" xr3:uid="{3B3E1B8D-FA22-4D58-9BAD-F4C9EFD3D0C9}" name="Column71"/>
    <tableColumn id="72" xr3:uid="{2A1C9D70-2D3F-43A0-BF2C-AE7BD0B266A7}" name="Column72"/>
    <tableColumn id="73" xr3:uid="{952D7778-60D1-44E9-895E-B74E4FA12DC8}" name="Column73"/>
    <tableColumn id="74" xr3:uid="{08AA6DC2-52E5-4F70-B80E-B0DE31F9B3D4}" name="Column74"/>
    <tableColumn id="75" xr3:uid="{93F2755E-98AC-4F93-A559-BC5CAE031228}" name="Column75"/>
    <tableColumn id="76" xr3:uid="{944EF01C-4C08-4741-BF8C-52C0E35F3131}" name="Column76"/>
    <tableColumn id="77" xr3:uid="{E282D40D-B795-4250-BF4E-22CFF0B70D35}" name="Column77"/>
    <tableColumn id="78" xr3:uid="{9467A8B0-37C6-4083-B4FF-8235977AAAD9}" name="Column78"/>
    <tableColumn id="79" xr3:uid="{9B1E68C6-902E-44F2-9A33-E3418550039A}" name="Column79"/>
    <tableColumn id="80" xr3:uid="{E7188963-D5F2-43EA-A486-78393E474F11}" name="Column80"/>
    <tableColumn id="81" xr3:uid="{6AB3D3E4-EE50-4964-84E5-B0420A1422D6}" name="Column81"/>
    <tableColumn id="82" xr3:uid="{E58A3665-F6D3-4F57-B1E5-A56257B67FA8}" name="Column82"/>
    <tableColumn id="83" xr3:uid="{0C39B575-DA87-4D7A-98CF-882A6F7721EA}" name="Column83"/>
    <tableColumn id="84" xr3:uid="{F0205DD1-BC85-44FA-8D5D-5850F22A35E5}" name="Column84"/>
    <tableColumn id="85" xr3:uid="{7C7E0445-6585-4CCE-8CDA-17D9127AFC6D}" name="Column85"/>
    <tableColumn id="86" xr3:uid="{5BCC9D3A-0FED-419E-9EC0-48D9703D0C80}" name="Column86"/>
    <tableColumn id="87" xr3:uid="{C9DDE4AC-A17C-41AD-837F-44864D558259}" name="Column87"/>
    <tableColumn id="88" xr3:uid="{D6947C97-5AB8-4EF2-84A3-10954351D844}" name="Column88"/>
    <tableColumn id="89" xr3:uid="{7313B63A-D641-4897-BC21-0B66C0BD5E6A}" name="Column89"/>
    <tableColumn id="90" xr3:uid="{C8D1E667-2FE0-44AB-B976-75F0E4181723}" name="Column90"/>
    <tableColumn id="91" xr3:uid="{69DEDF31-A545-4CC1-9090-1F060F1C184C}" name="Column91"/>
    <tableColumn id="92" xr3:uid="{7B1AF404-6447-43F1-B803-E85CFDFD5C63}" name="Column92"/>
    <tableColumn id="93" xr3:uid="{4C69C7ED-136A-41C0-9607-00C8980467D2}" name="Column93"/>
    <tableColumn id="94" xr3:uid="{8AB86809-5D5D-4A5C-AB3A-26C068AF4C7F}" name="Column94"/>
    <tableColumn id="95" xr3:uid="{C2D5A81D-04F2-4B43-933E-7804D0278536}" name="Column95"/>
    <tableColumn id="96" xr3:uid="{19735E3C-3406-45FB-8C92-31974D9BC21F}" name="Column96"/>
    <tableColumn id="97" xr3:uid="{FF9BEF36-2A80-4D30-8ED4-DCC05B695CFB}" name="Column97"/>
    <tableColumn id="98" xr3:uid="{5D5A707B-2AC9-4FC0-A6CE-6B142460CC4F}" name="Column98"/>
    <tableColumn id="99" xr3:uid="{3749DCF3-2E24-4153-BB7D-0D4545F31A38}" name="Column99"/>
    <tableColumn id="100" xr3:uid="{04D5C258-D446-4BCD-8C5F-E1148A2C91FD}" name="Column100"/>
    <tableColumn id="101" xr3:uid="{E8DDCD7D-CC36-4CF6-952D-0F1FDE1307AA}" name="Column101"/>
    <tableColumn id="102" xr3:uid="{0B5194C5-58B8-4522-8F50-5AD5532757E9}" name="Column102"/>
    <tableColumn id="103" xr3:uid="{BF74D9BA-E615-48A7-B1E1-4821C1B1BD62}" name="Column103"/>
    <tableColumn id="104" xr3:uid="{D9BEEED5-54F5-4308-8864-917A3A9AEACF}" name="Column104"/>
    <tableColumn id="105" xr3:uid="{6EBDD9A7-3A47-4599-8B31-0501A7ED98A2}" name="Column105"/>
    <tableColumn id="106" xr3:uid="{634FDF79-E9D5-49BE-9A2B-08742CE57AFE}" name="Column106"/>
    <tableColumn id="107" xr3:uid="{C371DA2A-7A89-4358-A02C-C1E00B282FA6}" name="Column107"/>
    <tableColumn id="108" xr3:uid="{70D0EF0E-3644-4E52-8DD5-DFB3FD6EB173}" name="Column108"/>
    <tableColumn id="109" xr3:uid="{B67E6D2F-9A9B-4527-B33D-6435FD68C3C6}" name="Column109"/>
    <tableColumn id="110" xr3:uid="{6FD656F6-21DB-45CD-8B07-889E62BA333C}" name="Column110"/>
    <tableColumn id="111" xr3:uid="{D84BA7C2-2A78-4067-A39F-7810B027CAD7}" name="Column111"/>
    <tableColumn id="112" xr3:uid="{3BD9E3F4-2B3F-4A4F-B318-1F5B01A05088}" name="Column112"/>
    <tableColumn id="113" xr3:uid="{58DE67C5-EF8A-4BDA-A3F1-4B0B3E641335}" name="Column113"/>
    <tableColumn id="114" xr3:uid="{ADE3ED12-876F-46C3-94B5-801B0FF6E7F1}" name="Column114"/>
    <tableColumn id="115" xr3:uid="{FABCE052-B88B-4EC9-AADC-FB4CE5DA590B}" name="Column115"/>
    <tableColumn id="116" xr3:uid="{BF2DDA93-B567-4094-BC1D-8F00E07D4096}" name="Column116"/>
    <tableColumn id="117" xr3:uid="{4A102317-E3C7-4AC9-9BC6-1C59DD67D0DB}" name="Column117"/>
    <tableColumn id="118" xr3:uid="{9B1770C4-C6C2-4C8B-B1C3-17526D217107}" name="Column118"/>
    <tableColumn id="119" xr3:uid="{635E413B-7390-4809-B8EE-35C92DA3011C}" name="Column119"/>
    <tableColumn id="120" xr3:uid="{47610FA2-1E12-47FD-98B3-72DB5AC3BEF5}" name="Column120"/>
    <tableColumn id="121" xr3:uid="{47769579-4D88-47F2-B0EA-5D5510CE68CF}" name="Column121"/>
    <tableColumn id="122" xr3:uid="{4DB8EB53-D986-40F5-A30C-ADE45059A63D}" name="Column122"/>
    <tableColumn id="123" xr3:uid="{801D7D6B-35FA-4DC4-A352-E5689718A558}" name="Column123"/>
    <tableColumn id="124" xr3:uid="{31689AEC-A606-4D7F-A426-034D93515AC6}" name="Column124"/>
    <tableColumn id="125" xr3:uid="{8A4FD5D5-3A1E-4386-BB64-22DC9E150834}" name="Column125"/>
    <tableColumn id="126" xr3:uid="{3F880041-121D-4BB5-8B62-BB3E4DF38EC4}" name="Column126"/>
    <tableColumn id="127" xr3:uid="{AD9F360B-2C0E-4829-8FA5-C53B7D8F9403}" name="Column127"/>
    <tableColumn id="128" xr3:uid="{F532E44D-96E1-4974-894C-C5A9CF708693}" name="Column128"/>
    <tableColumn id="129" xr3:uid="{0B587E4F-DD6D-462B-B464-69801E4F9BB3}" name="Column129"/>
    <tableColumn id="130" xr3:uid="{FFB4FA98-DCF6-4FA7-8B15-3F32AE07A389}" name="Column130"/>
    <tableColumn id="131" xr3:uid="{1B095DDC-6060-490E-B1B3-B6907A18A4DD}" name="Column131"/>
    <tableColumn id="132" xr3:uid="{0C52DC44-6E96-40AF-AC1E-CE79F522E4A6}" name="Column132"/>
    <tableColumn id="133" xr3:uid="{F4257ACB-94E2-4C5C-9EBC-26E7864014FF}" name="Column133"/>
    <tableColumn id="134" xr3:uid="{03401E4D-CD38-4DF7-BC4A-12976C57D425}" name="Column134"/>
    <tableColumn id="135" xr3:uid="{D2330CBA-D22E-4802-9477-6176C61CC914}" name="Column135"/>
    <tableColumn id="136" xr3:uid="{36313307-9354-4E39-BC54-AF78CAB20DC4}" name="Column136"/>
    <tableColumn id="137" xr3:uid="{A3F20DA1-8E8E-433D-993D-E35C973810E8}" name="Column137"/>
    <tableColumn id="138" xr3:uid="{3FD7B292-A165-4BFA-A890-9EA4672ABE5F}" name="Column138"/>
    <tableColumn id="139" xr3:uid="{6BFCBAA5-2FD4-4038-A6D6-2E8843C2FD69}" name="Column139"/>
    <tableColumn id="140" xr3:uid="{30013DBE-AFEF-4331-B6EA-A3386649C69C}" name="Column140"/>
    <tableColumn id="141" xr3:uid="{92D0BE09-66E3-4C46-8B44-7D91E4268329}" name="Column141"/>
    <tableColumn id="142" xr3:uid="{75421A65-0613-42D8-8881-343BBC409869}" name="Column142"/>
    <tableColumn id="143" xr3:uid="{9D80E2B6-8C5B-40E4-A407-965452EC4960}" name="Column143"/>
    <tableColumn id="144" xr3:uid="{DA260DB0-ABFD-4DC7-A2B4-75A3F2C45368}" name="Column144"/>
    <tableColumn id="145" xr3:uid="{B3C76DB9-3D5C-454E-B2A4-1B33ABF853FD}" name="Column145"/>
    <tableColumn id="146" xr3:uid="{CFC6EFD1-4C53-469D-919F-A1F98A6AC9D3}" name="Column146"/>
    <tableColumn id="147" xr3:uid="{363902B2-2826-4770-BC56-E664A3EE7194}" name="Column147"/>
    <tableColumn id="148" xr3:uid="{A7DBD807-4071-43C4-85AB-F6B64E650880}" name="Column148"/>
    <tableColumn id="149" xr3:uid="{6C4953F0-E2F0-4C48-97DC-60A630B22E0C}" name="Column149"/>
    <tableColumn id="150" xr3:uid="{41CDDF2F-13B6-423F-A264-8BF1D4814E56}" name="Column150"/>
    <tableColumn id="151" xr3:uid="{B38153D9-EA44-49D8-A627-68BA3E132292}" name="Column151"/>
    <tableColumn id="152" xr3:uid="{9F51128A-B34F-449B-AF67-27A7FF580582}" name="Column152"/>
    <tableColumn id="153" xr3:uid="{4B87E247-1D31-4D40-A1D5-FED0AD7C731E}" name="Column153"/>
    <tableColumn id="154" xr3:uid="{AE7ED3B4-954F-46D7-8DF5-8D1808020847}" name="Column154"/>
    <tableColumn id="155" xr3:uid="{BF4F43A8-8B59-4892-AC5F-FD01D63041C7}" name="Column155"/>
    <tableColumn id="156" xr3:uid="{7C51CAC1-0440-4155-A631-B83C04F4FEB2}" name="Column156"/>
    <tableColumn id="157" xr3:uid="{1C66408E-2BD1-4F2C-9B28-BE0D7B020C6C}" name="Column157"/>
    <tableColumn id="158" xr3:uid="{6D6A76C5-A85D-44FE-94E0-079A5D73700E}" name="Column158"/>
    <tableColumn id="159" xr3:uid="{9E369627-D1F6-4B23-B75E-0DF2631CF427}" name="Column159"/>
    <tableColumn id="160" xr3:uid="{FA94C933-8F27-4E15-A5D8-03CB08527FDE}" name="Column160"/>
    <tableColumn id="161" xr3:uid="{9D1E96EF-F403-47A2-9C84-FC7B9FF79813}" name="Column161"/>
    <tableColumn id="162" xr3:uid="{D9BC0DB5-AB53-434B-818B-314833231043}" name="Column162"/>
    <tableColumn id="163" xr3:uid="{DD7BFB4E-E75F-4100-B3DD-D0DE222A475B}" name="Column163"/>
    <tableColumn id="164" xr3:uid="{CAD19962-8EA0-431C-9AB8-D9602250EA2B}" name="Column164"/>
    <tableColumn id="165" xr3:uid="{FC2D5901-DBBA-4309-860F-095321F70EC7}" name="Column165"/>
    <tableColumn id="166" xr3:uid="{7D5F8EB0-34CA-4A7D-9254-A81CDFE9B98A}" name="Column166"/>
    <tableColumn id="167" xr3:uid="{A49B4A84-8DE0-4C34-B935-60EEBFCD232C}" name="Column167"/>
    <tableColumn id="168" xr3:uid="{6E52F564-9DC0-4551-809A-65A6BF28E7B9}" name="Column168"/>
    <tableColumn id="169" xr3:uid="{4C816CA7-D555-4742-8EA8-AE4FCBA1D448}" name="Column169"/>
    <tableColumn id="170" xr3:uid="{5427BF8E-398E-40B7-89CB-EF8E96571FBF}" name="Column170"/>
    <tableColumn id="171" xr3:uid="{126BE2F5-56CC-40A0-89E4-D2F77B1F2017}" name="Column171"/>
    <tableColumn id="172" xr3:uid="{DBA7A49D-1097-49FC-865E-13FF5D5D8AE2}" name="Column172"/>
    <tableColumn id="173" xr3:uid="{EB6CEBD7-0E9A-46F1-ABE3-7614EE16D3F4}" name="Column173"/>
    <tableColumn id="174" xr3:uid="{54C25151-8EBA-4F9E-90D6-E96D7FD94CF2}" name="Column174"/>
    <tableColumn id="175" xr3:uid="{C462CA92-EC6E-49B8-B8F4-4918D1BA0E37}" name="Column175"/>
    <tableColumn id="176" xr3:uid="{6A72C25D-A41F-40DA-BE0C-F3EFE994361B}" name="Column176"/>
    <tableColumn id="177" xr3:uid="{3D3DA88C-646D-4610-953C-C60445632B1B}" name="Column177"/>
    <tableColumn id="178" xr3:uid="{C624BA3E-8709-457A-88E5-372D53B6793B}" name="Column178"/>
    <tableColumn id="179" xr3:uid="{1884C3A0-1989-4832-A620-367ED56A7A13}" name="Column179"/>
    <tableColumn id="180" xr3:uid="{00908053-5F03-4E1E-88EA-02616C38ECF5}" name="Column180"/>
    <tableColumn id="181" xr3:uid="{5B5B601B-E460-4ECF-A65F-74377E7C7B51}" name="Column181"/>
    <tableColumn id="182" xr3:uid="{A71BA677-5D38-4F46-824A-2FEC2627A823}" name="Column182"/>
    <tableColumn id="183" xr3:uid="{7012BFF8-61A6-43A9-A55D-1C7745238CD8}" name="Column183"/>
    <tableColumn id="184" xr3:uid="{F21B482D-A971-4517-AEC8-2C50B8A3BF47}" name="Column184"/>
    <tableColumn id="185" xr3:uid="{92FCFB3C-7C87-4EC3-A332-62A5C42B0DC4}" name="Column185"/>
    <tableColumn id="186" xr3:uid="{A038A555-C1FD-4926-BB24-E1956A574ED8}" name="Column186"/>
    <tableColumn id="187" xr3:uid="{F0A72CF7-2DB3-42E1-B641-9E2B27F786FE}" name="Column187"/>
    <tableColumn id="188" xr3:uid="{5DEBCA97-378D-4953-AFAD-029F1203E39C}" name="Column188"/>
    <tableColumn id="189" xr3:uid="{BA382679-74FB-4236-A26E-93A8D98CB065}" name="Column189"/>
    <tableColumn id="190" xr3:uid="{36D47F3D-C237-41A9-B1A5-A321017CF411}" name="Column190"/>
    <tableColumn id="191" xr3:uid="{7D0AD2C1-CF66-4DC7-AFF2-CB328D3FC88F}" name="Column191"/>
    <tableColumn id="192" xr3:uid="{E2B403AE-DAE0-4ECC-B4E1-349E434716F5}" name="Column192"/>
    <tableColumn id="193" xr3:uid="{E184DB24-967A-4C81-B03F-175331C7488A}" name="Column193"/>
    <tableColumn id="194" xr3:uid="{878E6892-2EA3-4069-85D0-99E9CD6B4408}" name="Column194"/>
    <tableColumn id="195" xr3:uid="{BB6094DF-7F97-440A-AC7D-49CC102CBD3B}" name="Column195"/>
    <tableColumn id="196" xr3:uid="{F9B5AEF6-E5D7-47F0-9275-BE918B4CEB39}" name="Column196"/>
    <tableColumn id="197" xr3:uid="{BB4315AA-3F25-41C7-85B7-BD91D85249FA}" name="Column197"/>
    <tableColumn id="198" xr3:uid="{8BBC0B5D-8586-4553-9038-C8CA51340CFF}" name="Column198"/>
    <tableColumn id="199" xr3:uid="{3F2F7E53-B95B-450F-AD2F-B637D7FEBA35}" name="Column199"/>
    <tableColumn id="200" xr3:uid="{E8EA416A-BEDC-48FC-B55F-568F317DA8DA}" name="Column200"/>
    <tableColumn id="201" xr3:uid="{D8F731D7-44CC-4DCB-B34B-BBE235AD47B6}" name="Column201"/>
    <tableColumn id="202" xr3:uid="{1922C5BB-BDBF-40FE-B14F-EC3C0AF4F538}" name="Column202"/>
    <tableColumn id="203" xr3:uid="{CCA1B6D2-CC22-46E2-A6F0-7A26AE3191B2}" name="Column203"/>
    <tableColumn id="204" xr3:uid="{B099F226-C55A-49F2-9E0B-D250E0C17CBA}" name="Column204"/>
    <tableColumn id="205" xr3:uid="{26AD2EAB-327F-4776-A8E7-91AB7103AFBE}" name="Column205"/>
    <tableColumn id="206" xr3:uid="{92811B15-6809-474B-87FB-C2D2FD6FC825}" name="Column206"/>
    <tableColumn id="207" xr3:uid="{DA5E0137-46F6-4E7F-A118-4026E15FB421}" name="Column207"/>
    <tableColumn id="208" xr3:uid="{C607F1A4-17E6-4B18-8386-8B2DE0A25C4D}" name="Column208"/>
    <tableColumn id="209" xr3:uid="{14590681-82CF-4318-A048-DBCBD8A03B73}" name="Column209"/>
    <tableColumn id="210" xr3:uid="{B08FC60E-55FD-4722-B6B1-BE6150722885}" name="Column210"/>
    <tableColumn id="211" xr3:uid="{F742BF00-5235-4CED-88BB-3E3488F7440B}" name="Column211"/>
    <tableColumn id="212" xr3:uid="{336581AB-2890-44CA-B328-EB44837D39B0}" name="Column212"/>
    <tableColumn id="213" xr3:uid="{59218CFA-6947-46D1-9568-1E5BF3FD2EC5}" name="Column213"/>
    <tableColumn id="214" xr3:uid="{F2EBBE7F-03A1-494B-96F9-017B94708E3E}" name="Column214"/>
    <tableColumn id="215" xr3:uid="{DCF8DB2A-059B-4FA5-BFE8-E9CA635B2803}" name="Column215"/>
    <tableColumn id="216" xr3:uid="{3743B6AF-A198-438F-8E9F-A9C600CABBE1}" name="Column216"/>
    <tableColumn id="217" xr3:uid="{11590D6E-15E1-4C0B-A40F-A204B010BDCB}" name="Column217"/>
    <tableColumn id="218" xr3:uid="{D3E00DBA-40D0-49A2-954A-9A98B232430D}" name="Column218"/>
    <tableColumn id="219" xr3:uid="{F5F695EE-F61E-40A9-85F8-F17625BC9ADB}" name="Column219"/>
    <tableColumn id="220" xr3:uid="{6BCF7EB7-17F6-4F2E-BDDA-6340ADEF80E8}" name="Column220"/>
    <tableColumn id="221" xr3:uid="{8927E4F3-3FA8-46BC-883D-31F88D7BCABA}" name="Column221"/>
    <tableColumn id="222" xr3:uid="{16EF3F3A-372A-4317-824D-3ECF4DF3B6E5}" name="Column222"/>
    <tableColumn id="223" xr3:uid="{D0465C7D-5A32-475A-8C32-41B6544D7B4D}" name="Column223"/>
    <tableColumn id="224" xr3:uid="{FBFE374F-3ED3-4FDA-A342-A208ED575F1D}" name="Column224"/>
    <tableColumn id="225" xr3:uid="{FB26A786-967E-4B10-B65F-4EA96777C23D}" name="Column225"/>
    <tableColumn id="226" xr3:uid="{1F32DCD6-4747-432C-86DC-9B80E2DFB554}" name="Column226"/>
    <tableColumn id="227" xr3:uid="{3D0D0999-BA08-4053-B498-CBCCD46604BF}" name="Column227"/>
    <tableColumn id="228" xr3:uid="{C49C311A-8E34-4DD7-8E88-13564BF05987}" name="Column228"/>
    <tableColumn id="229" xr3:uid="{C8C92B45-08BB-4042-BBA2-369D8391E812}" name="Column229"/>
    <tableColumn id="230" xr3:uid="{6A7B4B3F-803D-44D2-84E0-5F19ADD7FCD6}" name="Column230"/>
    <tableColumn id="231" xr3:uid="{321A8E10-47BA-47F7-AED9-4A7E9C095147}" name="Column231"/>
    <tableColumn id="232" xr3:uid="{FC9C61BC-D388-4D59-AC9E-3EC69470625B}" name="Column232"/>
    <tableColumn id="233" xr3:uid="{45DB420D-9A3C-4C92-919D-7180726406D5}" name="Column233"/>
    <tableColumn id="234" xr3:uid="{675CC738-BFFB-4C5D-95CF-0A99A2079BDE}" name="Column234"/>
    <tableColumn id="235" xr3:uid="{24EA3051-F3E1-40AC-AFBF-35792EDB2B51}" name="Column235"/>
    <tableColumn id="236" xr3:uid="{5144169E-B0AC-4C0E-B53D-CC501725B6F0}" name="Column236"/>
    <tableColumn id="237" xr3:uid="{F1DCBF76-4095-4927-A868-92978A4DC22D}" name="Column237"/>
    <tableColumn id="238" xr3:uid="{AAD0079D-F19B-4C45-8C4E-F2786098FB81}" name="Column238"/>
    <tableColumn id="239" xr3:uid="{0FACA7D8-B001-4639-8F5B-8CEE81936022}" name="Column239"/>
    <tableColumn id="240" xr3:uid="{EB70E168-EB31-44E0-97E5-5888AC87405E}" name="Column240"/>
    <tableColumn id="241" xr3:uid="{23DC9F62-EBAA-466D-9B25-405CCC9BD518}" name="Column241"/>
    <tableColumn id="242" xr3:uid="{38A7BA54-04B5-4621-960D-4BD26C862BFC}" name="Column242"/>
    <tableColumn id="243" xr3:uid="{CD76837A-CAB5-4852-B3D0-1D9DDCA72802}" name="Column243"/>
    <tableColumn id="244" xr3:uid="{E93B81FE-2011-4E0A-BAF2-FE06450DB18A}" name="Column244"/>
    <tableColumn id="245" xr3:uid="{E4FDED49-10CE-4374-BF4E-18C3120B8D10}" name="Column245"/>
    <tableColumn id="246" xr3:uid="{5ECEAF45-2A39-41DA-B194-2F64B03E63EF}" name="Column246"/>
    <tableColumn id="247" xr3:uid="{5E8265E3-92AB-4F01-B1D9-F4B05DD351A7}" name="Column247"/>
    <tableColumn id="248" xr3:uid="{2922FA01-7808-47EA-A111-742E657DE686}" name="Column248"/>
    <tableColumn id="249" xr3:uid="{74307FCB-BF70-40F7-AE27-ABFA54DE1271}" name="Column249"/>
    <tableColumn id="250" xr3:uid="{7730C6EE-1E6B-40EF-AE65-48656185A3EA}" name="Column250"/>
    <tableColumn id="251" xr3:uid="{A4C093C7-56D4-4FA4-80ED-B4618172535B}" name="Column251"/>
    <tableColumn id="252" xr3:uid="{C43BAA4C-0F6B-48C4-B928-16B6CACCD24A}" name="Column252"/>
    <tableColumn id="253" xr3:uid="{A6904FCE-6A92-457F-9884-1F32750129EC}" name="Column253"/>
    <tableColumn id="254" xr3:uid="{765F9CCB-1756-4C15-BD89-A2C34695CAFC}" name="Column254"/>
    <tableColumn id="255" xr3:uid="{6204EAF6-9A50-48D8-9CF7-B612C18A2AB5}" name="Column255"/>
    <tableColumn id="256" xr3:uid="{440CF08B-08DB-4914-B61B-DC8E52DC3CF6}" name="Column256"/>
    <tableColumn id="257" xr3:uid="{51FD7658-5C9B-4273-92CD-24AD18D9FFB2}" name="Column257"/>
    <tableColumn id="258" xr3:uid="{A939B62F-824C-49D1-A4E9-25E81DB462FC}" name="Column258"/>
    <tableColumn id="259" xr3:uid="{9FB7C586-3176-4A85-9C5D-E835F7001C93}" name="Column259"/>
    <tableColumn id="260" xr3:uid="{B78B9814-3627-43F5-8F2D-9C43F14DAB10}" name="Column260"/>
    <tableColumn id="261" xr3:uid="{4ED32026-D3B9-48EB-BC7D-33F60448A0FC}" name="Column261"/>
    <tableColumn id="262" xr3:uid="{50946A2D-AA57-4272-9509-65006386796F}" name="Column262"/>
    <tableColumn id="263" xr3:uid="{8C35FC6B-A932-4410-8F56-B89E97C02BFC}" name="Column263"/>
    <tableColumn id="264" xr3:uid="{6B7585E5-36C0-46F1-9849-D8FB5027C761}" name="Column264"/>
    <tableColumn id="265" xr3:uid="{9C0853FA-98CD-472E-A55B-1BCF7D3649DA}" name="Column265"/>
    <tableColumn id="266" xr3:uid="{302432E0-A1E6-4562-815D-BA7F757AD579}" name="Column266"/>
    <tableColumn id="267" xr3:uid="{E8A103E2-53AD-43E1-9ADA-59C3D08F739A}" name="Column267"/>
    <tableColumn id="268" xr3:uid="{858B4A52-2FCF-4CB0-8C02-C91848D9AFD7}" name="Column268"/>
    <tableColumn id="269" xr3:uid="{D0FF9B5E-C222-496E-BF0D-C37270ACCFCB}" name="Column269"/>
    <tableColumn id="270" xr3:uid="{6C1D92FD-FB0C-4A58-A4D3-121DF38CE8D0}" name="Column270"/>
    <tableColumn id="271" xr3:uid="{3E13E6BC-74B8-4E81-942C-2073F34512A7}" name="Column271"/>
    <tableColumn id="272" xr3:uid="{18FC7CD1-1B2D-403F-AE31-0D02C120BBB8}" name="Column272"/>
    <tableColumn id="273" xr3:uid="{A46B8153-3D2B-4D60-8519-EE8D7230F61D}" name="Column273"/>
    <tableColumn id="274" xr3:uid="{FFF79004-8DD5-4506-A715-4B68B7321563}" name="Column274"/>
    <tableColumn id="275" xr3:uid="{A2D4EC00-9164-431F-BE4D-51BEC374B833}" name="Column275"/>
    <tableColumn id="276" xr3:uid="{BFD6088A-7600-436F-9184-14438CF305E0}" name="Column276"/>
    <tableColumn id="277" xr3:uid="{BD7EC903-EAA9-4436-8042-EF3BBF2F11E6}" name="Column277"/>
    <tableColumn id="278" xr3:uid="{1681DA5E-3888-4630-811F-4195B5AA1D81}" name="Column278"/>
    <tableColumn id="279" xr3:uid="{2E08D6FB-2AA0-4AAA-BBF6-6CA7EBE1F67F}" name="Column279"/>
    <tableColumn id="280" xr3:uid="{B50F4241-35EC-4CB3-8507-323CE8443276}" name="Column280"/>
    <tableColumn id="281" xr3:uid="{B425E299-ABDC-44B8-8E67-07A405FB7BCC}" name="Column281"/>
    <tableColumn id="282" xr3:uid="{D801DDBE-9DE7-4845-BD8E-77C9D5322A5C}" name="Column282"/>
    <tableColumn id="283" xr3:uid="{F694F172-39AE-41BD-8309-E0CC1D1824DE}" name="Column283"/>
    <tableColumn id="284" xr3:uid="{540A8922-083E-4FCF-B42E-7AED655D504F}" name="Column284"/>
    <tableColumn id="285" xr3:uid="{3A40ABD4-F844-42C5-90D0-CFF608ED5D55}" name="Column285"/>
    <tableColumn id="286" xr3:uid="{D8E31742-C9D9-41B6-8198-237E5D16F270}" name="Column286"/>
    <tableColumn id="287" xr3:uid="{2E20093D-8F0D-4BA2-950F-4AB539F24474}" name="Column287"/>
    <tableColumn id="288" xr3:uid="{B7F5AFA0-5848-4383-A69D-9C4C60CF2C56}" name="Column288"/>
    <tableColumn id="289" xr3:uid="{AC8B8A6E-5F1F-452D-8A06-E8B0C5744900}" name="Column289"/>
    <tableColumn id="290" xr3:uid="{BA461875-706C-4B50-9E62-4133EE1E3388}" name="Column290"/>
    <tableColumn id="291" xr3:uid="{0B7C2CA9-6810-4E44-8AEF-9C0EAD3E6CBB}" name="Column291"/>
    <tableColumn id="292" xr3:uid="{70338F32-D77A-45ED-BE62-2BFA4C6B506A}" name="Column292"/>
    <tableColumn id="293" xr3:uid="{CD9ABC9B-58B6-41B7-9E15-7A6A6B628881}" name="Column293"/>
    <tableColumn id="294" xr3:uid="{888E9BF1-855E-4CB3-890D-0F1C90DF07BB}" name="Column294"/>
    <tableColumn id="295" xr3:uid="{920D5F14-CD87-4B2A-847D-16382F8360F2}" name="Column295"/>
    <tableColumn id="296" xr3:uid="{29C93EC1-7D90-4CEC-80AC-E191E16CC474}" name="Column296"/>
    <tableColumn id="297" xr3:uid="{975A179A-28F0-4E84-AFFC-2F12FF53DCBF}" name="Column297"/>
    <tableColumn id="298" xr3:uid="{9907DAA5-7F4E-4AD3-A76C-9E2C077FA2CD}" name="Column298"/>
    <tableColumn id="299" xr3:uid="{C3ABEC45-9771-4CA5-8AB6-14DED57E7E6D}" name="Column299"/>
    <tableColumn id="300" xr3:uid="{9EB50F9F-4DDA-4CB7-BD24-80AD6E504420}" name="Column300"/>
    <tableColumn id="301" xr3:uid="{0F2F9FE7-BB62-4406-8B94-4982E99D4FC7}" name="Column301"/>
    <tableColumn id="302" xr3:uid="{81D9C752-707E-4402-A011-DC7CEA54C42F}" name="Column302"/>
    <tableColumn id="303" xr3:uid="{89719B5F-32FC-4B76-93E6-59A83F967F9A}" name="Column303"/>
    <tableColumn id="304" xr3:uid="{7BEBD5EC-156D-432A-9F3F-025977E3A2AF}" name="Column304"/>
    <tableColumn id="305" xr3:uid="{746D6661-15D0-4136-889A-CCF33EA23BE2}" name="Column305"/>
    <tableColumn id="306" xr3:uid="{068EADB0-1E7C-4899-AC6B-E44150C5619E}" name="Column306"/>
    <tableColumn id="307" xr3:uid="{2E0E1C99-F706-49B4-89AD-A4B99292EC73}" name="Column307"/>
    <tableColumn id="308" xr3:uid="{966825DC-FFF8-441D-AD12-82C7B6DED177}" name="Column308"/>
    <tableColumn id="309" xr3:uid="{BD664271-BA23-4987-9288-47EB3FB2F58D}" name="Column309"/>
    <tableColumn id="310" xr3:uid="{03A354C7-CADC-4F8C-AE68-8607458C5EE7}" name="Column310"/>
    <tableColumn id="311" xr3:uid="{9506561B-84F4-4359-B11E-8C94A63A0B38}" name="Column311"/>
    <tableColumn id="312" xr3:uid="{CA29A229-FC35-43B5-9181-921DBBC587C7}" name="Column312"/>
    <tableColumn id="313" xr3:uid="{C901A6A4-8E19-44B9-924C-A2487CA3E375}" name="Column313"/>
    <tableColumn id="314" xr3:uid="{90A2A1F1-23A2-48D4-AAD5-BFEF0353347E}" name="Column314"/>
    <tableColumn id="315" xr3:uid="{3CA56149-E45F-43F7-8E8B-96A5244CC022}" name="Column315"/>
    <tableColumn id="316" xr3:uid="{4B7FA693-DE27-41E8-A2C1-FB2255209F6F}" name="Column316"/>
    <tableColumn id="317" xr3:uid="{1B5EB38F-9230-4653-9CF7-6C4F797FDEC2}" name="Column317"/>
    <tableColumn id="318" xr3:uid="{1282BFAD-4AD4-4483-B733-F7B5C168AA66}" name="Column318"/>
    <tableColumn id="319" xr3:uid="{B0965A06-F7E6-46BC-8E16-C9CEC20D0A20}" name="Column319"/>
    <tableColumn id="320" xr3:uid="{54DF1A94-1AAA-417E-90E0-B2A50101C3DD}" name="Column320"/>
    <tableColumn id="321" xr3:uid="{05CCABB9-6794-4568-A093-6BB69B5A44C5}" name="Column321"/>
    <tableColumn id="322" xr3:uid="{83AD3B20-DFD0-4F24-9A4C-CEAFA342F43C}" name="Column322"/>
    <tableColumn id="323" xr3:uid="{6AFC6598-4CC6-4DFD-BD9F-EF7D1EDAE3E7}" name="Column323"/>
    <tableColumn id="324" xr3:uid="{22707673-A05C-4499-8B9F-836FBA1EF883}" name="Column324"/>
    <tableColumn id="325" xr3:uid="{7B08E1AD-067F-4A9B-A4D5-0F70B217C867}" name="Column325"/>
    <tableColumn id="326" xr3:uid="{77E1389E-4B77-4D7E-A26B-7283523348B6}" name="Column326"/>
    <tableColumn id="327" xr3:uid="{F844D8DC-AA11-42E0-9DE6-9093C6C55808}" name="Column327"/>
    <tableColumn id="328" xr3:uid="{1C46A683-FB76-42E1-9EAA-352EC746EA4D}" name="Column328"/>
    <tableColumn id="329" xr3:uid="{11EDB897-1D2C-484C-8CCB-D3E791DD7CE7}" name="Column329"/>
    <tableColumn id="330" xr3:uid="{BB265F2B-58C1-45EA-B2DA-FAF5D45FA49F}" name="Column330"/>
    <tableColumn id="331" xr3:uid="{FE22504B-257E-4952-8C34-D3A1C00189DC}" name="Column331"/>
    <tableColumn id="332" xr3:uid="{C955018C-C7A4-4CAA-9F04-EFF8333A6839}" name="Column332"/>
    <tableColumn id="333" xr3:uid="{EA56BA25-DB11-462F-961B-38B7C2017E2E}" name="Column333"/>
    <tableColumn id="334" xr3:uid="{62562297-2C78-49A4-9F9B-FBBB82290D9F}" name="Column334"/>
    <tableColumn id="335" xr3:uid="{831FCB7F-830E-4F88-BDA6-DCF91BA2CCF1}" name="Column335"/>
    <tableColumn id="336" xr3:uid="{2991DE5E-57CD-4D6E-9D65-32F9D5CB6A2B}" name="Column336"/>
    <tableColumn id="337" xr3:uid="{97765F53-5CA6-457C-9B7F-C2F8F16300FB}" name="Column337"/>
    <tableColumn id="338" xr3:uid="{B80EE8DE-0618-43D4-8EFF-42EC54327B0B}" name="Column338"/>
    <tableColumn id="339" xr3:uid="{3FFBDC69-CDCB-4712-A5D2-43A2C2FF578A}" name="Column339"/>
    <tableColumn id="340" xr3:uid="{0AC73835-00C2-422C-A4B1-32979590CB51}" name="Column340"/>
    <tableColumn id="341" xr3:uid="{32D3BE66-FF4C-4C39-900D-4CA95D29D170}" name="Column341"/>
    <tableColumn id="342" xr3:uid="{2A711FBD-1F53-4829-A68A-E90583EA51D0}" name="Column342"/>
    <tableColumn id="343" xr3:uid="{AD2B78C1-E8DF-4805-BACC-4900F869BF51}" name="Column343"/>
    <tableColumn id="344" xr3:uid="{37E0E924-5B9A-4571-9532-203CBB772B53}" name="Column344"/>
    <tableColumn id="345" xr3:uid="{CA7532CF-0566-41A7-A295-6BBFDFBD503F}" name="Column345"/>
    <tableColumn id="346" xr3:uid="{C604B15B-29FA-498C-835F-DCD643A69F44}" name="Column346"/>
    <tableColumn id="347" xr3:uid="{5DD8EA42-92DB-43A0-80D2-0990A064F3EB}" name="Column347"/>
    <tableColumn id="348" xr3:uid="{35C75FB7-F15A-4073-A23A-F1F7A398CF5E}" name="Column348"/>
    <tableColumn id="349" xr3:uid="{BE01AA47-6662-4BC0-9E07-7C23ACD17813}" name="Column349"/>
    <tableColumn id="350" xr3:uid="{AF84708F-E47E-4438-AFBF-98EE96000E36}" name="Column350"/>
    <tableColumn id="351" xr3:uid="{5797E4F4-265C-4940-8173-9F9CC9EBF508}" name="Column351"/>
    <tableColumn id="352" xr3:uid="{16E8C8FC-49E0-48C5-AAA5-4343BC4F410D}" name="Column352"/>
    <tableColumn id="353" xr3:uid="{99837511-508F-4840-9831-C02D7E7257BE}" name="Column353"/>
    <tableColumn id="354" xr3:uid="{98579908-BB73-418A-81E7-7E5121AA7A07}" name="Column354"/>
    <tableColumn id="355" xr3:uid="{69E87B74-4CE0-4A96-9B7D-727882D90754}" name="Column355"/>
    <tableColumn id="356" xr3:uid="{624A33EE-92CC-4589-9F5B-520C6D4FAB87}" name="Column356"/>
    <tableColumn id="357" xr3:uid="{764660C4-C774-4735-8C59-BD7CE85EE2A0}" name="Column357"/>
    <tableColumn id="358" xr3:uid="{74A5C471-B4AD-4FC1-B1B4-1ACDC5C0D747}" name="Column358"/>
    <tableColumn id="359" xr3:uid="{60BD9BA0-6D45-4C31-AFD4-5BB2E4EB2AE3}" name="Column359"/>
    <tableColumn id="360" xr3:uid="{30430AD3-5949-4F2E-BF49-9873E80A5016}" name="Column360"/>
    <tableColumn id="361" xr3:uid="{AC2AB49B-FE7B-4C8F-AA1C-969EA0189FA7}" name="Column361"/>
    <tableColumn id="362" xr3:uid="{A188F4FE-DDED-4A57-B6DA-0B0487047781}" name="Column362"/>
    <tableColumn id="363" xr3:uid="{2665B988-8386-45A8-9C2D-FDE385FDE2B8}" name="Column363"/>
    <tableColumn id="364" xr3:uid="{5FE5C25A-925F-49F4-B1CD-0E814A6F2E50}" name="Column364"/>
    <tableColumn id="365" xr3:uid="{54438440-592B-4A50-B11C-D14758DF97DF}" name="Column365"/>
    <tableColumn id="366" xr3:uid="{878C9FF2-3D84-47EF-A86F-4EE3AE6BBAC1}" name="Column366"/>
    <tableColumn id="367" xr3:uid="{D27581FB-5F70-4A95-8BAF-9E123D09E5EC}" name="Column367"/>
    <tableColumn id="368" xr3:uid="{A4664253-705F-4F1B-A2F4-F79CDE55D2AA}" name="Column368"/>
    <tableColumn id="369" xr3:uid="{2B536383-BAB6-4B4B-B73D-ED43097614AE}" name="Column369"/>
    <tableColumn id="370" xr3:uid="{0ACE9833-52B4-41AA-AD60-7374686792A6}" name="Column370"/>
    <tableColumn id="371" xr3:uid="{B00028F3-4256-4317-94EA-B761DE8F5E18}" name="Column371"/>
    <tableColumn id="372" xr3:uid="{F7C8205E-452E-4C27-AF09-B0D1A94A95C0}" name="Column372"/>
    <tableColumn id="373" xr3:uid="{29CE1ED5-3099-4B3F-9CB0-AADB5250F8E3}" name="Column373"/>
    <tableColumn id="374" xr3:uid="{45557F0A-4888-40A2-A934-63F6D212DF8E}" name="Column374"/>
    <tableColumn id="375" xr3:uid="{BFB0B3C6-BA17-4512-A1FA-296F02DA9166}" name="Column375"/>
    <tableColumn id="376" xr3:uid="{1BB105A9-95BE-487A-901F-FE93B21E49E9}" name="Column376"/>
    <tableColumn id="377" xr3:uid="{D8500DA0-A1F4-4491-96B6-CF145CE38715}" name="Column377"/>
    <tableColumn id="378" xr3:uid="{67B28F61-5807-4AB5-B2F7-91CABF24BB42}" name="Column378"/>
    <tableColumn id="379" xr3:uid="{58D75636-9687-4288-829F-9CADAFB1D5F5}" name="Column379"/>
    <tableColumn id="380" xr3:uid="{C82C3447-963B-4445-9E84-F66A6E41A50E}" name="Column380"/>
    <tableColumn id="381" xr3:uid="{BD7119C2-8DB8-4C26-8C98-300B9D8E08D9}" name="Column381"/>
    <tableColumn id="382" xr3:uid="{818DA0D3-9940-49B5-A2F4-52657848E775}" name="Column382"/>
    <tableColumn id="383" xr3:uid="{E5CC7E9B-E890-4B1A-9445-2F91235C7ED3}" name="Column383"/>
    <tableColumn id="384" xr3:uid="{3E2DA16D-C620-4E9D-AA48-8A273591217E}" name="Column384"/>
    <tableColumn id="385" xr3:uid="{9BEB5708-D554-4D13-B905-9E869372C8B4}" name="Column385"/>
    <tableColumn id="386" xr3:uid="{BAD1DB02-698F-4EDA-9A6A-E3E44727733F}" name="Column386"/>
    <tableColumn id="387" xr3:uid="{42FDA110-3D1E-4183-B383-EF9BB2957164}" name="Column387"/>
    <tableColumn id="388" xr3:uid="{00194954-238E-4029-8034-0F81B3C7A867}" name="Column388"/>
    <tableColumn id="389" xr3:uid="{EB68ABA3-B8D5-476E-8A02-71E81FB1CBB0}" name="Column389"/>
    <tableColumn id="390" xr3:uid="{2DE30CED-263D-4E99-897D-933BDFE6088D}" name="Column390"/>
    <tableColumn id="391" xr3:uid="{D22345ED-FE6D-4299-A08F-9C21BBBAB102}" name="Column391"/>
    <tableColumn id="392" xr3:uid="{B69CFAD8-73DD-4DA8-A92A-6460C256A4E8}" name="Column392"/>
    <tableColumn id="393" xr3:uid="{B746F608-F3E0-4C73-B8C5-04C9A0345ACE}" name="Column393"/>
    <tableColumn id="394" xr3:uid="{C02EB854-E89D-4964-82EA-5DDFAFA3896D}" name="Column394"/>
    <tableColumn id="395" xr3:uid="{9491AC25-27C0-47BF-8CD2-6D927DC10B9D}" name="Column395"/>
    <tableColumn id="396" xr3:uid="{42BC4943-C8F5-4C67-A7AD-FC6F1BD6BC37}" name="Column396"/>
    <tableColumn id="397" xr3:uid="{E6C1F214-2597-46CE-868B-38CD90CA25D5}" name="Column397"/>
    <tableColumn id="398" xr3:uid="{690B2F66-3BBC-402E-8A41-9065F895D921}" name="Column398"/>
    <tableColumn id="399" xr3:uid="{DCE9F315-545C-4006-8632-A5BF7A5E596F}" name="Column399"/>
    <tableColumn id="400" xr3:uid="{62E08E9B-8B6D-4848-B980-5E474000F219}" name="Column400"/>
    <tableColumn id="401" xr3:uid="{A1F6F438-A9D6-411A-AB83-8CD9C66C0160}" name="Column401"/>
    <tableColumn id="402" xr3:uid="{D34A00D5-884E-41A9-9E4F-C290302DF528}" name="Column402"/>
    <tableColumn id="403" xr3:uid="{2E229BD6-FCEB-490E-9E39-A10DD917019B}" name="Column403"/>
    <tableColumn id="404" xr3:uid="{440B8275-8548-46EB-9F39-FA4534FD2655}" name="Column404"/>
    <tableColumn id="405" xr3:uid="{12556759-9269-4E84-9FC9-78A8AEFA00A6}" name="Column405"/>
    <tableColumn id="406" xr3:uid="{6F73DBE7-00BA-4BAF-9833-EB9030D60FCA}" name="Column406"/>
    <tableColumn id="407" xr3:uid="{3330F675-CCAA-44E0-883D-1D1E5DB6DDDA}" name="Column407"/>
    <tableColumn id="408" xr3:uid="{2F33EAF5-15E0-4545-942E-03E1A61BE01A}" name="Column408"/>
    <tableColumn id="409" xr3:uid="{8B5066FE-D79A-4FB2-AEDB-591577F18CA8}" name="Column409"/>
    <tableColumn id="410" xr3:uid="{9440A93B-F290-45F5-8B66-79D762502EB2}" name="Column410"/>
    <tableColumn id="411" xr3:uid="{31DD856D-2265-4313-9BB8-C38FB425AC5C}" name="Column411"/>
    <tableColumn id="412" xr3:uid="{FA798864-16FC-42E6-AFA5-4BE15AA8AEAB}" name="Column412"/>
    <tableColumn id="413" xr3:uid="{E884DA79-3713-456F-9E41-D480164B5166}" name="Column413"/>
    <tableColumn id="414" xr3:uid="{82B480B3-08FC-446F-84A7-C5784BD73969}" name="Column414"/>
    <tableColumn id="415" xr3:uid="{171AC5A3-6BD5-4DC9-835C-6E5696A422D1}" name="Column415"/>
    <tableColumn id="416" xr3:uid="{F44B8166-EC4B-4158-B0AD-A52165C53D75}" name="Column416"/>
    <tableColumn id="417" xr3:uid="{1C1EA39F-D28C-4BE3-8595-1DED177DC1A6}" name="Column417"/>
    <tableColumn id="418" xr3:uid="{B402F7E3-63D2-4F3D-88DA-73787A4E17D7}" name="Column418"/>
    <tableColumn id="419" xr3:uid="{3ADABFE3-C443-415E-952A-CB32EE6A26DF}" name="Column419"/>
    <tableColumn id="420" xr3:uid="{34812CE2-36CD-467F-BD84-492CF64D5BA1}" name="Column420"/>
    <tableColumn id="421" xr3:uid="{7BEC4C96-631C-4270-93A6-D644FAC8C18B}" name="Column421"/>
    <tableColumn id="422" xr3:uid="{839F7027-EA6A-4ED6-8182-A334942D4BEC}" name="Column422"/>
    <tableColumn id="423" xr3:uid="{13E1F93C-E885-406E-9316-AE8215FFBBF9}" name="Column423"/>
    <tableColumn id="424" xr3:uid="{1CF94F3D-59F6-4C0E-BBC8-E45B56F9B0AA}" name="Column424"/>
    <tableColumn id="425" xr3:uid="{016B7370-740A-40AC-8ED8-44F3B597D4E8}" name="Column425"/>
    <tableColumn id="426" xr3:uid="{12C91D0C-1637-44ED-AD43-8E9D90C5F949}" name="Column426"/>
    <tableColumn id="427" xr3:uid="{649BE3DE-2BBA-419E-8EE2-44D609A57AE8}" name="Column427"/>
    <tableColumn id="428" xr3:uid="{F896FA9D-61FD-4CDE-A66B-C05D52197EDF}" name="Column428"/>
    <tableColumn id="429" xr3:uid="{580F9F74-EB86-40ED-BCEF-87A8DE764E29}" name="Column429"/>
    <tableColumn id="430" xr3:uid="{2CA134E1-C13A-41A4-A6E2-DC94C9332F9B}" name="Column430"/>
    <tableColumn id="431" xr3:uid="{2892BACE-22A2-46D7-8AAE-D196872661A1}" name="Column431"/>
    <tableColumn id="432" xr3:uid="{3D1F8085-FC58-4C2D-A273-26522A5E0F2E}" name="Column432"/>
    <tableColumn id="433" xr3:uid="{4E6D234B-4A4C-46E2-8ED2-22842257BF62}" name="Column433"/>
    <tableColumn id="434" xr3:uid="{0595B891-D653-4371-8882-4722268FADAE}" name="Column434"/>
    <tableColumn id="435" xr3:uid="{81ACF30C-6BE3-4912-8086-38780DA1C6AB}" name="Column435"/>
    <tableColumn id="436" xr3:uid="{49A10E8C-7F76-43B3-8B2B-09F00F739B25}" name="Column436"/>
    <tableColumn id="437" xr3:uid="{473F07D0-B3E2-4AC8-89BB-2E48B2AC6661}" name="Column437"/>
    <tableColumn id="438" xr3:uid="{5F6CB560-473D-4B6B-9EDF-53227ADD8C72}" name="Column438"/>
    <tableColumn id="439" xr3:uid="{411CA54E-04B1-4EDC-869D-D0222F3081C1}" name="Column439"/>
    <tableColumn id="440" xr3:uid="{58E502D3-2EDA-48FC-9EC2-4D37F3DC833C}" name="Column440"/>
    <tableColumn id="441" xr3:uid="{F67FACCB-BCF1-4F0D-94F6-31E8F66D20B3}" name="Column441"/>
    <tableColumn id="442" xr3:uid="{28842240-2CE5-4E4C-9F2A-61FC53F9C5EC}" name="Column442"/>
    <tableColumn id="443" xr3:uid="{4AB0A406-1DED-40F7-8D82-786215579303}" name="Column443"/>
    <tableColumn id="444" xr3:uid="{43FA0833-FD08-43DC-9B66-6A540AE19AAA}" name="Column444"/>
    <tableColumn id="445" xr3:uid="{47230DDA-B572-4A46-8DC5-A2FE13795DFF}" name="Column445"/>
    <tableColumn id="446" xr3:uid="{5824F881-0600-48C2-AA64-46D8D354E4AE}" name="Column446"/>
    <tableColumn id="447" xr3:uid="{21992ED9-CDAA-4FA1-A52E-21DC0E1C697E}" name="Column447"/>
    <tableColumn id="448" xr3:uid="{0445E17D-9FDD-4338-A1AB-6219046E79AF}" name="Column448"/>
    <tableColumn id="449" xr3:uid="{28993801-F289-45D2-82EB-78509F13305B}" name="Column449"/>
    <tableColumn id="450" xr3:uid="{B55750C7-48E0-4644-A783-1A53F0365376}" name="Column450"/>
    <tableColumn id="451" xr3:uid="{F479368E-8AEF-457F-8F10-110DBFE0A6A6}" name="Column451"/>
    <tableColumn id="452" xr3:uid="{0510CB89-8007-489C-8177-BF0F8230C23F}" name="Column452"/>
    <tableColumn id="453" xr3:uid="{A316F200-B69C-4B04-8EA4-F88AC5FB3E96}" name="Column453"/>
    <tableColumn id="454" xr3:uid="{2D752235-CAB7-44A5-9B3F-E5F8617B64C0}" name="Column454"/>
    <tableColumn id="455" xr3:uid="{749DE057-216E-4037-8A46-F6162B8F1B86}" name="Column455"/>
    <tableColumn id="456" xr3:uid="{034503D1-1B37-439F-9045-20E056ED24AE}" name="Column456"/>
    <tableColumn id="457" xr3:uid="{2C5D1B4B-169F-486D-BE08-175D884E78D5}" name="Column457"/>
    <tableColumn id="458" xr3:uid="{70BDDFE8-2CD9-4887-9A33-A045D5E5DA8C}" name="Column458"/>
    <tableColumn id="459" xr3:uid="{0F14B323-5038-49A2-B73E-6C6E7BC69572}" name="Column459"/>
    <tableColumn id="460" xr3:uid="{6B31BEDB-8077-4CB8-BFFB-2D5E3E7B8404}" name="Column460"/>
    <tableColumn id="461" xr3:uid="{55EF9989-49D5-479F-AC54-3E695E079369}" name="Column461"/>
    <tableColumn id="462" xr3:uid="{8BD53539-335D-4EA9-9A20-2DDBDD6FEB83}" name="Column462"/>
    <tableColumn id="463" xr3:uid="{345BA089-DB1C-4B55-BB98-E58E8DB6F755}" name="Column463"/>
    <tableColumn id="464" xr3:uid="{3CB6F7CF-4B9F-4510-BE73-F7D64C7C77B5}" name="Column464"/>
    <tableColumn id="465" xr3:uid="{708718CA-E350-450F-8E4A-180FAFB7932D}" name="Column465"/>
    <tableColumn id="466" xr3:uid="{1D65E963-57E2-40A6-8920-AAC4FEE7B504}" name="Column466"/>
    <tableColumn id="467" xr3:uid="{1632CFAC-C0AB-43E3-8B13-DC5F7F399D50}" name="Column467"/>
    <tableColumn id="468" xr3:uid="{B418C71A-D5C9-42A8-935D-8099998F8C2F}" name="Column468"/>
    <tableColumn id="469" xr3:uid="{3413660F-E4AD-4EB0-86AC-7ABBEA67CEF7}" name="Column469"/>
    <tableColumn id="470" xr3:uid="{50796308-5EF1-4C6A-8CFB-CB91CD2A9ABC}" name="Column470"/>
    <tableColumn id="471" xr3:uid="{C678E630-9A00-440F-B0FE-936665A5A72B}" name="Column471"/>
    <tableColumn id="472" xr3:uid="{CBCE8BFA-CAA5-4B7E-9101-9BA785AF005B}" name="Column472"/>
    <tableColumn id="473" xr3:uid="{A2B0FBEB-AE82-4CE0-A31A-0A32314446A8}" name="Column473"/>
    <tableColumn id="474" xr3:uid="{389DFF22-374F-4B12-85B3-AC009F0A6DFD}" name="Column474"/>
    <tableColumn id="475" xr3:uid="{DC5402EE-F48E-4E45-86AE-8050A7F17B27}" name="Column475"/>
    <tableColumn id="476" xr3:uid="{4D917EAA-091F-4777-9C6F-DB891B07B662}" name="Column476"/>
    <tableColumn id="477" xr3:uid="{D136D3B0-56F7-4C0D-80B4-98EAEF7FDFEA}" name="Column477"/>
    <tableColumn id="478" xr3:uid="{A245C2EB-6652-466C-972A-54D4A69FBBE6}" name="Column478"/>
    <tableColumn id="479" xr3:uid="{BA3A25C7-A0F7-479F-AAC0-7618E0474147}" name="Column479"/>
    <tableColumn id="480" xr3:uid="{42F2BD88-2C2E-4976-AEF4-E587055A8FD6}" name="Column480"/>
    <tableColumn id="481" xr3:uid="{C60625F5-4578-4535-A885-94816E907E0A}" name="Column481"/>
    <tableColumn id="482" xr3:uid="{30EE0EDD-D355-442E-87A2-1AA8E6E7F46D}" name="Column482"/>
    <tableColumn id="483" xr3:uid="{53B7F62A-DD00-4E83-A722-6798698E831D}" name="Column483"/>
    <tableColumn id="484" xr3:uid="{D9EC426E-53F6-49C4-90DE-CD4501F59E3C}" name="Column484"/>
    <tableColumn id="485" xr3:uid="{80C5FB93-7C98-4989-AFBA-50A884D960DA}" name="Column485"/>
    <tableColumn id="486" xr3:uid="{49DFA87A-1109-4370-8AAA-3DD00E1AF03C}" name="Column486"/>
    <tableColumn id="487" xr3:uid="{C7338AD4-A37D-49F1-97FC-C961BA4FC598}" name="Column487"/>
    <tableColumn id="488" xr3:uid="{D1330E2C-BF85-486A-8079-2E00F973EAD8}" name="Column488"/>
    <tableColumn id="489" xr3:uid="{C7355E7A-C34F-4BF8-B75D-F9CFBACF1877}" name="Column489"/>
    <tableColumn id="490" xr3:uid="{747E77A1-DE0F-46A0-A37B-E21833D5E36E}" name="Column490"/>
    <tableColumn id="491" xr3:uid="{3CA7D69D-BD83-4CBB-B82A-DD5261FB907E}" name="Column491"/>
    <tableColumn id="492" xr3:uid="{A07EE2A6-94A9-41A1-B4D2-FB902885B9DE}" name="Column492"/>
    <tableColumn id="493" xr3:uid="{21E0F644-431B-46CD-A4FC-E8A5AD6B0FFC}" name="Column493"/>
    <tableColumn id="494" xr3:uid="{D05F45CC-5C77-46E6-A252-6E41EA71DCF1}" name="Column494"/>
    <tableColumn id="495" xr3:uid="{5066C066-EE4D-497E-866E-AED74533447E}" name="Column495"/>
    <tableColumn id="496" xr3:uid="{AAE15663-B895-48E0-BEF7-221DCC83D478}" name="Column496"/>
    <tableColumn id="497" xr3:uid="{6E342CC0-8729-44A9-8415-4ECEEDEC6420}" name="Column497"/>
    <tableColumn id="498" xr3:uid="{B0F17ABC-93C4-4772-8012-40CA31018BA3}" name="Column498"/>
    <tableColumn id="499" xr3:uid="{2BBA77E7-D278-41D3-B418-D5778EC2C9D6}" name="Column499"/>
    <tableColumn id="500" xr3:uid="{398F6EED-51E1-43B4-9663-A11B959D4BCA}" name="Column500"/>
    <tableColumn id="501" xr3:uid="{98DD22DA-0ACC-46D4-BA10-30EF4B3CFF62}" name="Column501"/>
    <tableColumn id="502" xr3:uid="{0CB7B626-C13F-4FE1-ABB5-190EED8D7337}" name="Column502"/>
    <tableColumn id="503" xr3:uid="{CEB48470-84FC-4CBE-B1F1-B3807DFA55DF}" name="Column503"/>
    <tableColumn id="504" xr3:uid="{2A366BDA-9BF2-4618-8C5D-952D96DC1A79}" name="Column504"/>
    <tableColumn id="505" xr3:uid="{10E6CB99-0FFB-48D3-92A4-60AF74654213}" name="Column505"/>
    <tableColumn id="506" xr3:uid="{F1526F8D-B2DE-4FC6-B38E-32376DE40311}" name="Column506"/>
    <tableColumn id="507" xr3:uid="{449A9923-9772-49B2-A983-BC13BE885B3B}" name="Column507"/>
    <tableColumn id="508" xr3:uid="{DAA12E39-176F-479D-898F-ACB221D6590B}" name="Column508"/>
    <tableColumn id="509" xr3:uid="{82D997A6-DA5A-41BF-A717-707B6E88B450}" name="Column509"/>
    <tableColumn id="510" xr3:uid="{55AB437E-7746-4135-BD79-EADD501F8748}" name="Column510"/>
    <tableColumn id="511" xr3:uid="{32BB1E53-52F9-476D-936A-15077763A9BB}" name="Column511"/>
    <tableColumn id="512" xr3:uid="{4A2F2951-824F-4213-9417-4BD9C04F85E7}" name="Column512"/>
    <tableColumn id="513" xr3:uid="{2CFFF446-2F4F-4007-9236-1FE41CC32101}" name="Column513"/>
    <tableColumn id="514" xr3:uid="{2A45B42F-EE12-4123-BEA7-E4557E04423D}" name="Column514"/>
    <tableColumn id="515" xr3:uid="{03C8FAE3-2983-44E2-88D3-85F589B1B785}" name="Column515"/>
    <tableColumn id="516" xr3:uid="{2F6AB937-73E4-4441-8AE7-ECC1F4107962}" name="Column516"/>
    <tableColumn id="517" xr3:uid="{22BE2A77-3B36-477B-9788-BC43B5A6E3A9}" name="Column517"/>
    <tableColumn id="518" xr3:uid="{D5A80B54-3586-42CF-9285-934219546098}" name="Column518"/>
    <tableColumn id="519" xr3:uid="{7446ADBF-4B35-471E-B613-6A5CD289385E}" name="Column519"/>
    <tableColumn id="520" xr3:uid="{92269EC1-7787-4FA2-9342-F3F34C384F64}" name="Column520"/>
    <tableColumn id="521" xr3:uid="{C1FAB443-0E57-4BEE-806F-FD1AE184A718}" name="Column521"/>
    <tableColumn id="522" xr3:uid="{85102B48-CCE7-435B-B146-CA558FA2AD53}" name="Column522"/>
    <tableColumn id="523" xr3:uid="{B4CF46FE-D622-47CE-8D3F-39E6CB6FBEEC}" name="Column523"/>
    <tableColumn id="524" xr3:uid="{C93471E2-8800-47D8-8E7C-FEB76E300ED9}" name="Column524"/>
    <tableColumn id="525" xr3:uid="{BFE78BA9-6B89-456F-A0BD-CD6C252F003C}" name="Column525"/>
    <tableColumn id="526" xr3:uid="{A97D8882-201A-4E26-B2D2-46737350ED0C}" name="Column526"/>
    <tableColumn id="527" xr3:uid="{E3F07498-3CEE-4F6D-BCC4-D17D4434CA2E}" name="Column527"/>
    <tableColumn id="528" xr3:uid="{798ED415-7B86-41C6-BD29-83F46C1986AC}" name="Column528"/>
    <tableColumn id="529" xr3:uid="{1AAE17DD-1052-4E12-B559-B03754FFB507}" name="Column529"/>
    <tableColumn id="530" xr3:uid="{E1F4C22F-543E-431F-BEA5-EFC66D223235}" name="Column530"/>
    <tableColumn id="531" xr3:uid="{40318810-F234-40BF-8136-51528256EA8E}" name="Column531"/>
    <tableColumn id="532" xr3:uid="{3AE6005B-BD6C-44F9-94D2-6DE4159D76E9}" name="Column532"/>
    <tableColumn id="533" xr3:uid="{47CF1318-8D7F-47BD-9FF7-B99657201866}" name="Column533"/>
    <tableColumn id="534" xr3:uid="{8DF6293F-CB93-4E9F-B914-E4AF8CC200EE}" name="Column534"/>
    <tableColumn id="535" xr3:uid="{4579EE3E-85CE-4DCD-B103-73D9C3509E7C}" name="Column535"/>
    <tableColumn id="536" xr3:uid="{3A345B14-8F8C-4434-80F5-081A93C0DEFF}" name="Column536"/>
    <tableColumn id="537" xr3:uid="{70125DFB-2DB8-4ACD-AEC3-CFB42137A859}" name="Column537"/>
    <tableColumn id="538" xr3:uid="{53765534-8670-4977-AFFB-49EA0EA39EE8}" name="Column538"/>
    <tableColumn id="539" xr3:uid="{007B19D4-F2C5-4FFA-8850-9D6686353B3A}" name="Column539"/>
    <tableColumn id="540" xr3:uid="{40AB27A0-B8F9-4908-9D48-D8260F49C446}" name="Column540"/>
    <tableColumn id="541" xr3:uid="{3D6968B5-F5E6-4B18-8244-0414E4A676B7}" name="Column541"/>
    <tableColumn id="542" xr3:uid="{D2F6755D-46CF-48F0-AD32-42492B206BBA}" name="Column542"/>
    <tableColumn id="543" xr3:uid="{73BFC343-A2CE-4AB5-B52E-69F0CAD38024}" name="Column543"/>
    <tableColumn id="544" xr3:uid="{1754C9FF-3822-4EDE-9726-43E31A758982}" name="Column544"/>
    <tableColumn id="545" xr3:uid="{78E44A31-3F78-4C78-8043-F58FE01369BA}" name="Column545"/>
    <tableColumn id="546" xr3:uid="{89C73ECA-2002-467B-84BA-A497AABF80C0}" name="Column546"/>
    <tableColumn id="547" xr3:uid="{B4501F84-2F8A-475A-81C4-293E88228B6A}" name="Column547"/>
    <tableColumn id="548" xr3:uid="{F25D0E86-D57D-480F-B810-57B44DE10DC1}" name="Column548"/>
    <tableColumn id="549" xr3:uid="{6D98E6D1-2A9D-41F6-A175-0FB27F24809E}" name="Column549"/>
    <tableColumn id="550" xr3:uid="{E98F4206-1B90-4954-9EC4-2365F500E01F}" name="Column550"/>
    <tableColumn id="551" xr3:uid="{9A7363ED-9615-4D71-BB29-08FF5B93805A}" name="Column551"/>
    <tableColumn id="552" xr3:uid="{A25BE2CF-1126-408A-913C-2DE30330C35D}" name="Column552"/>
    <tableColumn id="553" xr3:uid="{25576F70-D056-42BD-BFAB-356DC56F8899}" name="Column553"/>
    <tableColumn id="554" xr3:uid="{9F9A60FD-24CA-4F57-950E-18546558686A}" name="Column554"/>
    <tableColumn id="555" xr3:uid="{ABCF39C4-5156-4A83-B6FA-65B270C17E59}" name="Column555"/>
    <tableColumn id="556" xr3:uid="{B341273B-4E67-4346-9337-587FC0BA4703}" name="Column556"/>
    <tableColumn id="557" xr3:uid="{AE283B96-7F29-4D49-9269-2484767AD6D5}" name="Column557"/>
    <tableColumn id="558" xr3:uid="{D7E9751F-6FEC-4A32-9962-E00B712696BD}" name="Column558"/>
    <tableColumn id="559" xr3:uid="{615727F7-0D15-4BAC-AEEB-B5EB42C6F521}" name="Column559"/>
    <tableColumn id="560" xr3:uid="{5FBB640C-0D42-4367-BDC3-EB656FEF8F14}" name="Column560"/>
    <tableColumn id="561" xr3:uid="{C08E5DFF-6879-4196-B182-50A5705EFC99}" name="Column561"/>
    <tableColumn id="562" xr3:uid="{F4DD4063-2DA9-4385-83E6-752548B2AB2C}" name="Column562"/>
    <tableColumn id="563" xr3:uid="{7D964898-A2A1-43AB-9761-64573699D988}" name="Column563"/>
    <tableColumn id="564" xr3:uid="{07D29F9A-5697-4A82-A34C-C53E72DD34AC}" name="Column564"/>
    <tableColumn id="565" xr3:uid="{2263C8D4-67EB-462B-B276-3DCDD16D5184}" name="Column565"/>
    <tableColumn id="566" xr3:uid="{80F842BF-60C0-41A8-B0E8-191AAE977226}" name="Column566"/>
    <tableColumn id="567" xr3:uid="{946AEFBD-816B-49F6-80F2-7363B0B4488F}" name="Column567"/>
    <tableColumn id="568" xr3:uid="{7678CD08-344F-4BF4-8736-5C2751738D4D}" name="Column568"/>
    <tableColumn id="569" xr3:uid="{841EF33C-1611-45E4-8825-89D3AF5E8520}" name="Column569"/>
    <tableColumn id="570" xr3:uid="{5964E375-044B-4AF6-80E1-1AAC2593EDE5}" name="Column570"/>
    <tableColumn id="571" xr3:uid="{29F550FB-AEEA-4A76-AD09-B7F78900A62E}" name="Column571"/>
    <tableColumn id="572" xr3:uid="{13D161EB-B905-4431-8E06-CF8A62101537}" name="Column572"/>
    <tableColumn id="573" xr3:uid="{344F2416-751F-4476-90A2-AD8845E5C23F}" name="Column573"/>
    <tableColumn id="574" xr3:uid="{ACB3AE94-7637-4474-96B9-AB6F72C0B061}" name="Column574"/>
    <tableColumn id="575" xr3:uid="{CDA55D27-287B-4B7E-A0F5-356CC8EF8475}" name="Column575"/>
    <tableColumn id="576" xr3:uid="{4C13C051-C65B-472D-9519-F4DAA5A1C167}" name="Column576"/>
    <tableColumn id="577" xr3:uid="{17DB8605-E183-43F2-955A-4D8016C5D4A0}" name="Column577"/>
    <tableColumn id="578" xr3:uid="{9E4DB289-E133-490F-937E-0BE665F1E945}" name="Column578"/>
    <tableColumn id="579" xr3:uid="{717C75F1-49CA-4272-9CAF-65637F1AB736}" name="Column579"/>
    <tableColumn id="580" xr3:uid="{2673FD82-6006-46F0-AE97-177F290906B0}" name="Column580"/>
    <tableColumn id="581" xr3:uid="{CAF7D0DA-9E26-4825-BD0E-C218FD921FF2}" name="Column581"/>
    <tableColumn id="582" xr3:uid="{E5EEC607-F508-4E3C-93DA-1D9EE1C00BE6}" name="Column582"/>
    <tableColumn id="583" xr3:uid="{9A77F382-86C8-44D0-ADCD-617B6496A9FA}" name="Column583"/>
    <tableColumn id="584" xr3:uid="{9F1F5B39-80B0-484E-A213-32060410D4ED}" name="Column584"/>
    <tableColumn id="585" xr3:uid="{52C7418B-8B79-4CC1-A9C8-C0FC548110B5}" name="Column585"/>
    <tableColumn id="586" xr3:uid="{967E9D79-4F37-4B31-B1EC-004CAF1EA948}" name="Column586"/>
    <tableColumn id="587" xr3:uid="{A484E29F-E2C8-4FDA-87F4-45895C241954}" name="Column587"/>
    <tableColumn id="588" xr3:uid="{DF7977B1-9E69-40C3-9A80-AB78DAB77C92}" name="Column588"/>
    <tableColumn id="589" xr3:uid="{9C83CDB7-BBC7-4B9D-A216-30F5D3810094}" name="Column589"/>
    <tableColumn id="590" xr3:uid="{C119A792-B6E6-4C45-8D9F-133BF52BB52C}" name="Column590"/>
    <tableColumn id="591" xr3:uid="{70E3D7DC-2D1F-4A4D-9B48-2C1348EF4A65}" name="Column591"/>
    <tableColumn id="592" xr3:uid="{D4D05852-55DF-45C3-8CF8-611D2A2B72CF}" name="Column592"/>
    <tableColumn id="593" xr3:uid="{F3308BA5-651B-49A1-9EA8-B1C7EEE1948A}" name="Column593"/>
    <tableColumn id="594" xr3:uid="{13F63A4A-E022-481B-AC96-6E822DBDA0D7}" name="Column594"/>
    <tableColumn id="595" xr3:uid="{0BB7EA68-D2D1-4664-B5D4-E87AC672867C}" name="Column595"/>
    <tableColumn id="596" xr3:uid="{B41BC38B-EB8D-4EEA-8185-E178FDD75644}" name="Column596"/>
    <tableColumn id="597" xr3:uid="{46ED727C-DA75-4B3A-8EA1-6C638DA53F08}" name="Column597"/>
    <tableColumn id="598" xr3:uid="{46735AD7-D640-4156-B146-828A7A1FF516}" name="Column598"/>
    <tableColumn id="599" xr3:uid="{8EE12CDF-89BB-4049-8FE6-AE6490C91F4E}" name="Column599"/>
    <tableColumn id="600" xr3:uid="{6705E986-2552-4708-AE89-BEEDB01DCBBC}" name="Column600"/>
    <tableColumn id="601" xr3:uid="{A6E9EF9A-D53E-47B1-8BC9-E31640B0C3E6}" name="Column601"/>
    <tableColumn id="602" xr3:uid="{2E2D78BC-BA6F-49C9-8FF3-86AC3B1994F9}" name="Column602"/>
    <tableColumn id="603" xr3:uid="{005A6A68-E674-4D81-889E-6C4DADFB789E}" name="Column603"/>
    <tableColumn id="604" xr3:uid="{B3E73F84-AF47-47DB-B4BB-90116E460F68}" name="Column604"/>
    <tableColumn id="605" xr3:uid="{83E8FD2C-8B23-41F3-BFCF-242F43728E2D}" name="Column605"/>
    <tableColumn id="606" xr3:uid="{38F77E88-FC1C-46E9-B3E7-D1B6A0EECFD6}" name="Column606"/>
    <tableColumn id="607" xr3:uid="{020FBFA0-9E99-438E-BEAA-9083E5B738E3}" name="Column607"/>
    <tableColumn id="608" xr3:uid="{CD364F52-65A9-4756-9DFC-8741AD423DBD}" name="Column608"/>
    <tableColumn id="609" xr3:uid="{49368DE1-E5BC-485E-917C-1BBA18C954D6}" name="Column609"/>
    <tableColumn id="610" xr3:uid="{BC9A1EC7-AAD6-4D23-B861-B4E381E1315A}" name="Column610"/>
    <tableColumn id="611" xr3:uid="{B0E984F6-B4F7-4037-A93D-EEC4122AB4C1}" name="Column611"/>
    <tableColumn id="612" xr3:uid="{C6C1F951-D79E-4DAD-9136-86BA76746D50}" name="Column612"/>
    <tableColumn id="613" xr3:uid="{70F91E9C-7D38-470A-99D7-E8C60EFC3D34}" name="Column613"/>
    <tableColumn id="614" xr3:uid="{58334B95-83BD-41D7-AE72-9F348966F9F7}" name="Column614"/>
    <tableColumn id="615" xr3:uid="{4B1C5C32-41E1-4EB9-80EC-CCD807CEDF46}" name="Column615"/>
    <tableColumn id="616" xr3:uid="{A8AEE05B-C030-468F-9561-0967964B6208}" name="Column616"/>
    <tableColumn id="617" xr3:uid="{A954AA4D-CB5C-4818-9176-4F5E1A6CBE52}" name="Column617"/>
    <tableColumn id="618" xr3:uid="{DDA386C4-E35C-4F8A-BA48-BA02647B770D}" name="Column618"/>
    <tableColumn id="619" xr3:uid="{F54AFB44-2BD2-4120-AAC1-497137CE82B6}" name="Column619"/>
    <tableColumn id="620" xr3:uid="{229F5024-4517-4E56-ABDA-143B2155FBC4}" name="Column620"/>
    <tableColumn id="621" xr3:uid="{12BE7739-274A-4630-A061-0B721909B390}" name="Column621"/>
    <tableColumn id="622" xr3:uid="{AC1B22FE-4D25-4983-9FE9-C591E1DB6635}" name="Column622"/>
    <tableColumn id="623" xr3:uid="{A7867896-F7C1-4F9F-9937-6A489313A7FD}" name="Column623"/>
    <tableColumn id="624" xr3:uid="{6FB30205-7ACF-4593-BBA4-3362672498AE}" name="Column624"/>
    <tableColumn id="625" xr3:uid="{EBA03759-8C5C-4252-94E1-1E9BF20D14C3}" name="Column625"/>
    <tableColumn id="626" xr3:uid="{41706C28-8B22-4489-A528-4782A3FBAC74}" name="Column626"/>
    <tableColumn id="627" xr3:uid="{556E32FF-D1FC-4BF8-B48E-CB9378661301}" name="Column627"/>
    <tableColumn id="628" xr3:uid="{39D97BCA-0EEB-4F92-B4AC-AEFC4D215622}" name="Column628"/>
    <tableColumn id="629" xr3:uid="{937EC371-5049-4471-907F-A7749FEFA7C5}" name="Column629"/>
    <tableColumn id="630" xr3:uid="{19D816F7-8639-4E83-986A-F67D8381620D}" name="Column630"/>
    <tableColumn id="631" xr3:uid="{0C3A4F36-2962-4122-9C9E-EC781D3626D8}" name="Column631"/>
    <tableColumn id="632" xr3:uid="{E24032D7-A4EC-42D9-B706-4A55F3641C0E}" name="Column632"/>
    <tableColumn id="633" xr3:uid="{A2E2F70A-D302-4647-BAA2-02C238AA5FE8}" name="Column633"/>
    <tableColumn id="634" xr3:uid="{20E6683B-DEAF-42E2-A04A-F025BFA6BFA8}" name="Column634"/>
    <tableColumn id="635" xr3:uid="{73C7C7AD-0A3D-49C5-84DD-F405223F40EA}" name="Column635"/>
    <tableColumn id="636" xr3:uid="{ECEEA92C-1293-41C2-8A29-0DAF201AD3D4}" name="Column636"/>
    <tableColumn id="637" xr3:uid="{CF351FCB-1E03-482F-A6E0-E79FA5B04FD4}" name="Column637"/>
    <tableColumn id="638" xr3:uid="{3A0E6408-50D3-4438-A5EE-1EC0D2511DB5}" name="Column638"/>
    <tableColumn id="639" xr3:uid="{A59811A7-C7F2-4D6B-835E-BF189FF7E602}" name="Column639"/>
    <tableColumn id="640" xr3:uid="{FD0AF9DA-C02B-410A-B68B-6DB61E4CBE5F}" name="Column640"/>
    <tableColumn id="641" xr3:uid="{1CE0CC90-E92F-43D6-9FA1-9A9064787E24}" name="Column641"/>
    <tableColumn id="642" xr3:uid="{3C7EE200-A8A5-45EC-B544-FB93D6830FEB}" name="Column642"/>
    <tableColumn id="643" xr3:uid="{45AB6215-426E-4DBE-8481-A3C6FD446CB6}" name="Column643"/>
    <tableColumn id="644" xr3:uid="{03845E83-F544-441A-897C-6314C7FEE1C4}" name="Column644"/>
    <tableColumn id="645" xr3:uid="{D9B46C6F-5D7A-4A85-A1F4-FEF61AF8441F}" name="Column645"/>
    <tableColumn id="646" xr3:uid="{DD042658-D7D5-4259-B2D5-B039F9E7733C}" name="Column646"/>
    <tableColumn id="647" xr3:uid="{C857355B-A353-461D-9943-9C56033961DB}" name="Column647"/>
    <tableColumn id="648" xr3:uid="{10B11D67-0B0C-4702-A660-39A105473253}" name="Column648"/>
    <tableColumn id="649" xr3:uid="{C2310642-3B7C-4F45-84AF-FB5965FB24DE}" name="Column649"/>
    <tableColumn id="650" xr3:uid="{8E17B070-644D-418E-82CE-B16305783304}" name="Column650"/>
    <tableColumn id="651" xr3:uid="{BDD90631-5FDD-4405-A6CC-E77B15E5E4C8}" name="Column651"/>
    <tableColumn id="652" xr3:uid="{C1C8D094-9EBB-4279-8F76-0045595AB650}" name="Column652"/>
    <tableColumn id="653" xr3:uid="{59CE11F3-DC45-498C-9F9F-B439D74B1C42}" name="Column653"/>
    <tableColumn id="654" xr3:uid="{A353866E-8732-4A3E-98F5-49CF5D5021D2}" name="Column654"/>
    <tableColumn id="655" xr3:uid="{1A58D6D2-43E1-409F-B19B-59418C19E5C0}" name="Column655"/>
    <tableColumn id="656" xr3:uid="{1AAB8650-BEFD-4849-BED6-D667B7B592B6}" name="Column656"/>
    <tableColumn id="657" xr3:uid="{68B1A9E6-642A-492E-88C4-BF72D48E256B}" name="Column657"/>
    <tableColumn id="658" xr3:uid="{A648E083-6344-412C-A14C-96729D16D444}" name="Column658"/>
    <tableColumn id="659" xr3:uid="{875E4EE1-59C2-4295-8277-02BF34AA3282}" name="Column659"/>
    <tableColumn id="660" xr3:uid="{E7378B3A-2476-48E3-92C6-DCCC85C0577C}" name="Column660"/>
    <tableColumn id="661" xr3:uid="{0B97229B-B699-4B80-A2B8-9996BA95AF39}" name="Column661"/>
    <tableColumn id="662" xr3:uid="{3B3E1B44-8F97-447F-9E1F-DC26868F0DB1}" name="Column662"/>
    <tableColumn id="663" xr3:uid="{CBB9B252-B012-449A-A5FF-B51B7FECDEA1}" name="Column663"/>
    <tableColumn id="664" xr3:uid="{5A91DAC9-59C5-4523-B0A0-9C0B9B1FDE7C}" name="Column664"/>
    <tableColumn id="665" xr3:uid="{5FD7E81F-71CA-4DB2-A6BD-43B19CED1096}" name="Column665"/>
    <tableColumn id="666" xr3:uid="{1131D4E1-B992-417A-9DF2-E2ACB24D317C}" name="Column666"/>
    <tableColumn id="667" xr3:uid="{ACCE2DBC-3492-4042-A9AD-D27E3818B5FD}" name="Column667"/>
    <tableColumn id="668" xr3:uid="{D917DA00-EF18-4EB9-8999-690345AA8D45}" name="Column668"/>
    <tableColumn id="669" xr3:uid="{A16C4A2E-9116-472E-84B1-3D6C1F82DE13}" name="Column669"/>
    <tableColumn id="670" xr3:uid="{04303AFA-1919-4BEA-9B53-7B09AFD79516}" name="Column670"/>
    <tableColumn id="671" xr3:uid="{56A48465-8485-42D4-92A9-3CB92421B306}" name="Column671"/>
    <tableColumn id="672" xr3:uid="{A5FF158B-C9AF-4E48-8403-8F56BD8FFE94}" name="Column672"/>
    <tableColumn id="673" xr3:uid="{C5DE9F27-BFC2-4E7E-8F48-2B86EA7C0D64}" name="Column673"/>
    <tableColumn id="674" xr3:uid="{D33984C1-8500-45CC-B9F9-DC0634269192}" name="Column674"/>
    <tableColumn id="675" xr3:uid="{DC82DE37-2201-46E9-92A8-05FE5E6B8203}" name="Column675"/>
    <tableColumn id="676" xr3:uid="{2543D7FB-786B-4D5C-8CB7-75C6C11D4C97}" name="Column676"/>
    <tableColumn id="677" xr3:uid="{4EC13561-6686-425E-978C-D7C3BB687711}" name="Column677"/>
    <tableColumn id="678" xr3:uid="{0B37D2F4-4D0B-41A5-AB80-3B25577D63E1}" name="Column678"/>
    <tableColumn id="679" xr3:uid="{492B7DBA-835E-4E78-9F73-04E57EC8E185}" name="Column679"/>
    <tableColumn id="680" xr3:uid="{6A49BF8B-BDBC-44CF-B38A-4DD5D40DC3DD}" name="Column680"/>
    <tableColumn id="681" xr3:uid="{09626166-AB93-448E-8A33-169934C00342}" name="Column681"/>
    <tableColumn id="682" xr3:uid="{3A4A41FE-83F9-4747-9F5A-A9FF2BC25957}" name="Column682"/>
    <tableColumn id="683" xr3:uid="{56426B32-BF22-4099-B527-29F8A025976B}" name="Column683"/>
    <tableColumn id="684" xr3:uid="{031C66AC-00FA-4306-981D-4AC7B5F64E58}" name="Column684"/>
    <tableColumn id="685" xr3:uid="{39708093-2AD9-409E-9ED7-3A49FF64C132}" name="Column685"/>
    <tableColumn id="686" xr3:uid="{9814BA0B-7F5F-4557-A476-23BB19B69DD2}" name="Column686"/>
    <tableColumn id="687" xr3:uid="{7216C48F-C52E-4555-BA39-6323F77AC11A}" name="Column687"/>
    <tableColumn id="688" xr3:uid="{D887964A-0EF5-4744-8E8D-04BFF97C0BFF}" name="Column688"/>
    <tableColumn id="689" xr3:uid="{EEC87704-1B49-4086-A0C2-7DBF5629C776}" name="Column689"/>
    <tableColumn id="690" xr3:uid="{1F9F1262-3423-4DE4-8187-547E2769C854}" name="Column690"/>
    <tableColumn id="691" xr3:uid="{83E082C7-8500-4B4C-B753-05DEA0FE6DA8}" name="Column691"/>
    <tableColumn id="692" xr3:uid="{6FA74AA1-AA89-4DA5-9C1A-4D9906256E97}" name="Column692"/>
    <tableColumn id="693" xr3:uid="{E89EB6F1-C099-436B-BB4E-59CE269AE5E2}" name="Column693"/>
    <tableColumn id="694" xr3:uid="{D4DE522D-B06E-4F4A-91D1-FEA1E763C439}" name="Column694"/>
    <tableColumn id="695" xr3:uid="{240E5236-7A04-4C13-AC9B-1A403372B875}" name="Column695"/>
    <tableColumn id="696" xr3:uid="{10FB47C6-D245-4BB5-9A44-77E3BDE0B38F}" name="Column696"/>
    <tableColumn id="697" xr3:uid="{DAF57939-9CFA-4AD3-8FE4-F1C024863167}" name="Column697"/>
    <tableColumn id="698" xr3:uid="{3C726C47-ED26-4E69-9FB2-601EA9855C97}" name="Column698"/>
    <tableColumn id="699" xr3:uid="{C92E98B1-923E-4350-9AA1-78542E67BFBD}" name="Column699"/>
    <tableColumn id="700" xr3:uid="{ED6C67D4-F81C-4462-869A-5693B355EA00}" name="Column700"/>
    <tableColumn id="701" xr3:uid="{B78AF41A-FCA7-4A43-B0FB-7805AA78662D}" name="Column701"/>
    <tableColumn id="702" xr3:uid="{08980FDF-509F-4EA1-B2E6-5DAEA0C1326A}" name="Column702"/>
    <tableColumn id="703" xr3:uid="{4AAF356F-A57E-4CF9-947D-DF994B1C1E5A}" name="Column703"/>
    <tableColumn id="704" xr3:uid="{57AE2395-1169-4F24-A87E-647C61E833D7}" name="Column704"/>
    <tableColumn id="705" xr3:uid="{7652D84A-61BA-4BED-AC48-C99696BDCB14}" name="Column705"/>
    <tableColumn id="706" xr3:uid="{D67C87D5-DA18-4482-80E7-47B42635E8CB}" name="Column706"/>
    <tableColumn id="707" xr3:uid="{674DF79F-3E91-44EF-B57D-5009A7235EDE}" name="Column707"/>
    <tableColumn id="708" xr3:uid="{C4327A2C-0001-4FA0-8D7C-6F3B032871E6}" name="Column708"/>
    <tableColumn id="709" xr3:uid="{6E42EAC7-879E-419C-ABC1-23F02BE35D3B}" name="Column709"/>
    <tableColumn id="710" xr3:uid="{E2F4A506-FF26-4F71-968F-6211FFE0EB00}" name="Column710"/>
    <tableColumn id="711" xr3:uid="{B67A9C85-AC63-4C97-8CC8-CC3BBA8D4574}" name="Column711"/>
    <tableColumn id="712" xr3:uid="{7BDCA00A-85CD-4484-8405-A2C47D0BAE3B}" name="Column712"/>
    <tableColumn id="713" xr3:uid="{C74E2A62-7F5C-469B-8335-AFAED6843E79}" name="Column713"/>
    <tableColumn id="714" xr3:uid="{8A6178F3-6C0E-414B-B021-991F04931FFD}" name="Column714"/>
    <tableColumn id="715" xr3:uid="{E63DABFF-F310-4605-BB32-5F84A49BFCB6}" name="Column715"/>
    <tableColumn id="716" xr3:uid="{CA006BA6-D084-4E71-96C4-68A014AC75C0}" name="Column716"/>
    <tableColumn id="717" xr3:uid="{04BE93B6-5E70-4B8A-8979-DC4901346C46}" name="Column717"/>
    <tableColumn id="718" xr3:uid="{301DA3BB-F64F-4B65-A9EC-B754CAD23005}" name="Column718"/>
    <tableColumn id="719" xr3:uid="{1BC1D41A-E6A6-4AAE-9275-39BD15E6C3CC}" name="Column719"/>
    <tableColumn id="720" xr3:uid="{7B5567B0-4F38-4D3B-A02F-F9FF2554C283}" name="Column720"/>
    <tableColumn id="721" xr3:uid="{0BD0B446-10E6-4203-B04C-AB87C69CA555}" name="Column721"/>
    <tableColumn id="722" xr3:uid="{A17063B2-B319-48BD-8579-1B5BFDC3240D}" name="Column722"/>
    <tableColumn id="723" xr3:uid="{2BF4C2D5-2BF5-4489-996D-42235A796091}" name="Column723"/>
    <tableColumn id="724" xr3:uid="{D0BE2425-0648-4964-900B-6F417EE76F15}" name="Column724"/>
    <tableColumn id="725" xr3:uid="{A37D87E2-3859-49D1-B115-11FB0984B92A}" name="Column725"/>
    <tableColumn id="726" xr3:uid="{13EC7D11-8277-4512-BE8C-EFECFC071EFD}" name="Column726"/>
    <tableColumn id="727" xr3:uid="{1CB1D599-0121-4A82-90BF-6BDCEAA57F66}" name="Column727"/>
    <tableColumn id="728" xr3:uid="{DDFA4270-67C8-47E8-89B5-A23DB843C9FC}" name="Column728"/>
    <tableColumn id="729" xr3:uid="{7361F8B2-942B-484C-9F5F-531D87CA23FF}" name="Column729"/>
    <tableColumn id="730" xr3:uid="{0E215A48-0421-40A7-BD8B-C7A2A5B8EC14}" name="Column730"/>
    <tableColumn id="731" xr3:uid="{199F3ED5-C941-487D-B42D-DED8C8344AE0}" name="Column731"/>
    <tableColumn id="732" xr3:uid="{5C472BDF-9CAD-4CE0-A6AD-9002BA8DB85B}" name="Column732"/>
    <tableColumn id="733" xr3:uid="{6838A8F1-2279-46FC-A667-0E6596DD5E99}" name="Column733"/>
    <tableColumn id="734" xr3:uid="{C79164C3-3C99-4421-937A-7726748A7EAA}" name="Column734"/>
    <tableColumn id="735" xr3:uid="{697741AD-5C20-4478-8765-A09363FE7743}" name="Column735"/>
    <tableColumn id="736" xr3:uid="{732F9348-C44B-46AF-9A7B-A50E3D7A3A7E}" name="Column736"/>
    <tableColumn id="737" xr3:uid="{C45ACB29-8C80-4102-89DE-70B1E0389825}" name="Column737"/>
    <tableColumn id="738" xr3:uid="{D86C3778-D205-400B-832D-E9195C87F172}" name="Column738"/>
    <tableColumn id="739" xr3:uid="{7ABB31A1-18EA-4370-81B8-1B1869E76BA7}" name="Column739"/>
    <tableColumn id="740" xr3:uid="{8544E3E3-52B0-4E88-B1EC-62F07AC74E95}" name="Column740"/>
    <tableColumn id="741" xr3:uid="{CFBC79AF-6665-45D8-B662-D6D934C588C7}" name="Column741"/>
    <tableColumn id="742" xr3:uid="{1F125BC7-4401-433F-8C29-4A0B69D45550}" name="Column742"/>
    <tableColumn id="743" xr3:uid="{14A69E23-5A4B-4C1C-BE5F-D1E66DE3CCD5}" name="Column743"/>
    <tableColumn id="744" xr3:uid="{49EF310C-B1FB-43EE-9CE8-6069CA22698C}" name="Column744"/>
    <tableColumn id="745" xr3:uid="{B4EF0A9C-83BE-4C20-B162-77906609B7B2}" name="Column745"/>
    <tableColumn id="746" xr3:uid="{32C3FB35-9D63-438C-B9AD-3A999C3D7900}" name="Column746"/>
    <tableColumn id="747" xr3:uid="{B7ABF195-926B-4548-9247-F00568CCA4C1}" name="Column747"/>
    <tableColumn id="748" xr3:uid="{F4423524-CEBA-4AAE-8646-8EAC15815382}" name="Column748"/>
    <tableColumn id="749" xr3:uid="{BDE4F3FC-028F-4685-97E7-57EC929AE959}" name="Column749"/>
    <tableColumn id="750" xr3:uid="{DD14A712-283B-408B-91F0-F5C64DFD0720}" name="Column750"/>
    <tableColumn id="751" xr3:uid="{D41A4F8E-E06D-4B62-B7FA-97CDB0A6B07E}" name="Column751"/>
    <tableColumn id="752" xr3:uid="{B838B1BE-81E9-4C4C-A762-8AD43B438CE0}" name="Column752"/>
    <tableColumn id="753" xr3:uid="{4F9230D3-1CE9-4F12-9277-963750E43321}" name="Column753"/>
    <tableColumn id="754" xr3:uid="{2C61C6B0-AAA0-40B2-90DC-ED2A908F18F7}" name="Column754"/>
    <tableColumn id="755" xr3:uid="{158EEF93-C6C0-4149-BAE4-0FD101FAB308}" name="Column755"/>
    <tableColumn id="756" xr3:uid="{435B1AE9-7D3F-4064-AB2F-320121104AAD}" name="Column756"/>
    <tableColumn id="757" xr3:uid="{0997FC0E-A4CB-408F-A669-D0B3352FF3E6}" name="Column757"/>
    <tableColumn id="758" xr3:uid="{EDE79838-F76B-43F3-9F5F-8FA63F10B5D8}" name="Column758"/>
    <tableColumn id="759" xr3:uid="{44076FFB-4771-41AD-B2CE-5096158AEBD9}" name="Column759"/>
    <tableColumn id="760" xr3:uid="{CB293D9E-8957-4252-9064-6D33BFD08E83}" name="Column760"/>
    <tableColumn id="761" xr3:uid="{20357C54-377D-45A9-8FDF-D425972DB452}" name="Column761"/>
    <tableColumn id="762" xr3:uid="{ED18B7F7-5C53-4300-859F-BAD1B8B13FD3}" name="Column762"/>
    <tableColumn id="763" xr3:uid="{C7F75FEB-E8C1-470B-81D2-1D48D8957540}" name="Column763"/>
    <tableColumn id="764" xr3:uid="{E150A68C-D068-4B15-A0FB-C249F9C2E893}" name="Column764"/>
    <tableColumn id="765" xr3:uid="{8473A417-CE3D-45BE-9D03-ED051CCEED3E}" name="Column765"/>
    <tableColumn id="766" xr3:uid="{133AF2A6-258D-41E1-8A85-0C10F18C6E71}" name="Column766"/>
    <tableColumn id="767" xr3:uid="{E64FBF80-3D2F-46C4-A1F6-B062CDB8ED6C}" name="Column767"/>
    <tableColumn id="768" xr3:uid="{C811F439-F336-45E3-AB79-C302F2767552}" name="Column768"/>
    <tableColumn id="769" xr3:uid="{5D562EBB-455C-4405-AB62-D83FF6EA95B6}" name="Column769"/>
    <tableColumn id="770" xr3:uid="{47EB8976-D4AB-46F6-84F4-FAB7F0B2AB75}" name="Column770"/>
    <tableColumn id="771" xr3:uid="{6E94BA8F-B932-4321-AD5F-938F140C3834}" name="Column771"/>
    <tableColumn id="772" xr3:uid="{B93E7C3D-415F-411F-98FE-E2DC8FD5C258}" name="Column772"/>
    <tableColumn id="773" xr3:uid="{D8DEDF5F-7FA8-42B4-99D5-2348F98DD7D5}" name="Column773"/>
    <tableColumn id="774" xr3:uid="{324D9096-1C1C-434D-A478-5F6ED63690B8}" name="Column774"/>
    <tableColumn id="775" xr3:uid="{CF55B744-8915-40FF-9EE8-96FCF6B4DA77}" name="Column775"/>
    <tableColumn id="776" xr3:uid="{BD1C7B5E-95FA-4EF8-A459-300E1BB5041E}" name="Column776"/>
    <tableColumn id="777" xr3:uid="{B97E0A5A-3FBB-42BA-9C4F-752487567043}" name="Column777"/>
    <tableColumn id="778" xr3:uid="{C32A7D31-0443-465D-B856-4D1BCE5D505D}" name="Column778"/>
    <tableColumn id="779" xr3:uid="{696E9DCA-AA26-486E-AE6A-85C9CDFBA366}" name="Column779"/>
    <tableColumn id="780" xr3:uid="{C770E6E2-2463-449D-8C83-A5C569625BE7}" name="Column780"/>
    <tableColumn id="781" xr3:uid="{3B3D3E3C-61F5-4B70-90B5-CD2329C5CBC9}" name="Column781"/>
    <tableColumn id="782" xr3:uid="{977DC47E-FF55-4033-AF9A-22A3ECAE76B3}" name="Column782"/>
    <tableColumn id="783" xr3:uid="{C4E039E3-8FFC-4C9D-A06F-3596FEA49F32}" name="Column783"/>
    <tableColumn id="784" xr3:uid="{CA761B97-F86F-4AF8-8B83-3205EBEE0CB8}" name="Column784"/>
    <tableColumn id="785" xr3:uid="{7A4C08AD-8ADB-48D2-B163-A4E48E6FC7D1}" name="Column785"/>
    <tableColumn id="786" xr3:uid="{9E88A7B2-FEB0-4503-969B-0D3F440487DF}" name="Column786"/>
    <tableColumn id="787" xr3:uid="{63888CCB-1176-498C-9D96-6EDE9168E48B}" name="Column787"/>
    <tableColumn id="788" xr3:uid="{3246FFF7-B0D4-4609-A9F5-2E4F38BC5A1D}" name="Column788"/>
    <tableColumn id="789" xr3:uid="{7C16E9E5-5015-40D3-AB66-2CFC11D4E779}" name="Column789"/>
    <tableColumn id="790" xr3:uid="{05DE60DB-3F70-4E68-9519-7FF2EE7B83B7}" name="Column790"/>
    <tableColumn id="791" xr3:uid="{7FDF99B3-AD4E-490E-9FBD-180F26637E28}" name="Column791"/>
    <tableColumn id="792" xr3:uid="{32448621-2B6E-40B9-816B-43F9F2B3FBC0}" name="Column792"/>
    <tableColumn id="793" xr3:uid="{16607F82-362B-4816-8550-F5CCDC2864F3}" name="Column793"/>
    <tableColumn id="794" xr3:uid="{AFBCA546-FB90-4A49-95F6-66EC3C406F2C}" name="Column794"/>
    <tableColumn id="795" xr3:uid="{136DF447-03B8-456C-A370-684C84E92AAC}" name="Column795"/>
    <tableColumn id="796" xr3:uid="{B9F80027-FF8F-49F5-9C0F-32E603B73634}" name="Column796"/>
    <tableColumn id="797" xr3:uid="{511041A4-23C3-46CB-A47D-C6E56DAD99B1}" name="Column797"/>
    <tableColumn id="798" xr3:uid="{7DE958EF-A28E-4FBA-92B4-E80D541F50F3}" name="Column798"/>
    <tableColumn id="799" xr3:uid="{C8D4B298-7107-4105-B7B8-6CE1F38C17FC}" name="Column799"/>
    <tableColumn id="800" xr3:uid="{A6E2C1C2-06C4-479F-A49F-0D900DE1670D}" name="Column800"/>
    <tableColumn id="801" xr3:uid="{6970C8DA-7D87-4595-90DD-1A597F3696C6}" name="Column801"/>
    <tableColumn id="802" xr3:uid="{FCC1BB4E-70DA-454B-96D5-3FD0190C0C87}" name="Column802"/>
    <tableColumn id="803" xr3:uid="{12238569-7EF5-4CC8-B8C4-80BAC329828C}" name="Column803"/>
    <tableColumn id="804" xr3:uid="{268E6564-93A5-44A8-96F5-89366FD3F5D8}" name="Column804"/>
    <tableColumn id="805" xr3:uid="{1E12F3F9-6BBC-48C5-BC12-49EEF191978E}" name="Column805"/>
    <tableColumn id="806" xr3:uid="{1FE0E234-A265-4D33-98AE-6217A1831256}" name="Column806"/>
    <tableColumn id="807" xr3:uid="{D0DAC12D-8638-4656-994C-7617ED0482BF}" name="Column807"/>
    <tableColumn id="808" xr3:uid="{AB435C53-3119-4494-A065-C22BC86BCF42}" name="Column808"/>
    <tableColumn id="809" xr3:uid="{9B5E7CE5-ED77-43B4-8B78-E8F871AC24FD}" name="Column809"/>
    <tableColumn id="810" xr3:uid="{1820E108-3E3D-4D92-85EC-5825088EC2EE}" name="Column810"/>
    <tableColumn id="811" xr3:uid="{144AE85A-0AAF-464B-82E3-AA75B0FC0700}" name="Column811"/>
    <tableColumn id="812" xr3:uid="{03DE230A-7226-4BEB-A5DD-80D0C8A58ED5}" name="Column812"/>
    <tableColumn id="813" xr3:uid="{B5A6CE67-65C5-45A0-92C6-8CD38786B835}" name="Column813"/>
    <tableColumn id="814" xr3:uid="{86235EF5-0A18-4314-837E-D58A53451FC7}" name="Column814"/>
    <tableColumn id="815" xr3:uid="{CF9AB1A1-9AC5-470E-BF7D-398D15AADA0D}" name="Column815"/>
    <tableColumn id="816" xr3:uid="{DA42705A-71AA-45E4-A6A8-BB4B889CA9F8}" name="Column816"/>
    <tableColumn id="817" xr3:uid="{83D859F9-9748-4EEC-AF8D-EDC748AB37DD}" name="Column817"/>
    <tableColumn id="818" xr3:uid="{05D0AA4E-A7DA-44FD-BF0F-351E4ADF1BE8}" name="Column818"/>
    <tableColumn id="819" xr3:uid="{55EAFF3D-E495-459A-8F77-26746BF14559}" name="Column819"/>
    <tableColumn id="820" xr3:uid="{97198A43-02BD-4CBA-8F06-64037980092C}" name="Column820"/>
    <tableColumn id="821" xr3:uid="{B78FD7EE-A780-4BD7-9DC8-C24EE3A461D3}" name="Column821"/>
    <tableColumn id="822" xr3:uid="{957E201D-A86A-41FC-8177-B0B3A1C6D9BC}" name="Column822"/>
    <tableColumn id="823" xr3:uid="{58FE2E6C-A079-4A70-A880-13B684E0B4F4}" name="Column823"/>
    <tableColumn id="824" xr3:uid="{0B16ADBD-E2D8-4418-856B-8417977F82C8}" name="Column824"/>
    <tableColumn id="825" xr3:uid="{719E985E-55CA-4132-9321-122888874424}" name="Column825"/>
    <tableColumn id="826" xr3:uid="{FBDE96CA-24EE-475B-B84D-61363DD22272}" name="Column826"/>
    <tableColumn id="827" xr3:uid="{051E70F9-7C14-4E53-8AF4-3021B3CF6BFD}" name="Column827"/>
    <tableColumn id="828" xr3:uid="{E6790DAD-B486-4210-918C-F8FC93601174}" name="Column828"/>
    <tableColumn id="829" xr3:uid="{B5E49379-71E2-4DE2-B406-1EECF48887CE}" name="Column829"/>
    <tableColumn id="830" xr3:uid="{684A865C-B0BB-4B09-A8EF-439EE0BC1A48}" name="Column830"/>
    <tableColumn id="831" xr3:uid="{4231A3BD-71CF-40EB-9581-D3599338B645}" name="Column831"/>
    <tableColumn id="832" xr3:uid="{9746478E-8715-417B-BDE5-BA428F78516B}" name="Column832"/>
    <tableColumn id="833" xr3:uid="{C2A75CB6-539B-43EF-AAA0-9038E26AB2B3}" name="Column833"/>
    <tableColumn id="834" xr3:uid="{30A328DC-7C83-4AD5-A641-1D6FF33620D7}" name="Column834"/>
    <tableColumn id="835" xr3:uid="{36368634-71F5-4012-A1F9-23173CBE166B}" name="Column835"/>
    <tableColumn id="836" xr3:uid="{B3622B74-10C1-4D29-A93D-4E4685BD3684}" name="Column836"/>
    <tableColumn id="837" xr3:uid="{9C25BDCE-7305-4EFB-9B68-37D9C27A5EB7}" name="Column837"/>
    <tableColumn id="838" xr3:uid="{81186E32-8929-406D-ADB2-2E86AF5A8993}" name="Column838"/>
    <tableColumn id="839" xr3:uid="{9B2D50C8-B140-49BA-B2AA-0BF32B11161F}" name="Column839"/>
    <tableColumn id="840" xr3:uid="{23D3797F-ECB4-465F-922C-34B09F289E6C}" name="Column840"/>
    <tableColumn id="841" xr3:uid="{8872D547-860E-482A-9043-B74824380C26}" name="Column841"/>
    <tableColumn id="842" xr3:uid="{6020CEC3-7EEE-4C61-9A8C-CBAB4221DD44}" name="Column842"/>
    <tableColumn id="843" xr3:uid="{E651EC53-38E0-40EC-9287-3A155234BBF5}" name="Column843"/>
    <tableColumn id="844" xr3:uid="{AEEB6798-A5D2-4E43-BEBE-37F579592583}" name="Column844"/>
    <tableColumn id="845" xr3:uid="{C26546E7-F53C-404D-B713-38A0B0F19CE0}" name="Column845"/>
    <tableColumn id="846" xr3:uid="{E35361A8-87E0-4B1A-9777-335B81AAEE20}" name="Column846"/>
    <tableColumn id="847" xr3:uid="{08E0C219-22AA-4501-A7D0-12AE75A1078D}" name="Column847"/>
    <tableColumn id="848" xr3:uid="{45F3F9CE-5F75-4BD9-9106-804E41B3B121}" name="Column848"/>
    <tableColumn id="849" xr3:uid="{1E4B880A-E09E-4342-9465-2F07A673E2F2}" name="Column849"/>
    <tableColumn id="850" xr3:uid="{E507A4D6-E53A-460D-9F1C-483A170743B9}" name="Column850"/>
    <tableColumn id="851" xr3:uid="{D88D7DC1-1823-4811-8CC3-CA58A7DED3D9}" name="Column851"/>
    <tableColumn id="852" xr3:uid="{BCC2994D-7609-44FF-8226-DEBA8E535CAA}" name="Column852"/>
    <tableColumn id="853" xr3:uid="{FF454138-3107-44E4-9D92-EF148FD25778}" name="Column853"/>
    <tableColumn id="854" xr3:uid="{E22E55B4-EDC0-486B-8242-53EE949515E0}" name="Column854"/>
    <tableColumn id="855" xr3:uid="{97AC09F2-57FF-4427-AF5F-04088FEDBB1F}" name="Column855"/>
    <tableColumn id="856" xr3:uid="{019A8FDB-C1E2-46F3-84FB-BCF8E5AB9A56}" name="Column856"/>
    <tableColumn id="857" xr3:uid="{44B5EB1B-3B9C-451C-AC2A-10F1C2896DBF}" name="Column857"/>
    <tableColumn id="858" xr3:uid="{8517D93E-5490-4EB1-A9C0-3BF7385702BA}" name="Column858"/>
    <tableColumn id="859" xr3:uid="{4B9DF71D-D72E-41B3-98D4-93EE2CEA8BCC}" name="Column859"/>
    <tableColumn id="860" xr3:uid="{5B22FD59-E86E-4B1F-9D16-D0C33F20A185}" name="Column860"/>
    <tableColumn id="861" xr3:uid="{4414EAF3-87D0-48F3-A726-F5B9909801BC}" name="Column861"/>
    <tableColumn id="862" xr3:uid="{CF9AE1D6-E33B-47E4-AD23-5B070AE91808}" name="Column862"/>
    <tableColumn id="863" xr3:uid="{955D973E-848B-4D58-AD24-0537D63B58B7}" name="Column863"/>
    <tableColumn id="864" xr3:uid="{25E39781-25EF-474E-AC0F-E2E51FA29DCD}" name="Column864"/>
    <tableColumn id="865" xr3:uid="{5289DE25-AE35-41D0-9576-37354EB95FDE}" name="Column865"/>
    <tableColumn id="866" xr3:uid="{4283457C-C20F-42E7-9FC2-40FA5C545D38}" name="Column866"/>
    <tableColumn id="867" xr3:uid="{7CDDD0B9-3BDE-4069-95E2-B149E3C9D252}" name="Column867"/>
    <tableColumn id="868" xr3:uid="{4E4304A4-299B-49B0-A437-4463A3CD52B3}" name="Column868"/>
    <tableColumn id="869" xr3:uid="{65289E67-753F-423D-BE2D-AE86DC02CBE8}" name="Column869"/>
    <tableColumn id="870" xr3:uid="{AC581FF8-2963-400A-AF14-811C01077B77}" name="Column870"/>
    <tableColumn id="871" xr3:uid="{7693F9D8-8A87-4C3C-A5F3-958E0A741498}" name="Column871"/>
    <tableColumn id="872" xr3:uid="{49360CCE-67C9-441E-86D3-620196102D7F}" name="Column872"/>
    <tableColumn id="873" xr3:uid="{809F228D-A007-468A-B180-6F02CA2FB60F}" name="Column873"/>
    <tableColumn id="874" xr3:uid="{D3661091-ACF2-4FE2-A0A2-DC33E47C1EB5}" name="Column874"/>
    <tableColumn id="875" xr3:uid="{D868CF6C-59C7-4FE7-804F-A38EFFC0D9A9}" name="Column875"/>
    <tableColumn id="876" xr3:uid="{E925960D-E27A-422B-B3A6-C432C82E5545}" name="Column876"/>
    <tableColumn id="877" xr3:uid="{EF8986ED-291B-49DB-9EFF-A9A8175D726C}" name="Column877"/>
    <tableColumn id="878" xr3:uid="{556940F1-5EE5-4646-893C-5216C4EE7D32}" name="Column878"/>
    <tableColumn id="879" xr3:uid="{E9EBDD30-CE2A-44A1-8C71-D837761B80AF}" name="Column879"/>
    <tableColumn id="880" xr3:uid="{C0C03938-1A07-4020-9E48-CB8C301E4FAE}" name="Column880"/>
    <tableColumn id="881" xr3:uid="{EE3156E3-B260-479A-BA4C-EABA084F0DAA}" name="Column881"/>
    <tableColumn id="882" xr3:uid="{89993B3E-4594-4D62-BCC2-3B0EDAD74424}" name="Column882"/>
    <tableColumn id="883" xr3:uid="{9C021DBB-205D-42B9-835C-FA14642FEE52}" name="Column883"/>
    <tableColumn id="884" xr3:uid="{7E5D0A00-C864-4BAD-9A9D-C03D59F7542C}" name="Column884"/>
    <tableColumn id="885" xr3:uid="{2A0A3DC8-33E9-435B-B9A7-9BB61D9D875F}" name="Column885"/>
    <tableColumn id="886" xr3:uid="{A7C3BDE7-2D1F-4AFD-A327-01822463E907}" name="Column886"/>
    <tableColumn id="887" xr3:uid="{AC1B13F5-95AF-4AE0-AEF1-02377ABF6A46}" name="Column887"/>
    <tableColumn id="888" xr3:uid="{5428AB35-DFCE-4822-BA24-07301B143508}" name="Column888"/>
    <tableColumn id="889" xr3:uid="{22497C5A-FAB4-47C3-8E3F-24EA2ED87411}" name="Column889"/>
    <tableColumn id="890" xr3:uid="{36B482EA-3009-4B92-B98B-B3BDCEC9CBCF}" name="Column890"/>
    <tableColumn id="891" xr3:uid="{A479D543-AEBD-4592-A047-9BFD38B53EA6}" name="Column891"/>
    <tableColumn id="892" xr3:uid="{248A5CCE-9E8B-4426-9377-649F67A611D2}" name="Column892"/>
    <tableColumn id="893" xr3:uid="{7450DC5B-A614-4A17-9A1B-F17430C18AC7}" name="Column893"/>
    <tableColumn id="894" xr3:uid="{B3370939-59B8-406F-B5FD-BA0433BA0D00}" name="Column894"/>
    <tableColumn id="895" xr3:uid="{B7B5FFE8-0125-46EC-A8DB-2A6AF086BF78}" name="Column895"/>
    <tableColumn id="896" xr3:uid="{496375F6-27FE-40C1-8B12-3483E881448E}" name="Column896"/>
    <tableColumn id="897" xr3:uid="{8FBE6192-FCBC-46ED-B5C0-4B889FAFBFEA}" name="Column897"/>
    <tableColumn id="898" xr3:uid="{DB66808D-6C0F-44EE-9107-F23440DD7E7D}" name="Column898"/>
    <tableColumn id="899" xr3:uid="{D2A7A6C6-170A-4353-9F9E-4CD7F150C433}" name="Column899"/>
    <tableColumn id="900" xr3:uid="{0A66C44F-FBAE-40F7-A8E9-DCA53B4275B6}" name="Column900"/>
    <tableColumn id="901" xr3:uid="{64F5558A-20D7-4DC2-A554-ADC3EE30F110}" name="Column901"/>
    <tableColumn id="902" xr3:uid="{1FBEC843-6883-4052-AC56-6EDCE84D7C98}" name="Column902"/>
    <tableColumn id="903" xr3:uid="{B83F77D8-09E9-4A10-B046-827C81D3A33A}" name="Column903"/>
    <tableColumn id="904" xr3:uid="{3F620BF5-4485-431F-BBD3-6268EB074F67}" name="Column904"/>
    <tableColumn id="905" xr3:uid="{3736E2E8-7A3F-46C1-AB0B-C176B862EFAD}" name="Column905"/>
    <tableColumn id="906" xr3:uid="{FF1A6E50-2D18-4182-AE9E-2B69FEB9BB26}" name="Column906"/>
    <tableColumn id="907" xr3:uid="{B56B46F3-0AB2-4D43-BB16-B74222DB9B01}" name="Column907"/>
    <tableColumn id="908" xr3:uid="{7FE2452A-0125-40A3-85DE-E58278E23224}" name="Column908"/>
    <tableColumn id="909" xr3:uid="{BF982D87-4953-4D5C-9A36-557C568E9896}" name="Column909"/>
    <tableColumn id="910" xr3:uid="{DA90DD86-EA2F-4985-BF2E-93D637894EAB}" name="Column910"/>
    <tableColumn id="911" xr3:uid="{A502DE3A-2181-4E24-A8BA-48627C7362E7}" name="Column911"/>
    <tableColumn id="912" xr3:uid="{B5ED75A8-3198-40C6-9784-D75003E06ACB}" name="Column912"/>
    <tableColumn id="913" xr3:uid="{C31A37FC-C3A2-466B-9286-3EE83A5C82B6}" name="Column913"/>
    <tableColumn id="914" xr3:uid="{A88AAF7F-7C6B-4018-934E-9B208648E642}" name="Column914"/>
    <tableColumn id="915" xr3:uid="{C39FFD5B-4E97-463C-8339-792C253CB4B1}" name="Column915"/>
    <tableColumn id="916" xr3:uid="{7E94060B-175B-4C60-B00F-DCD93FB49B9B}" name="Column916"/>
    <tableColumn id="917" xr3:uid="{A32B52B9-9C99-4002-B0F2-EA042B1A2E21}" name="Column917"/>
    <tableColumn id="918" xr3:uid="{2432B326-9ECE-46C7-93AB-0555F81A355B}" name="Column918"/>
    <tableColumn id="919" xr3:uid="{D3EEC0A4-2C71-47AE-AEFE-6EBDCEEBA201}" name="Column919"/>
    <tableColumn id="920" xr3:uid="{A50A4FA2-D2BA-4201-A378-158E1D772ACE}" name="Column920"/>
    <tableColumn id="921" xr3:uid="{6F1E5100-DC90-4978-AA4A-67C7F9B25308}" name="Column921"/>
    <tableColumn id="922" xr3:uid="{ACD5431F-02C9-40BC-BA5C-DE057E6390FC}" name="Column922"/>
    <tableColumn id="923" xr3:uid="{7CA669CB-8D1F-4414-9A00-6A923A1C6635}" name="Column923"/>
    <tableColumn id="924" xr3:uid="{1AC0208D-A460-4D3B-BCDC-BDC401CF12E5}" name="Column924"/>
    <tableColumn id="925" xr3:uid="{777348C3-BA5D-4A55-A9D5-367610123BC2}" name="Column925"/>
    <tableColumn id="926" xr3:uid="{FABF76C4-B46A-4E47-ABED-FC7A84FEE2D1}" name="Column926"/>
    <tableColumn id="927" xr3:uid="{A8E94F4C-2898-4ED1-BD99-28DC4711B482}" name="Column927"/>
    <tableColumn id="928" xr3:uid="{AD4DE670-71CA-427E-BE3F-DA5294478393}" name="Column928"/>
    <tableColumn id="929" xr3:uid="{82097F2B-1A1A-4EEF-82F2-4325070FB1DF}" name="Column929"/>
    <tableColumn id="930" xr3:uid="{E2F01C9F-FD76-4998-856B-97C26458AC39}" name="Column930"/>
    <tableColumn id="931" xr3:uid="{AF2F9730-DFBB-40F0-A050-5138FCA0EA98}" name="Column931"/>
    <tableColumn id="932" xr3:uid="{CF422ACB-FEAF-48BD-88AB-9F692C169CE8}" name="Column932"/>
    <tableColumn id="933" xr3:uid="{E8624304-8D5C-4900-9958-02A760F5336C}" name="Column933"/>
    <tableColumn id="934" xr3:uid="{C5324E82-E256-42B0-8794-E9E70BBD8A06}" name="Column934"/>
    <tableColumn id="935" xr3:uid="{9F24F05D-47B2-47AA-8A0F-58420AA40142}" name="Column935"/>
    <tableColumn id="936" xr3:uid="{EDE29E8C-5EA3-4014-9AAE-24041B3AE1E8}" name="Column936"/>
    <tableColumn id="937" xr3:uid="{538C38E9-E94A-42CA-ADC2-4A1FCA0A1436}" name="Column937"/>
    <tableColumn id="938" xr3:uid="{6B5042A0-509D-40A6-8C65-37DE1F10E62A}" name="Column938"/>
    <tableColumn id="939" xr3:uid="{CB13E24D-869B-4612-A29A-15A8154A4E13}" name="Column939"/>
    <tableColumn id="940" xr3:uid="{43F86378-8409-43A2-A8F8-3B48DF9FC917}" name="Column940"/>
    <tableColumn id="941" xr3:uid="{F5D7F564-96F5-4DF2-BD5C-01A758ACDE1A}" name="Column941"/>
    <tableColumn id="942" xr3:uid="{05E02045-9D7F-48D0-A865-79713BD39DC3}" name="Column942"/>
    <tableColumn id="943" xr3:uid="{61CA112F-2F53-485B-9497-3DC6ADCD9B64}" name="Column943"/>
    <tableColumn id="944" xr3:uid="{9575C792-BEF4-4D7A-9FB6-040E2BFEAC71}" name="Column944"/>
    <tableColumn id="945" xr3:uid="{D879C420-9CCD-43EC-A652-9D7ACA9F2373}" name="Column945"/>
    <tableColumn id="946" xr3:uid="{7696C1DF-6268-437B-9039-095B31FD3C84}" name="Column946"/>
    <tableColumn id="947" xr3:uid="{8250B305-DCDC-4713-B0FD-C9F2FE5909CB}" name="Column947"/>
    <tableColumn id="948" xr3:uid="{5BC8798B-3A0A-483A-B598-6E4AAF6EDDCC}" name="Column948"/>
    <tableColumn id="949" xr3:uid="{D14FD5F1-BF09-4559-82DA-07D51759A737}" name="Column949"/>
    <tableColumn id="950" xr3:uid="{98A06371-A2B9-480A-8C2C-58E9F888693E}" name="Column950"/>
    <tableColumn id="951" xr3:uid="{6F58536A-621B-4226-BEDF-F111C56D69B0}" name="Column951"/>
    <tableColumn id="952" xr3:uid="{E6B2261A-DF15-44A2-AD79-4A4E2B1A349D}" name="Column952"/>
    <tableColumn id="953" xr3:uid="{5B7B1CE0-C737-4BDC-9910-648D0B4B20A2}" name="Column953"/>
    <tableColumn id="954" xr3:uid="{AA76D5CA-1473-49FB-8FCD-1919D0C7ADA7}" name="Column954"/>
    <tableColumn id="955" xr3:uid="{CBC78243-1578-4E1F-80C0-FDB38F5B08C4}" name="Column955"/>
    <tableColumn id="956" xr3:uid="{D6F77F4E-B86C-4EC8-BC40-A1570E286DFA}" name="Column956"/>
    <tableColumn id="957" xr3:uid="{6D91FB5A-5EB8-47FC-AFFD-24554733D0E7}" name="Column957"/>
    <tableColumn id="958" xr3:uid="{B92985A5-A226-440B-BBF7-DB5AA7E37711}" name="Column958"/>
    <tableColumn id="959" xr3:uid="{C14ADF0A-1825-420F-8C50-A251A349CC94}" name="Column959"/>
    <tableColumn id="960" xr3:uid="{C9E01F0D-FC55-479C-A446-B48CC5CBB4D7}" name="Column960"/>
    <tableColumn id="961" xr3:uid="{230CDCF2-1C49-4F7E-9EB4-A7489543F1FC}" name="Column961"/>
    <tableColumn id="962" xr3:uid="{2608B469-BC23-438C-AB75-00C0CE59361B}" name="Column962"/>
    <tableColumn id="963" xr3:uid="{14CFD559-267B-4420-B1F7-4545CEF65DA0}" name="Column963"/>
    <tableColumn id="964" xr3:uid="{1F9817EE-825A-43F3-8C9B-34ACF8CB75CB}" name="Column964"/>
    <tableColumn id="965" xr3:uid="{2C5DE83B-3750-4FCE-8F96-9E281E37FED3}" name="Column965"/>
    <tableColumn id="966" xr3:uid="{C156A908-2E96-4F49-9197-1D28252EA06C}" name="Column966"/>
    <tableColumn id="967" xr3:uid="{E5BD5E07-82BF-45EE-AD77-E4CABA62ADB0}" name="Column967"/>
    <tableColumn id="968" xr3:uid="{A305AA45-7FB9-4464-8769-F38B11D25F7B}" name="Column968"/>
    <tableColumn id="969" xr3:uid="{0AD46779-4ECA-43B9-89AC-84B52B6EEAEE}" name="Column969"/>
    <tableColumn id="970" xr3:uid="{2F6C96B2-0DE8-4A6E-BE49-CE06668F702C}" name="Column970"/>
    <tableColumn id="971" xr3:uid="{081CB420-67C9-4102-BE36-1616361D1CAD}" name="Column971"/>
    <tableColumn id="972" xr3:uid="{60B26864-7653-48DD-AACC-5B16C39EC7E9}" name="Column972"/>
    <tableColumn id="973" xr3:uid="{0C0089B5-63C7-4679-B3DC-A3FC1A4CA92F}" name="Column973"/>
    <tableColumn id="974" xr3:uid="{4B43DE89-C438-41BA-BF72-CC8F15F1DE1F}" name="Column974"/>
    <tableColumn id="975" xr3:uid="{71D63CC0-8504-4289-96A2-43D1EF9AE205}" name="Column975"/>
    <tableColumn id="976" xr3:uid="{15F62168-0548-464E-8320-C07B9823C54E}" name="Column976"/>
    <tableColumn id="977" xr3:uid="{8BD53F59-7C9B-43F2-A3C2-5BF0BCFC7EB5}" name="Column977"/>
    <tableColumn id="978" xr3:uid="{47F4C168-AA65-4D9D-8DD4-6503D2237392}" name="Column978"/>
    <tableColumn id="979" xr3:uid="{C3D91399-A2C3-4273-A705-A70DE7B1C60B}" name="Column979"/>
    <tableColumn id="980" xr3:uid="{7662A855-DE1C-4D99-AEDD-0D7E8CBEE753}" name="Column980"/>
    <tableColumn id="981" xr3:uid="{1401C9F4-2757-49B3-B93C-6979EBEF905A}" name="Column981"/>
    <tableColumn id="982" xr3:uid="{C21FA8D4-2A86-48BF-9D74-67C4DC9319EA}" name="Column982"/>
    <tableColumn id="983" xr3:uid="{4DE6D6B3-E362-4C06-A2E4-B27F08CBC9C2}" name="Column983"/>
    <tableColumn id="984" xr3:uid="{D93363F2-5BBE-4B41-8456-170C267A2FEF}" name="Column984"/>
    <tableColumn id="985" xr3:uid="{F9C9ADF7-2497-42DD-B925-C030149EC884}" name="Column985"/>
    <tableColumn id="986" xr3:uid="{4CD4EA21-68F2-48FE-908D-43BC440494A9}" name="Column986"/>
    <tableColumn id="987" xr3:uid="{064FAEA7-FFD4-484E-B944-6C18D21A327D}" name="Column987"/>
    <tableColumn id="988" xr3:uid="{05D4A72A-51B5-4C84-98DA-6B3DC59CCCB8}" name="Column988"/>
    <tableColumn id="989" xr3:uid="{37B3D356-2724-4911-B329-EDF8103A5A6A}" name="Column989"/>
    <tableColumn id="990" xr3:uid="{91175A27-D1D3-4C63-9087-4E470384AE4E}" name="Column990"/>
    <tableColumn id="991" xr3:uid="{A506CD9A-99F3-40A4-B74E-E2D01F167616}" name="Column991"/>
    <tableColumn id="992" xr3:uid="{0C6722E6-BFFB-4BD3-87DF-92ED13303BFE}" name="Column992"/>
    <tableColumn id="993" xr3:uid="{86D63A5B-7EA0-40B2-B9BF-931BE96ACE00}" name="Column993"/>
    <tableColumn id="994" xr3:uid="{88FE3997-BB91-4421-8B93-DF503069BC1B}" name="Column994"/>
    <tableColumn id="995" xr3:uid="{6530D2B3-6947-4FDD-AE4F-EA00327DBF2F}" name="Column995"/>
    <tableColumn id="996" xr3:uid="{87280440-89AB-43E9-83B5-6032BA2AFCAD}" name="Column996"/>
    <tableColumn id="997" xr3:uid="{B1525AAE-7B7B-45C7-B464-A8728219AE50}" name="Column997"/>
    <tableColumn id="998" xr3:uid="{685372B6-F147-4351-8691-A5DCBF93C2A8}" name="Column998"/>
    <tableColumn id="999" xr3:uid="{7391AB3D-7277-4C06-9BE3-B920C29666F3}" name="Column999"/>
    <tableColumn id="1000" xr3:uid="{8803BD9E-56CD-4D04-BBA3-DE72E0A51B82}" name="Column1000"/>
    <tableColumn id="1001" xr3:uid="{61A8C8D6-D261-4854-8330-8E2D79466F45}" name="Column1001"/>
    <tableColumn id="1002" xr3:uid="{11CA96FF-B3F2-4950-A78D-8970A1FDA971}" name="Column1002"/>
    <tableColumn id="1003" xr3:uid="{C5CB87AB-7457-4F4C-B195-D7CFAFFB6FD5}" name="Column1003"/>
    <tableColumn id="1004" xr3:uid="{F208C262-2E28-4D34-85E0-6FDF2A9E1FF7}" name="Column1004"/>
    <tableColumn id="1005" xr3:uid="{9DFD2422-4AF8-40AF-AD33-EB445FE0A329}" name="Column1005"/>
    <tableColumn id="1006" xr3:uid="{C624A885-9644-4194-B16B-904942A8DD3F}" name="Column1006"/>
    <tableColumn id="1007" xr3:uid="{E64706BC-CA4D-47F7-B2CA-93F1E256E3A7}" name="Column1007"/>
    <tableColumn id="1008" xr3:uid="{82DAAEE5-C29E-4954-9055-7CF47E9AB8A0}" name="Column1008"/>
    <tableColumn id="1009" xr3:uid="{40C7632A-AE29-4F52-B339-CDCA98088DEE}" name="Column1009"/>
    <tableColumn id="1010" xr3:uid="{D8804223-54B2-49CC-89AF-EE74FFA93055}" name="Column1010"/>
    <tableColumn id="1011" xr3:uid="{B6FD82E8-FA55-4626-A715-B29715213C09}" name="Column1011"/>
    <tableColumn id="1012" xr3:uid="{5219DF71-C08F-4086-AC35-105AE8F9CCFB}" name="Column1012"/>
    <tableColumn id="1013" xr3:uid="{4C31DD06-D3DC-4BE9-949A-4C46DB90E2C5}" name="Column1013"/>
    <tableColumn id="1014" xr3:uid="{1319BFCA-BEAC-4C7D-A326-58D83BA5389E}" name="Column1014"/>
    <tableColumn id="1015" xr3:uid="{BF301DA8-D898-4687-8837-530E0E7BF8DA}" name="Column1015"/>
    <tableColumn id="1016" xr3:uid="{794A037E-606F-4916-9B96-7C4851819513}" name="Column1016"/>
    <tableColumn id="1017" xr3:uid="{1E36D976-E966-446F-9FB2-D86910383A9C}" name="Column1017"/>
    <tableColumn id="1018" xr3:uid="{FEFF15C1-94A3-491C-B42F-E8CF5BBBB618}" name="Column1018"/>
    <tableColumn id="1019" xr3:uid="{BF1F3BEE-1103-4664-B360-DB853B986A6A}" name="Column1019"/>
    <tableColumn id="1020" xr3:uid="{8C44DB50-8538-4F06-8D47-B9CEE30FE5E7}" name="Column1020"/>
    <tableColumn id="1021" xr3:uid="{4EB74F07-2824-41A7-BC3D-C638E495F6EE}" name="Column1021"/>
    <tableColumn id="1022" xr3:uid="{676BCD9F-670B-42BB-A443-172950B7C47A}" name="Column1022"/>
    <tableColumn id="1023" xr3:uid="{BDE3B935-CD0D-45D5-8919-B3323788AC73}" name="Column1023"/>
    <tableColumn id="1024" xr3:uid="{B6B7BE8E-5A4E-4348-88E4-E4BEE7C31899}" name="Column1024"/>
    <tableColumn id="1025" xr3:uid="{F53CA590-10C1-41D2-9C7A-9E40B8291801}" name="Column1025"/>
    <tableColumn id="1026" xr3:uid="{5383F502-39FB-412A-96A0-93D9339D22A0}" name="Column1026"/>
    <tableColumn id="1027" xr3:uid="{E504BAC0-7402-41CF-8605-EBB29274C053}" name="Column1027"/>
    <tableColumn id="1028" xr3:uid="{4CF9B450-F0FE-4C18-A872-1BE6876E88E0}" name="Column1028"/>
    <tableColumn id="1029" xr3:uid="{DE26F31F-65EE-4807-B4F2-A71FD66625CB}" name="Column1029"/>
    <tableColumn id="1030" xr3:uid="{E57FDDDF-6CD7-49CF-A96D-49B99CEB6DB4}" name="Column1030"/>
    <tableColumn id="1031" xr3:uid="{B14CB1D0-0DBB-4B00-85EB-AE535D107DB3}" name="Column1031"/>
    <tableColumn id="1032" xr3:uid="{B66CBD02-F5D3-4FF8-AAA5-3D799DA839A9}" name="Column1032"/>
    <tableColumn id="1033" xr3:uid="{CDF3BB38-F437-42A9-918F-3F7977E28BF3}" name="Column1033"/>
    <tableColumn id="1034" xr3:uid="{0F0A4663-A575-42A0-9F2F-E14D5F8FB36A}" name="Column1034"/>
    <tableColumn id="1035" xr3:uid="{3E59ECFD-D8C2-4E00-B7FB-D85A7E35A58D}" name="Column1035"/>
    <tableColumn id="1036" xr3:uid="{1D7C6DFC-7CDF-4082-8BC9-CEFCA2724F7B}" name="Column1036"/>
    <tableColumn id="1037" xr3:uid="{E828D57D-5FD2-4FEB-9DF8-CB2FFF0E5FA1}" name="Column1037"/>
    <tableColumn id="1038" xr3:uid="{C3C29380-C26A-40FC-87A1-A52F429B28CE}" name="Column1038"/>
    <tableColumn id="1039" xr3:uid="{56B4CCE0-E6F1-4FA4-B9E5-D0E6A712785D}" name="Column1039"/>
    <tableColumn id="1040" xr3:uid="{037F9C08-CE59-40C7-ABA4-1F8F25827B52}" name="Column1040"/>
    <tableColumn id="1041" xr3:uid="{4D645401-D769-4F78-AABC-7A5B2596B31F}" name="Column1041"/>
    <tableColumn id="1042" xr3:uid="{765A5481-3F0C-4962-B5DB-C28991C4C74B}" name="Column1042"/>
    <tableColumn id="1043" xr3:uid="{81B9C4A1-6D0F-4083-85DC-927B0AC5B570}" name="Column1043"/>
    <tableColumn id="1044" xr3:uid="{7293870F-1FBE-4375-B815-9DB356E68D98}" name="Column1044"/>
    <tableColumn id="1045" xr3:uid="{7EFDE50A-A72E-409F-9190-DEBC00DD28BC}" name="Column1045"/>
    <tableColumn id="1046" xr3:uid="{0CF7CAFD-2286-479C-914C-259180CF3E1E}" name="Column1046"/>
    <tableColumn id="1047" xr3:uid="{7B7D9C57-6F46-4381-8DEA-4B0C3041E081}" name="Column1047"/>
    <tableColumn id="1048" xr3:uid="{9F957528-2E7A-4DAB-A9B6-79A609883630}" name="Column1048"/>
    <tableColumn id="1049" xr3:uid="{ED8F1713-B8B7-4481-BB38-7B94EF1044BD}" name="Column1049"/>
    <tableColumn id="1050" xr3:uid="{ABCA7556-3DF6-4ECA-A36C-7ABA22DAF057}" name="Column1050"/>
    <tableColumn id="1051" xr3:uid="{AB1AE085-FD76-45C4-A40D-776F65B8CA9F}" name="Column1051"/>
    <tableColumn id="1052" xr3:uid="{621DF8E0-EDD4-4B12-8F72-4C9DCB136563}" name="Column1052"/>
    <tableColumn id="1053" xr3:uid="{E132F0B4-284F-45D2-A14E-A88459619E3A}" name="Column1053"/>
    <tableColumn id="1054" xr3:uid="{D8E3BECF-E6E9-4E98-8312-6B251FA10C06}" name="Column1054"/>
    <tableColumn id="1055" xr3:uid="{AF536C96-275D-4C4E-BC76-8D1FEB22A626}" name="Column1055"/>
    <tableColumn id="1056" xr3:uid="{007B5F73-9DBC-4461-B44F-E3BEB0EC8846}" name="Column1056"/>
    <tableColumn id="1057" xr3:uid="{CB1BDDEC-12F6-41FF-8210-CDB95C6972DA}" name="Column1057"/>
    <tableColumn id="1058" xr3:uid="{D058C8FB-D676-4531-90F5-AB19DAEBAED1}" name="Column1058"/>
    <tableColumn id="1059" xr3:uid="{F5BB8C49-F759-4905-9012-9FA3FCECAE3B}" name="Column1059"/>
    <tableColumn id="1060" xr3:uid="{FCBD7E64-195F-4E63-AF61-7C314255B7DB}" name="Column1060"/>
    <tableColumn id="1061" xr3:uid="{CC7A8229-8762-48E0-871C-40B6D2162488}" name="Column1061"/>
    <tableColumn id="1062" xr3:uid="{8C36DA0B-7ED8-4831-A259-C081B01738B1}" name="Column1062"/>
    <tableColumn id="1063" xr3:uid="{5E404A76-DBE8-441E-BAFF-4C03960EAFC7}" name="Column1063"/>
    <tableColumn id="1064" xr3:uid="{374F2AC6-A3EE-4C10-9FF5-A24C0CD0DD97}" name="Column1064"/>
    <tableColumn id="1065" xr3:uid="{D5B7C581-6F7A-4E0A-A6F0-1FDBDF2877B2}" name="Column1065"/>
    <tableColumn id="1066" xr3:uid="{053FF0FE-C428-4642-8E76-65334F55FB72}" name="Column1066"/>
    <tableColumn id="1067" xr3:uid="{0C992A2E-9C92-4406-ABC1-D2816E82045A}" name="Column1067"/>
    <tableColumn id="1068" xr3:uid="{BF4F1CDC-BD3C-44BF-9B4D-4586C8627603}" name="Column1068"/>
    <tableColumn id="1069" xr3:uid="{9013DB26-CCC8-4168-91AB-57EECD135D30}" name="Column1069"/>
    <tableColumn id="1070" xr3:uid="{0784B017-DDEA-4721-A441-044686D80545}" name="Column1070"/>
    <tableColumn id="1071" xr3:uid="{8FE324AD-55A4-44DE-8D54-BF21AAD17C00}" name="Column1071"/>
    <tableColumn id="1072" xr3:uid="{872C553D-11A7-4D2D-B3AC-7C3B30F34F61}" name="Column1072"/>
    <tableColumn id="1073" xr3:uid="{ACCFF4AC-EDEE-40FF-BB48-BD1F225251EF}" name="Column1073"/>
    <tableColumn id="1074" xr3:uid="{74790ED2-9D15-46BB-9E46-90C9C68DE52A}" name="Column1074"/>
    <tableColumn id="1075" xr3:uid="{7437E77D-83D5-4BC1-98BB-DFB6DF08A13E}" name="Column1075"/>
    <tableColumn id="1076" xr3:uid="{394CD0DC-C7B8-4798-A373-AEB7F237C373}" name="Column1076"/>
    <tableColumn id="1077" xr3:uid="{8501F2E4-8041-4952-B6F9-AB3E01C04C68}" name="Column1077"/>
    <tableColumn id="1078" xr3:uid="{5D3DA946-2E6C-44CC-9859-72CABB1C11C4}" name="Column1078"/>
    <tableColumn id="1079" xr3:uid="{E08CD92F-391D-427A-8044-DD3CF8F65FBB}" name="Column1079"/>
    <tableColumn id="1080" xr3:uid="{2866C1A6-C9F7-4DAB-8E71-2685ED80B520}" name="Column1080"/>
    <tableColumn id="1081" xr3:uid="{5840A4F4-E679-442B-9579-B9521FE22DB3}" name="Column1081"/>
    <tableColumn id="1082" xr3:uid="{E8C421D0-83E8-477A-84E9-122D43BCABA2}" name="Column1082"/>
    <tableColumn id="1083" xr3:uid="{E6826888-8D00-4C23-B228-94BB87297C66}" name="Column1083"/>
    <tableColumn id="1084" xr3:uid="{592E80B7-DEFF-419C-B9BF-D39F99C55637}" name="Column1084"/>
    <tableColumn id="1085" xr3:uid="{FE2B7E3A-6446-44A7-A06A-6828A55207AD}" name="Column1085"/>
    <tableColumn id="1086" xr3:uid="{8D13823C-887C-44BC-9AE5-7BF060CF0D54}" name="Column1086"/>
    <tableColumn id="1087" xr3:uid="{DF14C1F1-6482-4F4E-A74F-6BFE4499C6A4}" name="Column1087"/>
    <tableColumn id="1088" xr3:uid="{755CCF51-838A-46BE-9003-8C1C1D7A82D4}" name="Column1088"/>
    <tableColumn id="1089" xr3:uid="{61D759CD-C103-4D01-9C7C-99DDB31AF806}" name="Column1089"/>
    <tableColumn id="1090" xr3:uid="{A8B40D3E-FF87-485D-8245-FCFAD5FC1F43}" name="Column1090"/>
    <tableColumn id="1091" xr3:uid="{D5972FD5-CA2F-4DC7-A35F-FAEDCD7A1407}" name="Column1091"/>
    <tableColumn id="1092" xr3:uid="{53B6637C-3799-4FA2-BAE0-CFDD6082FC2E}" name="Column1092"/>
    <tableColumn id="1093" xr3:uid="{FFBB35C9-6EA5-456A-8E8C-12CAF2196A12}" name="Column1093"/>
    <tableColumn id="1094" xr3:uid="{C6AA0B49-3DC0-45E3-8DFB-96307B9C2D94}" name="Column1094"/>
    <tableColumn id="1095" xr3:uid="{68D0E5E1-3787-42B3-B6B9-8E45224D384D}" name="Column1095"/>
    <tableColumn id="1096" xr3:uid="{00C378EA-2780-496F-85FF-E8A331633E05}" name="Column1096"/>
    <tableColumn id="1097" xr3:uid="{FAB16DF5-D753-46F0-81C2-690B5D851A22}" name="Column1097"/>
    <tableColumn id="1098" xr3:uid="{84E77321-E028-411C-85B4-4E46B6A3FD36}" name="Column1098"/>
    <tableColumn id="1099" xr3:uid="{B34735AA-7B30-4770-A969-C938B90234A3}" name="Column1099"/>
    <tableColumn id="1100" xr3:uid="{318C8D80-7741-4958-9ECE-7FF180EA4A2E}" name="Column1100"/>
    <tableColumn id="1101" xr3:uid="{592FF8BD-73B3-489D-8066-8791724A1C9B}" name="Column1101"/>
    <tableColumn id="1102" xr3:uid="{893D9FD3-4CC5-48FA-9F30-7716CD8AEF30}" name="Column1102"/>
    <tableColumn id="1103" xr3:uid="{9A6EC9A6-A5BA-4763-8137-7E6B53723566}" name="Column1103"/>
    <tableColumn id="1104" xr3:uid="{9B81A152-1A16-4AFE-8065-13198ABD0DC5}" name="Column1104"/>
    <tableColumn id="1105" xr3:uid="{0D33A93D-769A-42C6-8946-1A38C2971777}" name="Column1105"/>
    <tableColumn id="1106" xr3:uid="{BE54D152-6EDB-4A6A-BD4F-F5E378DD9C3B}" name="Column1106"/>
    <tableColumn id="1107" xr3:uid="{046AE237-A094-4110-8294-3D420167DCD3}" name="Column1107"/>
    <tableColumn id="1108" xr3:uid="{2175283B-5E9B-47D9-84A4-FC62B5AF1F54}" name="Column1108"/>
    <tableColumn id="1109" xr3:uid="{9E4CD70F-1072-4DC4-A9AE-0171D5768DE6}" name="Column1109"/>
    <tableColumn id="1110" xr3:uid="{69C94F17-B441-4E2B-A7CA-B18B74D28C68}" name="Column1110"/>
    <tableColumn id="1111" xr3:uid="{A7102BEE-3E96-4EF2-91A4-D2C1E3609D66}" name="Column1111"/>
    <tableColumn id="1112" xr3:uid="{77B02855-2DFD-4DBA-BA69-6F014879AF00}" name="Column1112"/>
    <tableColumn id="1113" xr3:uid="{363D8946-298A-4FE3-969C-BAB04B984E57}" name="Column1113"/>
    <tableColumn id="1114" xr3:uid="{9B374115-DB5E-4EEE-A37C-CF4E7626E668}" name="Column1114"/>
    <tableColumn id="1115" xr3:uid="{68A139BE-1D77-4669-B5BB-014D2ED41D61}" name="Column1115"/>
    <tableColumn id="1116" xr3:uid="{59442A2C-FC8A-4540-9A18-0C730B3ED1BD}" name="Column1116"/>
    <tableColumn id="1117" xr3:uid="{0B80098B-C222-45F3-95BD-A529DF7B9B48}" name="Column1117"/>
    <tableColumn id="1118" xr3:uid="{4F1312C3-B3BC-4F85-BC2B-4ECBFC2222E4}" name="Column1118"/>
    <tableColumn id="1119" xr3:uid="{B3D6CCB6-CBF6-45D8-881D-16628E7B8B77}" name="Column1119"/>
    <tableColumn id="1120" xr3:uid="{30AFF027-DD23-46A9-92AF-FCB0B96588EE}" name="Column1120"/>
    <tableColumn id="1121" xr3:uid="{FA1D53D9-4103-4C2B-A0EB-06ACA337B17D}" name="Column1121"/>
    <tableColumn id="1122" xr3:uid="{11E90286-977F-4291-9CA8-22D92F683CB8}" name="Column1122"/>
    <tableColumn id="1123" xr3:uid="{59E4A056-8657-49F8-8AF4-77CAD9F8AD2C}" name="Column1123"/>
    <tableColumn id="1124" xr3:uid="{286E5584-B5B9-4978-939D-677BF6094DCD}" name="Column1124"/>
    <tableColumn id="1125" xr3:uid="{9247F123-1FD3-4574-8188-BA6283894C48}" name="Column1125"/>
    <tableColumn id="1126" xr3:uid="{3940735F-A610-48F6-AE57-29EB398AC648}" name="Column1126"/>
    <tableColumn id="1127" xr3:uid="{ADAF6611-DE0E-451E-B9F6-7F3914C7F6F4}" name="Column1127"/>
    <tableColumn id="1128" xr3:uid="{1707A535-5AFC-4069-BEDF-F8062DFFF9F2}" name="Column1128"/>
    <tableColumn id="1129" xr3:uid="{53F4EAC3-6ED8-41A5-BE6F-A2C8181A022F}" name="Column1129"/>
    <tableColumn id="1130" xr3:uid="{7C360899-34A2-4026-810E-5B84C35E4BF2}" name="Column1130"/>
    <tableColumn id="1131" xr3:uid="{34D7A994-06D6-4676-A78C-9849007910C4}" name="Column1131"/>
    <tableColumn id="1132" xr3:uid="{F66E605E-AC82-46DC-875A-F62882062F71}" name="Column1132"/>
    <tableColumn id="1133" xr3:uid="{BE4A3E25-7E37-4FED-BD02-6D88D0E45333}" name="Column1133"/>
    <tableColumn id="1134" xr3:uid="{31C32476-D8A4-485E-B5D2-7A2AE3656433}" name="Column1134"/>
    <tableColumn id="1135" xr3:uid="{DBBD195A-79D9-4C73-9D06-9525D6459DEE}" name="Column1135"/>
    <tableColumn id="1136" xr3:uid="{09C6C345-D83F-4C93-979E-B9DF65AD0F36}" name="Column1136"/>
    <tableColumn id="1137" xr3:uid="{E170AB01-3F00-4D2A-A25F-1DB9750B428C}" name="Column1137"/>
    <tableColumn id="1138" xr3:uid="{0475EDFF-2F6E-4431-8953-BC3D36E0C6E8}" name="Column1138"/>
    <tableColumn id="1139" xr3:uid="{30649D74-009D-43A1-9340-92E833CB8629}" name="Column1139"/>
    <tableColumn id="1140" xr3:uid="{2F61C769-3FD5-4C3F-A7B5-1B4745A4E50A}" name="Column1140"/>
    <tableColumn id="1141" xr3:uid="{B5EE6B57-C4CF-4724-8368-6D712FB6B0D0}" name="Column1141"/>
    <tableColumn id="1142" xr3:uid="{64DEDE8C-6A51-4DC3-8688-10E252C980FD}" name="Column1142"/>
    <tableColumn id="1143" xr3:uid="{46C1C7C7-515D-44EB-8D9A-0F8352E8A4DC}" name="Column1143"/>
    <tableColumn id="1144" xr3:uid="{A018F929-2B70-4D95-A706-5FC5868DDBA8}" name="Column1144"/>
    <tableColumn id="1145" xr3:uid="{2F351450-A4F6-495C-BA04-BBA7B564E73B}" name="Column1145"/>
    <tableColumn id="1146" xr3:uid="{386A24E5-8BE4-486B-B728-11ECEF8D75A7}" name="Column1146"/>
    <tableColumn id="1147" xr3:uid="{D6CE6A66-9C4C-4136-BF11-50A779677E50}" name="Column1147"/>
    <tableColumn id="1148" xr3:uid="{107466F4-AAF5-4C7C-BDD3-2A708CB0A0B6}" name="Column1148"/>
    <tableColumn id="1149" xr3:uid="{5D5BF72F-75A3-456A-B1C7-D186B6E075E6}" name="Column1149"/>
    <tableColumn id="1150" xr3:uid="{614F068A-E0AA-4865-A841-20D66562C527}" name="Column1150"/>
    <tableColumn id="1151" xr3:uid="{A525B76E-A96A-4EA8-96DF-B861F5BFA75F}" name="Column1151"/>
    <tableColumn id="1152" xr3:uid="{426EBCD1-84D1-4877-8414-6635606E69D7}" name="Column1152"/>
    <tableColumn id="1153" xr3:uid="{120AEA01-8298-4A5B-BEAF-5CA3EB75EF33}" name="Column1153"/>
    <tableColumn id="1154" xr3:uid="{96EF8C2B-3986-4CB5-89B3-82F390ABD2D4}" name="Column1154"/>
    <tableColumn id="1155" xr3:uid="{CA099EC6-115D-4EB8-9230-3BF2969D9063}" name="Column1155"/>
    <tableColumn id="1156" xr3:uid="{A9AB19E7-9EEE-4C0A-80D0-E13547E534FD}" name="Column1156"/>
    <tableColumn id="1157" xr3:uid="{6B7BA0F8-6A01-436B-880D-0CF95EBD4B46}" name="Column1157"/>
    <tableColumn id="1158" xr3:uid="{92499AFF-28FC-4833-A9F9-CFC4C5053ED7}" name="Column1158"/>
    <tableColumn id="1159" xr3:uid="{5D8BDD70-BD30-4E35-BE3B-A9C03F719DB1}" name="Column1159"/>
    <tableColumn id="1160" xr3:uid="{E79CF4C6-2BAF-401A-821E-1054444171D3}" name="Column1160"/>
    <tableColumn id="1161" xr3:uid="{E61E9549-B3D6-46DE-B69D-91B4AC0B9042}" name="Column1161"/>
    <tableColumn id="1162" xr3:uid="{FFAB63B9-649C-4E79-98DA-D61500784BA6}" name="Column1162"/>
    <tableColumn id="1163" xr3:uid="{920E4F0B-C6DE-4F1F-B175-E79C9B2580F6}" name="Column1163"/>
    <tableColumn id="1164" xr3:uid="{80E6066F-9065-42AA-B452-B5065F30FB95}" name="Column1164"/>
    <tableColumn id="1165" xr3:uid="{436087ED-55EC-497C-87CF-E573A7458AC9}" name="Column1165"/>
    <tableColumn id="1166" xr3:uid="{7EAFA79D-A753-4284-98F9-8A213B32F883}" name="Column1166"/>
    <tableColumn id="1167" xr3:uid="{45262F36-3AE5-4780-A3AD-82124033E9E7}" name="Column1167"/>
    <tableColumn id="1168" xr3:uid="{218CA6DD-8A64-40F1-9638-01F352767200}" name="Column1168"/>
    <tableColumn id="1169" xr3:uid="{90F4CF88-D332-4E3A-AA20-3F327715372B}" name="Column1169"/>
    <tableColumn id="1170" xr3:uid="{ABD640F2-27A0-459C-A4A5-1C4B7F11F18B}" name="Column1170"/>
    <tableColumn id="1171" xr3:uid="{A45CAC01-9C92-4D6D-80EC-503031559D6E}" name="Column1171"/>
    <tableColumn id="1172" xr3:uid="{CF5AAF3F-2B50-42DD-B6DD-8608C098B459}" name="Column1172"/>
    <tableColumn id="1173" xr3:uid="{3D98E340-31ED-4571-B685-08073694D4C9}" name="Column1173"/>
    <tableColumn id="1174" xr3:uid="{32EF0C18-7F6F-4DA2-87C1-83A9FB2337BF}" name="Column1174"/>
    <tableColumn id="1175" xr3:uid="{AF9038C4-16EF-489B-B9CF-9E75E18601C8}" name="Column1175"/>
    <tableColumn id="1176" xr3:uid="{9BEC6436-7E94-4459-9D00-419BC05EF04C}" name="Column1176"/>
    <tableColumn id="1177" xr3:uid="{39F37D2A-DEC3-49B3-85E3-069E3FF9D702}" name="Column1177"/>
    <tableColumn id="1178" xr3:uid="{4F00FA03-0D12-44A1-BAE0-6749A821888F}" name="Column1178"/>
    <tableColumn id="1179" xr3:uid="{0AC7E43A-74B5-41CE-BC16-B089E3247013}" name="Column1179"/>
    <tableColumn id="1180" xr3:uid="{5F124305-3D6B-4BFE-A496-6F1B305DCB06}" name="Column1180"/>
    <tableColumn id="1181" xr3:uid="{9F6F2442-A635-40AE-B2B2-074592AE3A08}" name="Column1181"/>
    <tableColumn id="1182" xr3:uid="{6B2BD663-2737-42F6-AE2A-E320295DFE7B}" name="Column1182"/>
    <tableColumn id="1183" xr3:uid="{A969D0EB-469E-4266-ADCF-6C18CE584DB9}" name="Column1183"/>
    <tableColumn id="1184" xr3:uid="{F4CB3003-5D59-40A6-942B-00DAB8DEC47C}" name="Column1184"/>
    <tableColumn id="1185" xr3:uid="{A475C993-D1C1-4990-A978-2686E9CE6D18}" name="Column1185"/>
    <tableColumn id="1186" xr3:uid="{E48FF265-1817-4B17-9413-A2C452310609}" name="Column1186"/>
    <tableColumn id="1187" xr3:uid="{69AF1A1D-71BC-4AC7-93C5-51C9B6450E02}" name="Column1187"/>
    <tableColumn id="1188" xr3:uid="{E2AF1524-C479-4E2B-9623-CADD23C53D14}" name="Column1188"/>
    <tableColumn id="1189" xr3:uid="{CCDBB891-D682-4E17-B40A-F2800F0B39E0}" name="Column1189"/>
    <tableColumn id="1190" xr3:uid="{925267F9-70DB-4FA7-8628-880150017E4C}" name="Column1190"/>
    <tableColumn id="1191" xr3:uid="{6B1C48B4-6CFF-47BB-806C-BCE3F5534305}" name="Column1191"/>
    <tableColumn id="1192" xr3:uid="{9ABAFC5C-F9D1-47C0-9FC1-6931DF95384E}" name="Column1192"/>
    <tableColumn id="1193" xr3:uid="{15F3A986-E1CB-4DA8-9264-1EA0583CCA3E}" name="Column1193"/>
    <tableColumn id="1194" xr3:uid="{32495DD8-4407-45A1-B3C7-0BB872D201D0}" name="Column1194"/>
    <tableColumn id="1195" xr3:uid="{D0998C03-4501-4F8A-A299-5DE470B2F025}" name="Column1195"/>
    <tableColumn id="1196" xr3:uid="{971C99FE-373D-40F4-ACC3-21511EA83198}" name="Column1196"/>
    <tableColumn id="1197" xr3:uid="{84EC9751-5814-4713-B629-97F75CDEE8F8}" name="Column1197"/>
    <tableColumn id="1198" xr3:uid="{2C170D36-43AA-4DE4-9B01-86A44CAD54B2}" name="Column1198"/>
    <tableColumn id="1199" xr3:uid="{DB2C1797-FD81-48F6-BACF-D4AA797F0E21}" name="Column1199"/>
    <tableColumn id="1200" xr3:uid="{D81F34D5-0DAE-4EF7-AA5B-7B62D457C6B1}" name="Column1200"/>
    <tableColumn id="1201" xr3:uid="{1A71A4DB-3EC3-4F68-9B02-95A53A321D9C}" name="Column1201"/>
    <tableColumn id="1202" xr3:uid="{6105A63C-4694-4555-9433-4213C6EED689}" name="Column1202"/>
    <tableColumn id="1203" xr3:uid="{07907EA0-25E7-4035-A5CD-1E771652D610}" name="Column1203"/>
    <tableColumn id="1204" xr3:uid="{F8483025-D8C9-49DC-89CC-6F3DFD2CDA89}" name="Column1204"/>
    <tableColumn id="1205" xr3:uid="{50A45E2F-2209-4918-88A7-E71556BE4063}" name="Column1205"/>
    <tableColumn id="1206" xr3:uid="{E4DF44E1-5499-44D1-BA3D-CF669D7DFA45}" name="Column1206"/>
    <tableColumn id="1207" xr3:uid="{3402ABC2-2356-4050-AC0C-49B1CB29B71B}" name="Column1207"/>
    <tableColumn id="1208" xr3:uid="{74D8F644-E94B-4E14-854C-EFDA48A7039E}" name="Column1208"/>
    <tableColumn id="1209" xr3:uid="{E831C723-CB52-4811-BDB1-C29B94547490}" name="Column1209"/>
    <tableColumn id="1210" xr3:uid="{E8589B93-9246-4C25-A718-7A1F1FDF6E44}" name="Column1210"/>
    <tableColumn id="1211" xr3:uid="{75F741A7-D2C2-408F-8480-D6172099505A}" name="Column1211"/>
    <tableColumn id="1212" xr3:uid="{98C80ACD-5F89-4CE6-93B4-2E2F5E5EBA65}" name="Column1212"/>
    <tableColumn id="1213" xr3:uid="{7A431570-FF64-4035-B8D4-BFC74217DE8C}" name="Column1213"/>
    <tableColumn id="1214" xr3:uid="{067B39A0-EB37-45C6-B04A-5F812A976A47}" name="Column1214"/>
    <tableColumn id="1215" xr3:uid="{3EDA0CFD-85A8-4C44-9ADB-56DC80F6FCF6}" name="Column1215"/>
    <tableColumn id="1216" xr3:uid="{9521CD4D-28B7-4418-8BBE-3F352572C741}" name="Column1216"/>
    <tableColumn id="1217" xr3:uid="{3CC70A68-A381-4923-B613-0C0B01B481B9}" name="Column1217"/>
    <tableColumn id="1218" xr3:uid="{9808D8F9-C138-4FB6-AD8D-66B4B8AFE0A6}" name="Column1218"/>
    <tableColumn id="1219" xr3:uid="{A158DD75-B525-4623-9AD7-0C2B64A3084E}" name="Column1219"/>
    <tableColumn id="1220" xr3:uid="{59878A08-01A3-4A09-BE63-DDF86DE2BE02}" name="Column1220"/>
    <tableColumn id="1221" xr3:uid="{B288706D-DBC8-4F8C-812F-079C19DB69BB}" name="Column1221"/>
    <tableColumn id="1222" xr3:uid="{7C45B6C7-3DE4-444D-8481-3972DFC5DAD5}" name="Column1222"/>
    <tableColumn id="1223" xr3:uid="{39C6A5A8-BA48-418B-ADE6-719877A42E54}" name="Column1223"/>
    <tableColumn id="1224" xr3:uid="{1699CAC4-EFDF-4CEE-8117-6CC10A34BE45}" name="Column1224"/>
    <tableColumn id="1225" xr3:uid="{2B1FD188-FAB4-42A6-84F3-78AEC03D3F3D}" name="Column1225"/>
    <tableColumn id="1226" xr3:uid="{78C81192-9540-48C5-B85B-C95601D28DCA}" name="Column1226"/>
    <tableColumn id="1227" xr3:uid="{176DF9C2-7C7B-4A70-875A-5B20FC35D2DC}" name="Column1227"/>
    <tableColumn id="1228" xr3:uid="{20EFE3F3-9122-4AE3-A71B-51080726EA48}" name="Column1228"/>
    <tableColumn id="1229" xr3:uid="{D796CB99-1052-4B3F-907B-D5C59E2A3B53}" name="Column1229"/>
    <tableColumn id="1230" xr3:uid="{0FFAF42E-A79C-4689-8055-684900940CC2}" name="Column1230"/>
    <tableColumn id="1231" xr3:uid="{921BE4B4-C5F2-438E-B18D-F85E3249E919}" name="Column1231"/>
    <tableColumn id="1232" xr3:uid="{A452BDBF-00D9-4943-BCE3-B9E33A9C3DA0}" name="Column1232"/>
    <tableColumn id="1233" xr3:uid="{6640D05F-9827-4336-AA43-8B0CCE6C8271}" name="Column1233"/>
    <tableColumn id="1234" xr3:uid="{5C0F5CED-BB27-43A0-B3C8-0564B4CA9827}" name="Column1234"/>
    <tableColumn id="1235" xr3:uid="{F77D754D-FF88-4305-944A-C593E7365E8B}" name="Column1235"/>
    <tableColumn id="1236" xr3:uid="{869F5023-6367-4B58-9366-E589E91E7DA6}" name="Column1236"/>
    <tableColumn id="1237" xr3:uid="{9F8666E7-0638-4AC6-99CA-D0E358F3E349}" name="Column1237"/>
    <tableColumn id="1238" xr3:uid="{959A2DF3-477B-4548-9640-6B467255DB62}" name="Column1238"/>
    <tableColumn id="1239" xr3:uid="{A172CA84-D0B3-431B-9305-F1C320EF9F63}" name="Column1239"/>
    <tableColumn id="1240" xr3:uid="{656CC874-6C98-4CC1-A6B4-5C2A013E4FA4}" name="Column1240"/>
    <tableColumn id="1241" xr3:uid="{0433B785-8C4D-43BB-A237-F6E0F1236344}" name="Column1241"/>
    <tableColumn id="1242" xr3:uid="{284CAA69-1A81-4631-989F-2A7AA2860965}" name="Column1242"/>
    <tableColumn id="1243" xr3:uid="{37DA3A7B-D046-4714-8794-32817748A41D}" name="Column1243"/>
    <tableColumn id="1244" xr3:uid="{CC421F96-7823-40AA-9ED3-85B699932D68}" name="Column1244"/>
    <tableColumn id="1245" xr3:uid="{30D137E8-96F5-47FC-BCF3-807206393D96}" name="Column1245"/>
    <tableColumn id="1246" xr3:uid="{AD0B599A-5B2C-40EA-8687-3A4018E68464}" name="Column1246"/>
    <tableColumn id="1247" xr3:uid="{18518EED-5D93-414F-8A40-F6441F988E8F}" name="Column1247"/>
    <tableColumn id="1248" xr3:uid="{2FAFF33C-04E5-45D9-914B-104B8AFDA2F6}" name="Column1248"/>
    <tableColumn id="1249" xr3:uid="{849F7C28-F1A4-4F59-8852-FC54347B38C7}" name="Column1249"/>
    <tableColumn id="1250" xr3:uid="{1BB81F21-2E61-4A4E-9E6A-71C1B5298390}" name="Column1250"/>
    <tableColumn id="1251" xr3:uid="{48C15C8E-321C-493A-9C13-64E480986EF2}" name="Column1251"/>
    <tableColumn id="1252" xr3:uid="{A105A3E8-F476-4F06-B813-91B4568C96C1}" name="Column1252"/>
    <tableColumn id="1253" xr3:uid="{DF14DA24-351C-4AED-869E-80EEE20F11FF}" name="Column1253"/>
    <tableColumn id="1254" xr3:uid="{9CACDEF9-B9A6-4752-B267-6C23DA450781}" name="Column1254"/>
    <tableColumn id="1255" xr3:uid="{2E1F8B55-6A04-4912-9092-D4D78BE19B2E}" name="Column1255"/>
    <tableColumn id="1256" xr3:uid="{55402D64-6860-4133-9340-CF4A50D1CB91}" name="Column1256"/>
    <tableColumn id="1257" xr3:uid="{96525F36-6C57-4830-8BA6-DDEAF381CF11}" name="Column1257"/>
    <tableColumn id="1258" xr3:uid="{C0586BD5-5DFC-4F53-9BC8-A739382819E7}" name="Column1258"/>
    <tableColumn id="1259" xr3:uid="{966B9AC0-2471-4545-8A9D-8839760D483A}" name="Column1259"/>
    <tableColumn id="1260" xr3:uid="{65AE4394-E1CB-4A1A-B294-EB337536784C}" name="Column1260"/>
    <tableColumn id="1261" xr3:uid="{C6DDFA77-7124-46FB-9AA2-62FD8D3DA0E0}" name="Column1261"/>
    <tableColumn id="1262" xr3:uid="{C92754F9-366B-48D3-B0F9-81460639FE1D}" name="Column1262"/>
    <tableColumn id="1263" xr3:uid="{184B0B28-4687-4D15-A339-D06020FB01F8}" name="Column1263"/>
    <tableColumn id="1264" xr3:uid="{BDD1583B-E154-4C98-8357-8227FA1DEDB3}" name="Column1264"/>
    <tableColumn id="1265" xr3:uid="{A2E8F0A1-9165-416C-8732-48B0B0D87A18}" name="Column1265"/>
    <tableColumn id="1266" xr3:uid="{2BE30F4E-BD87-47D0-B485-B7E683066374}" name="Column1266"/>
    <tableColumn id="1267" xr3:uid="{C577D371-F23C-4C5B-B004-FB13839035DF}" name="Column1267"/>
    <tableColumn id="1268" xr3:uid="{20CEEE99-59D7-4AB4-9FDB-BC3E2A6E5183}" name="Column1268"/>
    <tableColumn id="1269" xr3:uid="{EB5170AB-12C1-4F2D-87FD-8FDB5DD294C6}" name="Column1269"/>
    <tableColumn id="1270" xr3:uid="{BAC8B2B3-93F2-47E2-AFCD-637592110107}" name="Column1270"/>
    <tableColumn id="1271" xr3:uid="{E1C16780-C18D-4894-9362-DD56F354DC2B}" name="Column1271"/>
    <tableColumn id="1272" xr3:uid="{1DBCA368-78FC-41DF-8B68-9C2D63483164}" name="Column1272"/>
    <tableColumn id="1273" xr3:uid="{3E34E999-60F8-4B53-9F16-6E0FA8776778}" name="Column1273"/>
    <tableColumn id="1274" xr3:uid="{DB509567-9490-40E5-94FD-AF8DF8D34FE0}" name="Column1274"/>
    <tableColumn id="1275" xr3:uid="{CB03F6AA-254C-4799-980B-45C12435F74C}" name="Column1275"/>
    <tableColumn id="1276" xr3:uid="{EF9EAB05-AD11-4867-A8A6-86F8E9FD1CA3}" name="Column1276"/>
    <tableColumn id="1277" xr3:uid="{CFF058C3-323A-47D8-A6BA-527311437B7B}" name="Column1277"/>
    <tableColumn id="1278" xr3:uid="{303E5F87-2D32-4D1B-AD2D-5ED6254BE5D5}" name="Column1278"/>
    <tableColumn id="1279" xr3:uid="{755AF119-F029-4015-B705-46BD9D386FEE}" name="Column1279"/>
    <tableColumn id="1280" xr3:uid="{687F7C6C-A151-48DC-A4E0-AC9CA8036880}" name="Column1280"/>
    <tableColumn id="1281" xr3:uid="{23725342-37AB-4C81-9850-D7F4A9BB34A1}" name="Column1281"/>
    <tableColumn id="1282" xr3:uid="{06823473-B307-4A29-8E31-B2D26218ED6E}" name="Column1282"/>
    <tableColumn id="1283" xr3:uid="{3ED68FDA-FFC1-48FD-91CB-CD8FEBF38796}" name="Column1283"/>
    <tableColumn id="1284" xr3:uid="{D5E4E440-9BA6-4E87-BAF1-8300FE6CFA9E}" name="Column1284"/>
    <tableColumn id="1285" xr3:uid="{B524E659-3582-4158-B090-13D5276A2442}" name="Column1285"/>
    <tableColumn id="1286" xr3:uid="{59BA7ABD-3463-4FC6-AD60-81F7B35DFCF6}" name="Column1286"/>
    <tableColumn id="1287" xr3:uid="{8AC56980-D351-4461-A053-21A485F35C5A}" name="Column1287"/>
    <tableColumn id="1288" xr3:uid="{1A253B84-ACA9-4D34-A054-AD981B014B9B}" name="Column1288"/>
    <tableColumn id="1289" xr3:uid="{68582FD1-C2C5-4A5F-B0B5-B99CFFB4DFFF}" name="Column1289"/>
    <tableColumn id="1290" xr3:uid="{50430B59-4763-48DA-943C-3B0C6B456937}" name="Column1290"/>
    <tableColumn id="1291" xr3:uid="{67EE2423-6732-4038-930E-2B0CCFF21CC1}" name="Column1291"/>
    <tableColumn id="1292" xr3:uid="{8A6CC120-EE98-40A2-B490-425F628A8EAD}" name="Column1292"/>
    <tableColumn id="1293" xr3:uid="{178A5ACE-B798-4E4F-B8B9-9CA035F702CB}" name="Column1293"/>
    <tableColumn id="1294" xr3:uid="{86094697-B3AD-42EC-A02C-862253C837F7}" name="Column1294"/>
    <tableColumn id="1295" xr3:uid="{547311D6-5439-42C9-BC78-40AAC102F0C3}" name="Column1295"/>
    <tableColumn id="1296" xr3:uid="{1BF67CB1-8954-4345-95C5-E34B667C5E80}" name="Column1296"/>
    <tableColumn id="1297" xr3:uid="{9B54C720-21D7-4415-A2C3-5995BE279C4B}" name="Column1297"/>
    <tableColumn id="1298" xr3:uid="{E9BD2D07-F9B2-4A27-94ED-2696CF240CAB}" name="Column1298"/>
    <tableColumn id="1299" xr3:uid="{88F3A549-E4A4-4456-878D-53CFC5B3B8AB}" name="Column1299"/>
    <tableColumn id="1300" xr3:uid="{79B34985-1DE9-455A-A2CE-9B0C8F3EC603}" name="Column1300"/>
    <tableColumn id="1301" xr3:uid="{5AFA0259-DC22-456C-A5B5-C766A72F5E3F}" name="Column1301"/>
    <tableColumn id="1302" xr3:uid="{3CE968CB-F14B-42A4-A82A-A2DBBFD6EED8}" name="Column1302"/>
    <tableColumn id="1303" xr3:uid="{54460516-A136-480F-9A12-E6D9732E1F9E}" name="Column1303"/>
    <tableColumn id="1304" xr3:uid="{B5916D30-DDE6-4FF2-A351-6288F24419B6}" name="Column1304"/>
    <tableColumn id="1305" xr3:uid="{66BAE5D4-38B4-43F9-8796-C04CB2057A95}" name="Column1305"/>
    <tableColumn id="1306" xr3:uid="{2CCE9304-4946-4340-AB50-8300775A2BF6}" name="Column1306"/>
    <tableColumn id="1307" xr3:uid="{79C8FAE0-1AC5-43D7-980D-AA0386522993}" name="Column1307"/>
    <tableColumn id="1308" xr3:uid="{082BD7EE-2DA1-4F6B-8D50-F1F795424942}" name="Column1308"/>
    <tableColumn id="1309" xr3:uid="{FD495F72-63E2-450F-BC8F-DE23C1500E1D}" name="Column1309"/>
    <tableColumn id="1310" xr3:uid="{48B22458-1911-4BE4-8DDC-3C61FAE78BD2}" name="Column1310"/>
    <tableColumn id="1311" xr3:uid="{55053006-2BB2-42DA-A3FA-AB5B5917F3C1}" name="Column1311"/>
    <tableColumn id="1312" xr3:uid="{A65A1249-0634-4E80-AE68-6031728D930E}" name="Column1312"/>
    <tableColumn id="1313" xr3:uid="{D882B965-E580-4AE0-B54F-8F184FDBB5AB}" name="Column1313"/>
    <tableColumn id="1314" xr3:uid="{AB69B1E6-B622-4981-A47C-8F7208575E00}" name="Column1314"/>
    <tableColumn id="1315" xr3:uid="{32662DEB-282B-4FD5-8592-E7E56429CC0B}" name="Column1315"/>
    <tableColumn id="1316" xr3:uid="{E0C14342-1EE1-4FEC-A92E-B484EA3C691C}" name="Column1316"/>
    <tableColumn id="1317" xr3:uid="{37955592-B1B3-450E-A38D-93B8B3CAE2DF}" name="Column1317"/>
    <tableColumn id="1318" xr3:uid="{7FB97418-AB93-4E0D-A07C-2EE868455E9B}" name="Column1318"/>
    <tableColumn id="1319" xr3:uid="{A44B068E-2309-4895-9707-D49838A0CFDF}" name="Column1319"/>
    <tableColumn id="1320" xr3:uid="{F3881961-ECBA-4C75-B4E1-AB77BF81C5E8}" name="Column1320"/>
    <tableColumn id="1321" xr3:uid="{23E3E5D4-B249-47E1-A7B6-BD80EAAD3740}" name="Column1321"/>
    <tableColumn id="1322" xr3:uid="{9B7D68DB-E53E-4AB7-B0BA-A1EA9358AB4E}" name="Column1322"/>
    <tableColumn id="1323" xr3:uid="{A1181F12-2A72-441D-920C-C7531A8C6A1A}" name="Column1323"/>
    <tableColumn id="1324" xr3:uid="{BD190DBF-5EA6-4056-BF01-BBD3A1F9A63A}" name="Column1324"/>
    <tableColumn id="1325" xr3:uid="{F3E43E7C-2D72-4586-A34F-08E4D07F14C8}" name="Column1325"/>
    <tableColumn id="1326" xr3:uid="{45E0BB19-A9FD-44B2-98F1-9E67203C55F6}" name="Column1326"/>
    <tableColumn id="1327" xr3:uid="{9105C9DA-C4D9-48EB-A518-8FF9EAE7FB93}" name="Column1327"/>
    <tableColumn id="1328" xr3:uid="{99D0F46D-B08F-415F-A4CF-863EAC91F6DC}" name="Column1328"/>
    <tableColumn id="1329" xr3:uid="{D4750E2A-BA1A-41CE-9263-B089964D1D06}" name="Column1329"/>
    <tableColumn id="1330" xr3:uid="{051AC36D-21E5-4876-A0A6-DF1CBEBB04CD}" name="Column1330"/>
    <tableColumn id="1331" xr3:uid="{C9A06D67-360F-4D2F-B939-E65B7A5F1EDE}" name="Column1331"/>
    <tableColumn id="1332" xr3:uid="{6BD52EFE-5A8E-4F44-9A33-F6D11DB08633}" name="Column1332"/>
    <tableColumn id="1333" xr3:uid="{D524A48B-6735-4655-8390-4C34C9B99DB7}" name="Column1333"/>
    <tableColumn id="1334" xr3:uid="{D73D416D-63AD-429D-91F9-986B394C0E88}" name="Column1334"/>
    <tableColumn id="1335" xr3:uid="{0B9BE1BB-05FB-466B-A911-70371FC56362}" name="Column1335"/>
    <tableColumn id="1336" xr3:uid="{6F90E360-D650-4C93-818C-40CE90E79550}" name="Column1336"/>
    <tableColumn id="1337" xr3:uid="{632238AB-41F8-4731-87A6-6A8C34F7D4EF}" name="Column1337"/>
    <tableColumn id="1338" xr3:uid="{300DEEA6-D946-4951-B69A-5B6DF979BE4F}" name="Column1338"/>
    <tableColumn id="1339" xr3:uid="{752482CC-ADCF-4BEA-939D-74A22AE71FBE}" name="Column1339"/>
    <tableColumn id="1340" xr3:uid="{E3E7870D-F588-4A24-9601-1A550767FFF5}" name="Column1340"/>
    <tableColumn id="1341" xr3:uid="{703969D0-7592-4611-94BC-18A2A5A5A492}" name="Column1341"/>
    <tableColumn id="1342" xr3:uid="{91A3F0BB-4BFD-4C83-9281-622DF87C76E0}" name="Column1342"/>
    <tableColumn id="1343" xr3:uid="{A3F6B399-4BB8-4316-A275-38F594D00F8E}" name="Column1343"/>
    <tableColumn id="1344" xr3:uid="{BEDFE44F-D90E-4A2A-9FCA-8A40830C97B9}" name="Column1344"/>
    <tableColumn id="1345" xr3:uid="{6F1E2516-9B88-4D39-9AFB-19F297B29104}" name="Column1345"/>
    <tableColumn id="1346" xr3:uid="{D223CD78-3106-4F0A-AE46-0FB4FD44DC79}" name="Column1346"/>
    <tableColumn id="1347" xr3:uid="{DF296CA2-65F9-4F5F-95AF-9BCEFEFBEF82}" name="Column1347"/>
    <tableColumn id="1348" xr3:uid="{98F63645-2A81-4F5A-903E-8491FFC72166}" name="Column1348"/>
    <tableColumn id="1349" xr3:uid="{BBFA88D7-DB8D-4F8C-BC8F-D58097828AD2}" name="Column1349"/>
    <tableColumn id="1350" xr3:uid="{BC08B7C5-E382-4B1F-ABBF-F70BCC2474C0}" name="Column1350"/>
    <tableColumn id="1351" xr3:uid="{B4949E61-87BE-4F0E-B4E0-32F72643B7DA}" name="Column1351"/>
    <tableColumn id="1352" xr3:uid="{CD255605-1827-4183-9BD5-F40932403A20}" name="Column1352"/>
    <tableColumn id="1353" xr3:uid="{3ABC264B-5509-499F-8222-0570D0FEFC61}" name="Column1353"/>
    <tableColumn id="1354" xr3:uid="{062DD396-E30E-4422-9245-8E51C89EED9A}" name="Column1354"/>
    <tableColumn id="1355" xr3:uid="{1BCFE651-7E2C-4FFB-A24A-F1E48A1E4048}" name="Column1355"/>
    <tableColumn id="1356" xr3:uid="{D94A3789-F4F3-4B0D-89E4-4FA594F3ADE8}" name="Column1356"/>
    <tableColumn id="1357" xr3:uid="{8F37464A-6502-4389-82AE-B9F040AC9708}" name="Column1357"/>
    <tableColumn id="1358" xr3:uid="{1AF3E728-63F0-4731-BEDE-45F9CF313C3A}" name="Column1358"/>
    <tableColumn id="1359" xr3:uid="{632BF3B7-8B4A-4726-B9B4-F43C397E20DF}" name="Column1359"/>
    <tableColumn id="1360" xr3:uid="{DA1C85BE-7BB5-48B4-BC6C-BEC469558255}" name="Column1360"/>
    <tableColumn id="1361" xr3:uid="{927225D9-7482-42B1-AE90-035A669ADE52}" name="Column1361"/>
    <tableColumn id="1362" xr3:uid="{1F840CDA-FE2A-4679-AA1F-0CFE13FC5838}" name="Column1362"/>
    <tableColumn id="1363" xr3:uid="{FED80AE6-B4F2-4564-B2EE-C6035C9AACD6}" name="Column1363"/>
    <tableColumn id="1364" xr3:uid="{395B5FFE-8439-4A24-9029-C4C5AF60F413}" name="Column1364"/>
    <tableColumn id="1365" xr3:uid="{9B7B7DCF-C013-4A9C-8B98-2B39E719E7F3}" name="Column1365"/>
    <tableColumn id="1366" xr3:uid="{5ADE64F1-143E-462B-B0C6-C3FEC9C10931}" name="Column1366"/>
    <tableColumn id="1367" xr3:uid="{92769BC8-F318-41F1-9D38-2448448F37CA}" name="Column1367"/>
    <tableColumn id="1368" xr3:uid="{B8CEC350-208B-458E-907F-4C184B0ACB61}" name="Column1368"/>
    <tableColumn id="1369" xr3:uid="{228D67B0-1175-4357-B98A-D6B4CC6728F3}" name="Column1369"/>
    <tableColumn id="1370" xr3:uid="{9127F0A2-5DDC-4761-B3DD-A3730008B6FA}" name="Column1370"/>
    <tableColumn id="1371" xr3:uid="{6F950774-9F53-4803-8E00-F4185779C805}" name="Column1371"/>
    <tableColumn id="1372" xr3:uid="{E04B68A2-1E1D-4235-9091-CA60B868523E}" name="Column1372"/>
    <tableColumn id="1373" xr3:uid="{1B3D7C80-3621-4693-96D7-AB6779114DE3}" name="Column1373"/>
    <tableColumn id="1374" xr3:uid="{7DEE0A00-0387-424E-9780-2C257CEFD87D}" name="Column1374"/>
    <tableColumn id="1375" xr3:uid="{0024EC1D-A93B-47FB-8E27-8F65F38DCC5D}" name="Column1375"/>
    <tableColumn id="1376" xr3:uid="{07EA372A-4046-48EC-8C1D-FCFF510709FF}" name="Column1376"/>
    <tableColumn id="1377" xr3:uid="{C389C242-C1DA-4287-9E83-8D24D9C6103B}" name="Column1377"/>
    <tableColumn id="1378" xr3:uid="{905BFEB2-EC9F-4729-A73E-FC34A9D8AA1C}" name="Column1378"/>
    <tableColumn id="1379" xr3:uid="{8B23733F-38CD-45F7-91F0-EE0807666E7E}" name="Column1379"/>
    <tableColumn id="1380" xr3:uid="{95BE7F3C-4324-44C1-9AED-44BB13417A4B}" name="Column1380"/>
    <tableColumn id="1381" xr3:uid="{2C327380-A6EF-4FFF-8595-F5E10F59522D}" name="Column1381"/>
    <tableColumn id="1382" xr3:uid="{9B546756-44CA-4865-AD8E-3E41AE4EAE7D}" name="Column1382"/>
    <tableColumn id="1383" xr3:uid="{7B0E24BE-6D26-4CE6-9BAA-4AA13865FB1D}" name="Column1383"/>
    <tableColumn id="1384" xr3:uid="{71D31519-DC46-4193-B7F8-6B0AB4D6817C}" name="Column1384"/>
    <tableColumn id="1385" xr3:uid="{A94C17C5-755A-4C83-AB06-149BBC8F09F3}" name="Column1385"/>
    <tableColumn id="1386" xr3:uid="{A54A5542-8B85-4DD7-9DF4-FDDC6FD64E91}" name="Column1386"/>
    <tableColumn id="1387" xr3:uid="{2E87E56D-1927-474E-9BBD-B1466D3A57E7}" name="Column1387"/>
    <tableColumn id="1388" xr3:uid="{50A9EB1A-619D-479F-B501-A26ABCC354AA}" name="Column1388"/>
    <tableColumn id="1389" xr3:uid="{308B8A76-5025-4084-9DFD-88A15A608ECB}" name="Column1389"/>
    <tableColumn id="1390" xr3:uid="{E87A18AA-8222-40E5-ACCA-23D1C27F7A41}" name="Column1390"/>
    <tableColumn id="1391" xr3:uid="{F4D4A98F-1284-4E3F-B886-2DA8B65D1E61}" name="Column1391"/>
    <tableColumn id="1392" xr3:uid="{DDDCFFE2-28D1-4A13-9038-9F0F9C448D7E}" name="Column1392"/>
    <tableColumn id="1393" xr3:uid="{F47BEA7D-32BE-4304-9E77-3F3708EE3FF3}" name="Column1393"/>
    <tableColumn id="1394" xr3:uid="{0FF41CCB-F10A-4D1D-9534-041D407B45ED}" name="Column1394"/>
    <tableColumn id="1395" xr3:uid="{1C8BAC9B-F4A1-4BBD-9882-AE9BA7C4EA33}" name="Column1395"/>
    <tableColumn id="1396" xr3:uid="{90D3BEC2-748B-4F32-BE12-FCE5B4068539}" name="Column1396"/>
    <tableColumn id="1397" xr3:uid="{87A60995-4526-4D15-9D3B-26A202A7D541}" name="Column1397"/>
    <tableColumn id="1398" xr3:uid="{F01872C4-3276-4102-837E-EA22A706B9C4}" name="Column1398"/>
    <tableColumn id="1399" xr3:uid="{D6CB67BD-A5B4-4196-9BA1-442F63EDD22E}" name="Column1399"/>
    <tableColumn id="1400" xr3:uid="{C8259712-F7CC-41B9-B258-008B53CB4FF8}" name="Column1400"/>
    <tableColumn id="1401" xr3:uid="{8652F955-760E-47C2-9D29-CF0136C82519}" name="Column1401"/>
    <tableColumn id="1402" xr3:uid="{072EA2F6-CE04-45F2-B104-8B140D2DC9E1}" name="Column1402"/>
    <tableColumn id="1403" xr3:uid="{04302428-B5D5-4EEA-95CB-C2B9D63C26C1}" name="Column1403"/>
    <tableColumn id="1404" xr3:uid="{850DAFF7-1DA6-44D6-8BAA-3ECBFF61EC53}" name="Column1404"/>
    <tableColumn id="1405" xr3:uid="{58BEF0D2-B195-427D-B9ED-2CC35E037CDF}" name="Column1405"/>
    <tableColumn id="1406" xr3:uid="{0B30A5FD-EE57-4987-8210-AE5F35575637}" name="Column1406"/>
    <tableColumn id="1407" xr3:uid="{5E8E01F2-92CE-4BBA-BC66-2003410A3349}" name="Column1407"/>
    <tableColumn id="1408" xr3:uid="{2B4FBC88-1299-490C-8546-684AAAE7C35B}" name="Column1408"/>
    <tableColumn id="1409" xr3:uid="{BBC515B8-1E4E-413B-A6A1-24256A05EFE5}" name="Column1409"/>
    <tableColumn id="1410" xr3:uid="{C4D25870-C038-41A3-A81D-FD5491FFAB68}" name="Column1410"/>
    <tableColumn id="1411" xr3:uid="{08F4BC40-E360-4519-8F27-046CF08BB95A}" name="Column1411"/>
    <tableColumn id="1412" xr3:uid="{57F631AF-3AD4-4EC8-98EA-843FBE6F7662}" name="Column1412"/>
    <tableColumn id="1413" xr3:uid="{37A2A55D-A42C-4674-A89E-81E9EB935362}" name="Column1413"/>
    <tableColumn id="1414" xr3:uid="{13F54645-9333-4E9D-8507-4C382B77A46D}" name="Column1414"/>
    <tableColumn id="1415" xr3:uid="{0E6F2FB7-FB23-4205-832B-06B9EF45A25E}" name="Column1415"/>
    <tableColumn id="1416" xr3:uid="{B0A10E7D-ED23-4952-B30A-4C54DDFA79AC}" name="Column1416"/>
    <tableColumn id="1417" xr3:uid="{084C4CAC-4E06-4897-B5BF-71913099FF9A}" name="Column1417"/>
    <tableColumn id="1418" xr3:uid="{C89B939E-2A34-4793-9F00-8A5BEA542CF5}" name="Column1418"/>
    <tableColumn id="1419" xr3:uid="{EFF6DEBE-46A6-4959-8355-2C8FE3823254}" name="Column1419"/>
    <tableColumn id="1420" xr3:uid="{6D17DAC8-FB32-4F7C-8B96-19BBBDA4AA81}" name="Column1420"/>
    <tableColumn id="1421" xr3:uid="{276AFC1D-3E44-4D06-816D-F1BF629EDBC9}" name="Column1421"/>
    <tableColumn id="1422" xr3:uid="{2EBF951C-086A-4E3A-8DDA-7CA5D1DC5E7E}" name="Column1422"/>
    <tableColumn id="1423" xr3:uid="{B62AFC53-20A3-4061-A7A9-1C4C8C8DB55C}" name="Column1423"/>
    <tableColumn id="1424" xr3:uid="{86D6C278-F225-4703-8E3C-BD6F65C13A23}" name="Column1424"/>
    <tableColumn id="1425" xr3:uid="{EA98B48B-120A-489B-94E9-79A0C3434A0E}" name="Column1425"/>
    <tableColumn id="1426" xr3:uid="{D1649E05-345D-462E-990A-20D7C38F5238}" name="Column1426"/>
    <tableColumn id="1427" xr3:uid="{B74E5698-CA7B-4D2A-BE70-E3A8ECCE3242}" name="Column1427"/>
    <tableColumn id="1428" xr3:uid="{34B27813-6766-4BEB-A9C3-85852A4AA814}" name="Column1428"/>
    <tableColumn id="1429" xr3:uid="{DB164552-3BBA-4FCA-9EDD-9DA8F737DB9D}" name="Column1429"/>
    <tableColumn id="1430" xr3:uid="{76564248-DED9-4CEA-99DA-08A45062AA09}" name="Column1430"/>
    <tableColumn id="1431" xr3:uid="{19581A7D-9644-422C-AC26-618D18977E4C}" name="Column1431"/>
    <tableColumn id="1432" xr3:uid="{B1159C21-9AAB-4EC6-9316-8D6421C93162}" name="Column1432"/>
    <tableColumn id="1433" xr3:uid="{F3CAD5C9-D9ED-41C9-AE81-EF27C44B886E}" name="Column1433"/>
    <tableColumn id="1434" xr3:uid="{A9FCC999-5088-4950-B3B4-4C1AD1ABC8AD}" name="Column1434"/>
    <tableColumn id="1435" xr3:uid="{A84902B3-34A0-4A3F-A86B-55DBA5CAA05B}" name="Column1435"/>
    <tableColumn id="1436" xr3:uid="{D451BF6A-7FD6-4C19-9DB8-722BC0A2AFAF}" name="Column1436"/>
    <tableColumn id="1437" xr3:uid="{AB78008C-4BFE-4F5F-82EF-EE9A4B00DC0C}" name="Column1437"/>
    <tableColumn id="1438" xr3:uid="{F833549E-9C4A-4D58-B4A1-485372EF3529}" name="Column1438"/>
    <tableColumn id="1439" xr3:uid="{AA0B13CE-A91D-48BE-AC91-0050A23020A3}" name="Column1439"/>
    <tableColumn id="1440" xr3:uid="{2AD40A22-1F99-4E73-9653-58F9AB63B613}" name="Column1440"/>
    <tableColumn id="1441" xr3:uid="{D00CDA1B-F164-4DA7-9BEE-BA1246ED61C1}" name="Column1441"/>
    <tableColumn id="1442" xr3:uid="{04D6EE48-CF37-41B1-B090-9995B8DD6116}" name="Column1442"/>
    <tableColumn id="1443" xr3:uid="{FFE06405-0304-4DB2-B84F-71D6DB8F07D2}" name="Column1443"/>
    <tableColumn id="1444" xr3:uid="{3A99FE6A-278A-4274-B411-62DF86B486C9}" name="Column1444"/>
    <tableColumn id="1445" xr3:uid="{5B4BBEBB-009A-4FED-ADD6-637002B611DB}" name="Column1445"/>
    <tableColumn id="1446" xr3:uid="{AF4AF7BC-10FB-411E-911A-5954EACB41FE}" name="Column1446"/>
    <tableColumn id="1447" xr3:uid="{4009AEAB-3F62-4446-BA1F-E6F56CDC9081}" name="Column1447"/>
    <tableColumn id="1448" xr3:uid="{2C8D2474-23D6-4B25-BE1D-ABC114F40FCC}" name="Column1448"/>
    <tableColumn id="1449" xr3:uid="{09671445-6DB8-4D71-8DC0-EB5FED17CA10}" name="Column1449"/>
    <tableColumn id="1450" xr3:uid="{B27BBBF3-100D-4806-A610-E856DEDB219D}" name="Column1450"/>
    <tableColumn id="1451" xr3:uid="{0D917EAF-36EF-4CF5-B280-54F6E87F692D}" name="Column1451"/>
    <tableColumn id="1452" xr3:uid="{A2501F24-4AD5-43A9-99F1-1C679457B627}" name="Column1452"/>
    <tableColumn id="1453" xr3:uid="{D9346E01-2C3A-4036-8C06-9CB6E02693F6}" name="Column1453"/>
    <tableColumn id="1454" xr3:uid="{DBA59A69-C3F4-4912-8C0A-51EC71093100}" name="Column1454"/>
    <tableColumn id="1455" xr3:uid="{1897BD8A-6184-4133-A6A3-2EC54A436C84}" name="Column1455"/>
    <tableColumn id="1456" xr3:uid="{A52DFF77-115C-4AC3-85B2-37E39E040345}" name="Column1456"/>
    <tableColumn id="1457" xr3:uid="{50F50053-A176-429B-99C9-7E07BA1B13F0}" name="Column1457"/>
    <tableColumn id="1458" xr3:uid="{D0F7DC14-BCEA-4199-ACCD-FACD4158AE7C}" name="Column1458"/>
    <tableColumn id="1459" xr3:uid="{4B9B8934-5DC6-4FA2-9924-DEB85CC1722C}" name="Column1459"/>
    <tableColumn id="1460" xr3:uid="{093D6371-1497-4451-8BE9-0913870BCB77}" name="Column1460"/>
    <tableColumn id="1461" xr3:uid="{4B469112-2B0B-4A91-93F3-6370A7675A40}" name="Column1461"/>
    <tableColumn id="1462" xr3:uid="{ACCA3C6B-0820-4FB4-99C4-6D20B1C365D0}" name="Column1462"/>
    <tableColumn id="1463" xr3:uid="{0F6CA65D-2D8D-4D3B-A51F-20FB07243530}" name="Column1463"/>
    <tableColumn id="1464" xr3:uid="{4638736F-DE42-4496-971C-90B061D33610}" name="Column1464"/>
    <tableColumn id="1465" xr3:uid="{1AB7D323-DCCF-40C9-B200-366698C5E067}" name="Column1465"/>
    <tableColumn id="1466" xr3:uid="{A835E574-9FE1-49A4-9A92-CD9D6E459A6A}" name="Column1466"/>
    <tableColumn id="1467" xr3:uid="{34FCCC7D-6093-4432-BCD8-3DFE4A2FEF4D}" name="Column1467"/>
    <tableColumn id="1468" xr3:uid="{27EC9D07-24CC-4C1D-AD7B-FFE1ADD37D79}" name="Column1468"/>
    <tableColumn id="1469" xr3:uid="{7932F1E7-42D1-4150-A5F4-65F04E1C68BD}" name="Column1469"/>
    <tableColumn id="1470" xr3:uid="{39E9F6FD-C1BE-4E04-AE14-16C8622DC725}" name="Column1470"/>
    <tableColumn id="1471" xr3:uid="{2BD5FA59-FB1F-4C80-AF05-80F2917C23A2}" name="Column1471"/>
    <tableColumn id="1472" xr3:uid="{98CF916B-D003-45B7-A73A-6F89F5FCDA5C}" name="Column1472"/>
    <tableColumn id="1473" xr3:uid="{41B05196-4DB9-463E-BB76-BE918BD8EF6F}" name="Column1473"/>
    <tableColumn id="1474" xr3:uid="{794A8441-8580-47E6-B968-F2CBED7A27F0}" name="Column1474"/>
    <tableColumn id="1475" xr3:uid="{0B577F10-881B-454F-9793-7CB554F353D6}" name="Column1475"/>
    <tableColumn id="1476" xr3:uid="{5A164E49-1839-4F1F-A4F7-6B7DF2E58430}" name="Column1476"/>
    <tableColumn id="1477" xr3:uid="{7AA245CB-1049-489A-8343-87CC9C10341D}" name="Column1477"/>
    <tableColumn id="1478" xr3:uid="{6D80CBA0-9997-40CC-8577-C93DCA113D46}" name="Column1478"/>
    <tableColumn id="1479" xr3:uid="{A6B01272-E03E-4362-B118-7795E324E5C0}" name="Column1479"/>
    <tableColumn id="1480" xr3:uid="{DD793B4B-766B-4E7D-8C12-4D8E70FDF8C0}" name="Column1480"/>
    <tableColumn id="1481" xr3:uid="{F0053331-DB5D-466B-861E-077F87E45AE3}" name="Column1481"/>
    <tableColumn id="1482" xr3:uid="{A7EEC3C5-74DB-492B-B7BD-9F7698B9E59E}" name="Column1482"/>
    <tableColumn id="1483" xr3:uid="{9C63A8C3-AA3C-4211-ABBE-B28E36388B60}" name="Column1483"/>
    <tableColumn id="1484" xr3:uid="{57E2F3A8-3D5B-462A-8401-E3D7B0C53FDF}" name="Column1484"/>
    <tableColumn id="1485" xr3:uid="{78E4DB27-08C8-49BC-9DBA-5D15C23B75DF}" name="Column1485"/>
    <tableColumn id="1486" xr3:uid="{8F89D9C3-643F-45B4-B1A5-4E83F6B05673}" name="Column1486"/>
    <tableColumn id="1487" xr3:uid="{E48E8A5F-4F3D-4933-B7D5-54E67C00E030}" name="Column1487"/>
    <tableColumn id="1488" xr3:uid="{6C4ABEDA-EFCA-44F0-A332-38CAC12CAFDC}" name="Column1488"/>
    <tableColumn id="1489" xr3:uid="{5393693C-D6AF-4B19-91A5-FE755297DE8A}" name="Column1489"/>
    <tableColumn id="1490" xr3:uid="{BA364C00-A909-4665-A83D-1CC0C5C39865}" name="Column1490"/>
    <tableColumn id="1491" xr3:uid="{FE57A985-1482-4B71-A55A-836D80AD7994}" name="Column1491"/>
    <tableColumn id="1492" xr3:uid="{440850B0-B6E7-4571-9895-6E1876B3EDEC}" name="Column1492"/>
    <tableColumn id="1493" xr3:uid="{01B870BB-BA29-4623-BE1B-76AAD7A3DA2E}" name="Column1493"/>
    <tableColumn id="1494" xr3:uid="{CDEBCA86-9298-4050-A91D-CCBF7B326A60}" name="Column1494"/>
    <tableColumn id="1495" xr3:uid="{9357DBB7-1D88-4AAF-882D-7AE579D4C78C}" name="Column1495"/>
    <tableColumn id="1496" xr3:uid="{B2E9ECD2-1CA6-4E48-9B6A-BDED2A2B3399}" name="Column1496"/>
    <tableColumn id="1497" xr3:uid="{3568C618-B8A7-4264-8534-038A79298AC2}" name="Column1497"/>
    <tableColumn id="1498" xr3:uid="{060BF4DA-49E1-4F8B-8D0A-286DB880C6AB}" name="Column1498"/>
    <tableColumn id="1499" xr3:uid="{D4601CD1-32D8-41BF-90A6-9783855CC08C}" name="Column1499"/>
    <tableColumn id="1500" xr3:uid="{83501A19-59B3-4132-9A20-9AC72C01D392}" name="Column1500"/>
    <tableColumn id="1501" xr3:uid="{5CBAA296-AFF7-4B12-BA69-0B2054ACF141}" name="Column1501"/>
    <tableColumn id="1502" xr3:uid="{D15E09B9-872E-4CE1-9299-D4C9281A973B}" name="Column1502"/>
    <tableColumn id="1503" xr3:uid="{D0D4A07A-71D9-4FC4-9811-47FF78BADB4C}" name="Column1503"/>
    <tableColumn id="1504" xr3:uid="{BA216735-37A5-4D10-BE76-21D28A0CC517}" name="Column1504"/>
    <tableColumn id="1505" xr3:uid="{28083520-84BA-4DC6-BB38-671C0BEC94BA}" name="Column1505"/>
    <tableColumn id="1506" xr3:uid="{2CD92042-59FE-4EE3-99F0-1B2706C3312A}" name="Column1506"/>
    <tableColumn id="1507" xr3:uid="{CD19A897-1729-4B95-9861-E2C6CBEFC9E5}" name="Column1507"/>
    <tableColumn id="1508" xr3:uid="{CE767A9C-79AF-4D4D-8DFA-E40F2CBAB50F}" name="Column1508"/>
    <tableColumn id="1509" xr3:uid="{83716138-D2B5-43DA-9C2B-A10FD43DFE05}" name="Column1509"/>
    <tableColumn id="1510" xr3:uid="{0B01DEE9-B7F9-421A-A97E-9D6AFF89EAFE}" name="Column1510"/>
    <tableColumn id="1511" xr3:uid="{C3CE6A07-48A8-470D-AB77-18C41B334A08}" name="Column1511"/>
    <tableColumn id="1512" xr3:uid="{07F13BB9-A169-4E51-B726-F3BEBAA2F2D5}" name="Column1512"/>
    <tableColumn id="1513" xr3:uid="{A0696C5E-A3B7-4ED6-A5E3-71657E7C7CF5}" name="Column1513"/>
    <tableColumn id="1514" xr3:uid="{C7CEA0AB-0283-4653-87AC-FA22209853C7}" name="Column1514"/>
    <tableColumn id="1515" xr3:uid="{D1453A91-1365-49BE-922E-74A09E51A477}" name="Column1515"/>
    <tableColumn id="1516" xr3:uid="{030770A2-7DE5-4E18-9418-E2FF28DFF71C}" name="Column1516"/>
    <tableColumn id="1517" xr3:uid="{ED6D7B43-B449-46B7-83EF-CDDE052FBE9A}" name="Column1517"/>
    <tableColumn id="1518" xr3:uid="{7657429F-BDE8-4FA6-A9B7-CAA025686A58}" name="Column1518"/>
    <tableColumn id="1519" xr3:uid="{E503DB54-6ED5-4F9A-A9FF-93CF90F244CB}" name="Column1519"/>
    <tableColumn id="1520" xr3:uid="{6EEA97E6-8763-41E4-BD7E-04E659A1AEF6}" name="Column1520"/>
    <tableColumn id="1521" xr3:uid="{9632C3AA-BFAD-44D9-9311-B8C97E4B34C3}" name="Column1521"/>
    <tableColumn id="1522" xr3:uid="{34390BD2-6428-4782-93DF-8E6E30BACE73}" name="Column1522"/>
    <tableColumn id="1523" xr3:uid="{029DCF09-B239-4069-9E55-47DB04712B58}" name="Column1523"/>
    <tableColumn id="1524" xr3:uid="{464C1BB2-E968-453C-9ABB-A3EF696333BF}" name="Column1524"/>
    <tableColumn id="1525" xr3:uid="{CC426DFC-CF26-4236-BAA1-A28142D5709D}" name="Column1525"/>
    <tableColumn id="1526" xr3:uid="{53B84158-1A7D-4BB1-9510-5A312A40C6CC}" name="Column1526"/>
    <tableColumn id="1527" xr3:uid="{05E9CC09-08D8-4C7A-AA53-C9C7FF4A331C}" name="Column1527"/>
    <tableColumn id="1528" xr3:uid="{32697148-BE9D-41E6-A6FA-797B5F0C01E9}" name="Column1528"/>
    <tableColumn id="1529" xr3:uid="{BFA86291-F6AF-4DB0-901A-4C4F2673FEDF}" name="Column1529"/>
    <tableColumn id="1530" xr3:uid="{6861F736-F0E5-4085-A2D9-DF74D91D3D2A}" name="Column1530"/>
    <tableColumn id="1531" xr3:uid="{8270AED8-9C76-4E13-952A-E5402BA2AAD5}" name="Column1531"/>
    <tableColumn id="1532" xr3:uid="{CDB36E99-94D8-4E41-B3EB-B799F2C5C624}" name="Column1532"/>
    <tableColumn id="1533" xr3:uid="{D6482372-CEC6-4606-A8A7-A3C3C26899B4}" name="Column1533"/>
    <tableColumn id="1534" xr3:uid="{B0D14437-6729-4482-A76F-9E4BE87B99C4}" name="Column1534"/>
    <tableColumn id="1535" xr3:uid="{B95606A8-2183-451B-AEB9-1B2BF02A0DE6}" name="Column1535"/>
    <tableColumn id="1536" xr3:uid="{DEE88C9A-9F0F-4F48-9132-967386CF4583}" name="Column1536"/>
    <tableColumn id="1537" xr3:uid="{4E185E25-041A-4139-8DBC-4389ED19361A}" name="Column1537"/>
    <tableColumn id="1538" xr3:uid="{2AD898BE-C9F9-4966-AA4F-01DCCE4B47E9}" name="Column1538"/>
    <tableColumn id="1539" xr3:uid="{6B17125B-596D-467A-8CF8-BB76325DA0F9}" name="Column1539"/>
    <tableColumn id="1540" xr3:uid="{0BC83DC2-3B13-461B-8EDF-A2068DA84896}" name="Column1540"/>
    <tableColumn id="1541" xr3:uid="{20B3BA51-5CE3-4372-9BA1-373E1F6A0E97}" name="Column1541"/>
    <tableColumn id="1542" xr3:uid="{0071A902-7B71-449C-8937-03C6EAE1307B}" name="Column1542"/>
    <tableColumn id="1543" xr3:uid="{A916BBAD-8EFB-4BA5-AA03-2F3985A19387}" name="Column1543"/>
    <tableColumn id="1544" xr3:uid="{CACCF88A-BE17-4EE6-AC11-BF7934A8F559}" name="Column1544"/>
    <tableColumn id="1545" xr3:uid="{9BD21768-99AC-49C1-B3DC-7E85F330F211}" name="Column1545"/>
    <tableColumn id="1546" xr3:uid="{9C5899FD-148A-42C1-AF42-0A3E20AFD91E}" name="Column1546"/>
    <tableColumn id="1547" xr3:uid="{6BC35F81-FE42-4249-8F24-70EE68A41F52}" name="Column1547"/>
    <tableColumn id="1548" xr3:uid="{E5F0E115-0550-4718-BA08-1D72443DB229}" name="Column1548"/>
    <tableColumn id="1549" xr3:uid="{B40F25AE-7BB7-473D-9FE1-9BB8C418A889}" name="Column1549"/>
    <tableColumn id="1550" xr3:uid="{B757C138-70AE-4195-A85E-BF5F91B101CF}" name="Column1550"/>
    <tableColumn id="1551" xr3:uid="{67416A9F-761C-4C57-B72E-EB3FA13EF01A}" name="Column1551"/>
    <tableColumn id="1552" xr3:uid="{F4986F02-B623-45C7-8240-C61FE0B7AA0D}" name="Column1552"/>
    <tableColumn id="1553" xr3:uid="{F1904BF2-395F-4295-841F-AFD41743BF0A}" name="Column1553"/>
    <tableColumn id="1554" xr3:uid="{43B2245E-AE2E-4859-99DC-5C36070A706B}" name="Column1554"/>
    <tableColumn id="1555" xr3:uid="{1E49E127-243E-4C94-A029-685A73257F24}" name="Column1555"/>
    <tableColumn id="1556" xr3:uid="{1CAB8009-6AFE-4C02-A9C4-7A4809990121}" name="Column1556"/>
    <tableColumn id="1557" xr3:uid="{C4D450C0-D93F-4E34-A41C-0E5A39AE48EC}" name="Column1557"/>
    <tableColumn id="1558" xr3:uid="{FE8E3EEF-B434-454D-BA80-111CE1D2116E}" name="Column1558"/>
    <tableColumn id="1559" xr3:uid="{F16CEF08-129C-46C7-973F-4DD8238FB986}" name="Column1559"/>
    <tableColumn id="1560" xr3:uid="{2D885C39-0D0F-4DC6-BDDB-C9626A4DBC51}" name="Column1560"/>
    <tableColumn id="1561" xr3:uid="{F0075B75-8CCA-4F32-871B-154A30DA0694}" name="Column1561"/>
    <tableColumn id="1562" xr3:uid="{0E6F9389-736E-4F29-BACF-1808304F2C30}" name="Column1562"/>
    <tableColumn id="1563" xr3:uid="{6DEB6A4B-6F64-4844-AA68-8E5087958E1E}" name="Column1563"/>
    <tableColumn id="1564" xr3:uid="{A39044D4-017E-4F97-8A53-14EBD296D924}" name="Column1564"/>
    <tableColumn id="1565" xr3:uid="{0A565A0D-3AC0-4567-AF5E-0E29AA773D6C}" name="Column1565"/>
    <tableColumn id="1566" xr3:uid="{AE123C1B-925C-41CF-B02C-9B67F87484DA}" name="Column1566"/>
    <tableColumn id="1567" xr3:uid="{45C87B8B-8ABA-4237-ABF1-7FD4976ABBCF}" name="Column1567"/>
    <tableColumn id="1568" xr3:uid="{B6DB43D1-8D8E-42B1-9E50-19C5F6900B2B}" name="Column1568"/>
    <tableColumn id="1569" xr3:uid="{9CC14EFA-9EEB-454D-98A6-BB2129D2122D}" name="Column1569"/>
    <tableColumn id="1570" xr3:uid="{1DD136ED-3ECA-4F5A-A7A2-12BBADBAEA88}" name="Column1570"/>
    <tableColumn id="1571" xr3:uid="{4B4A8103-0F16-4D71-8A55-1A6A3BB85518}" name="Column1571"/>
    <tableColumn id="1572" xr3:uid="{67830A20-57CF-40B0-BD2F-5445D9DE82FE}" name="Column1572"/>
    <tableColumn id="1573" xr3:uid="{D7A989A2-A22D-4BCC-A9ED-624F04C79998}" name="Column1573"/>
    <tableColumn id="1574" xr3:uid="{70CFF73B-0B73-45FC-B997-AB2E9E9B10F1}" name="Column1574"/>
    <tableColumn id="1575" xr3:uid="{55E0C3C9-A750-4E0B-93E2-B2E89ED213AA}" name="Column1575"/>
    <tableColumn id="1576" xr3:uid="{BC0D07A1-B8B6-46E1-B08F-74750FE588E4}" name="Column1576"/>
    <tableColumn id="1577" xr3:uid="{44749290-29BE-4ABC-8FC3-0BF512D90504}" name="Column1577"/>
    <tableColumn id="1578" xr3:uid="{01DFB87A-D1EB-47B7-822E-2FCECB983AFC}" name="Column1578"/>
    <tableColumn id="1579" xr3:uid="{675857EA-E0E7-4591-A519-F263C584BA4F}" name="Column1579"/>
    <tableColumn id="1580" xr3:uid="{E87C52E6-286F-4AB1-84F1-CF5B118BDDFC}" name="Column1580"/>
    <tableColumn id="1581" xr3:uid="{2C962736-E821-410C-A3A8-FA1CE4FC4378}" name="Column1581"/>
    <tableColumn id="1582" xr3:uid="{2D7887A6-48EB-44D7-8120-04896BB86640}" name="Column1582"/>
    <tableColumn id="1583" xr3:uid="{2E2276CE-D1B7-4925-964D-65B29C91123A}" name="Column1583"/>
    <tableColumn id="1584" xr3:uid="{54F9CC4B-CB27-4241-A060-EFA4DC4D0C86}" name="Column1584"/>
    <tableColumn id="1585" xr3:uid="{DACF66D9-9B3F-4E64-A38A-9A4C1A6F58B4}" name="Column1585"/>
    <tableColumn id="1586" xr3:uid="{40CB9ED3-022A-48F3-A595-B5199E948BD1}" name="Column1586"/>
    <tableColumn id="1587" xr3:uid="{51DBB682-40FF-41B0-B9A1-09304CE3BADE}" name="Column1587"/>
    <tableColumn id="1588" xr3:uid="{2013B0E3-CE69-42F6-AC45-859609A7352B}" name="Column1588"/>
    <tableColumn id="1589" xr3:uid="{CA853CC3-FFCD-406D-B105-0EC6A344551C}" name="Column1589"/>
    <tableColumn id="1590" xr3:uid="{1957AEBB-9D1A-4309-B4F2-B01C55C7572A}" name="Column1590"/>
    <tableColumn id="1591" xr3:uid="{D8CC2913-EDFA-47E5-AA00-7BAD4DA772EE}" name="Column1591"/>
    <tableColumn id="1592" xr3:uid="{7153A87A-B0F7-4B60-9CDB-5299B5AB3A6B}" name="Column1592"/>
    <tableColumn id="1593" xr3:uid="{C46C6B5D-72E1-40EE-8329-295ADA9500FA}" name="Column1593"/>
    <tableColumn id="1594" xr3:uid="{B958E4F0-425E-4D9A-9E31-7C6B7EFAEA7A}" name="Column1594"/>
    <tableColumn id="1595" xr3:uid="{A702F4C3-B0A3-4E57-A2AB-AFB25D19E039}" name="Column1595"/>
    <tableColumn id="1596" xr3:uid="{43CA8940-5ED3-433E-AA69-49E85138E86E}" name="Column1596"/>
    <tableColumn id="1597" xr3:uid="{12B335EF-F048-497F-8058-50078662F48D}" name="Column1597"/>
    <tableColumn id="1598" xr3:uid="{DF34E657-F77E-4C07-98A9-7A98F1D1DE57}" name="Column1598"/>
    <tableColumn id="1599" xr3:uid="{0BB1B274-4249-46BA-8F21-1980FBC6F1DA}" name="Column1599"/>
    <tableColumn id="1600" xr3:uid="{CA72A6E5-DA85-47F7-B22A-49AFB389E7E0}" name="Column1600"/>
    <tableColumn id="1601" xr3:uid="{81427DB6-1D9E-4ABB-AE60-8DBF3203BE0B}" name="Column1601"/>
    <tableColumn id="1602" xr3:uid="{7EE96ED9-139F-47F3-8A46-9F2D62C91312}" name="Column1602"/>
    <tableColumn id="1603" xr3:uid="{F8CACFD3-06A9-499E-B575-EE7903ED22F8}" name="Column1603"/>
    <tableColumn id="1604" xr3:uid="{3C9383D8-8DBD-4F77-B318-2EC1FAB47E40}" name="Column1604"/>
    <tableColumn id="1605" xr3:uid="{59C74EDE-00B5-451B-8853-1F35DB3BC833}" name="Column1605"/>
    <tableColumn id="1606" xr3:uid="{4E96D1F1-79C0-46F7-9C6C-6C160D6035C1}" name="Column1606"/>
    <tableColumn id="1607" xr3:uid="{1DB1B80F-3113-4785-915D-043FABF1B268}" name="Column1607"/>
    <tableColumn id="1608" xr3:uid="{7794C3A2-3429-4601-AAD7-CF03BFB29365}" name="Column1608"/>
    <tableColumn id="1609" xr3:uid="{7370EE83-7C8C-4744-B1E0-C9E59BA2986D}" name="Column1609"/>
    <tableColumn id="1610" xr3:uid="{EA1473E1-E154-4761-9DF1-F04450BD79E0}" name="Column1610"/>
    <tableColumn id="1611" xr3:uid="{0ECC1B51-91A8-4339-9577-22F5B69ABFC4}" name="Column1611"/>
    <tableColumn id="1612" xr3:uid="{CEF21F38-AFC2-4190-8D38-FCA64EFAFF6B}" name="Column1612"/>
    <tableColumn id="1613" xr3:uid="{B2423236-B0EF-4631-B4A5-A59B30464C8E}" name="Column1613"/>
    <tableColumn id="1614" xr3:uid="{356EA07E-8A9B-4113-88A6-5EF5075DC3E1}" name="Column1614"/>
    <tableColumn id="1615" xr3:uid="{4AF7DE17-1735-48CA-B5E9-F864BCFCFCC6}" name="Column1615"/>
    <tableColumn id="1616" xr3:uid="{2EE5A0FD-BA46-43C8-B9EC-D8C815745ECC}" name="Column1616"/>
    <tableColumn id="1617" xr3:uid="{A2B40944-28D1-4B5E-8411-4B377ABF4E0D}" name="Column1617"/>
    <tableColumn id="1618" xr3:uid="{DD0F5EA7-6473-40C8-A313-6C75CA0C0BB1}" name="Column1618"/>
    <tableColumn id="1619" xr3:uid="{0C641561-159F-44B8-B6E6-39C73673FCB1}" name="Column1619"/>
    <tableColumn id="1620" xr3:uid="{FAE9D583-7A79-4D1A-B776-65249DF68AD7}" name="Column1620"/>
    <tableColumn id="1621" xr3:uid="{5B28AD1B-119C-44F3-AA12-10BD481AFFC5}" name="Column1621"/>
    <tableColumn id="1622" xr3:uid="{32AD258E-57F1-46DB-B32A-50E58CD40FDD}" name="Column1622"/>
    <tableColumn id="1623" xr3:uid="{E013C90C-EF63-426B-95BA-39775D3A492C}" name="Column1623"/>
    <tableColumn id="1624" xr3:uid="{6499FC10-2FE0-484E-8DD2-9CD1B0FB4827}" name="Column1624"/>
    <tableColumn id="1625" xr3:uid="{784385C8-7873-4D13-91C4-ECA239C3EEB6}" name="Column1625"/>
    <tableColumn id="1626" xr3:uid="{D8339464-A797-428E-A6EA-63AD9BB65AD6}" name="Column1626"/>
    <tableColumn id="1627" xr3:uid="{CA7339BC-284A-4482-81A5-BCBCEA704038}" name="Column1627"/>
    <tableColumn id="1628" xr3:uid="{5B396E55-048F-41FF-91F0-B3ECC5CDD98B}" name="Column1628"/>
    <tableColumn id="1629" xr3:uid="{02A65632-6961-4A1E-B374-0B5D0A33567C}" name="Column1629"/>
    <tableColumn id="1630" xr3:uid="{D16AE64E-2503-4A39-9746-6A6E91308326}" name="Column1630"/>
    <tableColumn id="1631" xr3:uid="{7927A45A-90EA-4E6A-B97A-1BB8E420F830}" name="Column1631"/>
    <tableColumn id="1632" xr3:uid="{A4C8FE09-B6DF-44FC-8F8D-2D4B3B9543D0}" name="Column1632"/>
    <tableColumn id="1633" xr3:uid="{2E1A430D-6923-4C62-A489-A70CBCBFB62A}" name="Column1633"/>
    <tableColumn id="1634" xr3:uid="{D42D4099-3AE5-4E41-8D43-0542A45DB4C4}" name="Column1634"/>
    <tableColumn id="1635" xr3:uid="{D6B83E30-CECF-4A0C-9F4E-768607325187}" name="Column1635"/>
    <tableColumn id="1636" xr3:uid="{5284F3F0-61F4-4284-8179-E075881B3A9D}" name="Column1636"/>
    <tableColumn id="1637" xr3:uid="{007E883C-6E9B-4BF3-BFB5-06BB1EA1CD74}" name="Column1637"/>
    <tableColumn id="1638" xr3:uid="{CC875A19-F449-45C5-B5EE-0C89A3ACCEA1}" name="Column1638"/>
    <tableColumn id="1639" xr3:uid="{72CA6FE1-57BC-49E4-B38E-B65F8E2FBBFB}" name="Column1639"/>
    <tableColumn id="1640" xr3:uid="{464C0B9B-C448-40C7-AC9C-44269DA967FF}" name="Column1640"/>
    <tableColumn id="1641" xr3:uid="{4AA0330D-2133-4A89-84B8-091051CD8F04}" name="Column1641"/>
    <tableColumn id="1642" xr3:uid="{37449ADD-C3A7-4AFF-A390-CD3FA58853C6}" name="Column1642"/>
    <tableColumn id="1643" xr3:uid="{D214A91D-140F-424C-89EE-A9B4C5206381}" name="Column1643"/>
    <tableColumn id="1644" xr3:uid="{ACB284B3-812B-4B0F-9274-FD43252D9421}" name="Column1644"/>
    <tableColumn id="1645" xr3:uid="{A9560F5D-722A-4578-A63B-B7E2B14AF00E}" name="Column1645"/>
    <tableColumn id="1646" xr3:uid="{17105CE1-8509-40A7-9D70-EBFFA60DA77B}" name="Column1646"/>
    <tableColumn id="1647" xr3:uid="{F657BC2A-C8A0-4305-A053-E6061AF0A3A3}" name="Column1647"/>
    <tableColumn id="1648" xr3:uid="{9E54D472-4FF2-401E-9BA4-BD976E4FC3D8}" name="Column1648"/>
    <tableColumn id="1649" xr3:uid="{D00DB297-2D93-494D-B280-211ABF0F91CC}" name="Column1649"/>
    <tableColumn id="1650" xr3:uid="{288EF1DC-D12C-4C5E-B3DA-6B1B70A3A29F}" name="Column1650"/>
    <tableColumn id="1651" xr3:uid="{5E1258AB-9344-4888-82A6-AD43FFA46C31}" name="Column1651"/>
    <tableColumn id="1652" xr3:uid="{64F3D1CB-3C9D-422F-8CB1-049C0D4FD334}" name="Column1652"/>
    <tableColumn id="1653" xr3:uid="{CDBF5A9B-553D-434D-ADA4-9083ABD95861}" name="Column1653"/>
    <tableColumn id="1654" xr3:uid="{4987D886-A8CB-47EB-835E-F916614EEA0C}" name="Column1654"/>
    <tableColumn id="1655" xr3:uid="{03E58F5A-671C-4085-A97F-0A464528AF47}" name="Column1655"/>
    <tableColumn id="1656" xr3:uid="{4AE80191-E23E-4F37-82FA-F90BF698115A}" name="Column1656"/>
    <tableColumn id="1657" xr3:uid="{8AE8D2A2-A217-4843-965C-75CA8B12B089}" name="Column1657"/>
    <tableColumn id="1658" xr3:uid="{7D1CA4B4-B6A1-4D63-B4FF-C7A518796ED5}" name="Column1658"/>
    <tableColumn id="1659" xr3:uid="{41C9AFC5-6F1A-47C8-A2B7-BA9CE5BA3FF5}" name="Column1659"/>
    <tableColumn id="1660" xr3:uid="{55DBEE49-DF5E-4B25-8BDA-C2C1CEA03182}" name="Column1660"/>
    <tableColumn id="1661" xr3:uid="{F341A256-B121-4044-9085-7E54A397AA5C}" name="Column1661"/>
    <tableColumn id="1662" xr3:uid="{1B59CCFB-9641-4B9D-9763-A8DCA3076FD1}" name="Column1662"/>
    <tableColumn id="1663" xr3:uid="{6864003D-1E8A-4F0F-87B8-2D760940516F}" name="Column1663"/>
    <tableColumn id="1664" xr3:uid="{8E48525A-A11F-4E09-B7EA-27AC327EE868}" name="Column1664"/>
    <tableColumn id="1665" xr3:uid="{4086136F-7980-4C36-9D62-6D9475578747}" name="Column1665"/>
    <tableColumn id="1666" xr3:uid="{3585400B-1160-4C51-A0A5-761ECA71C033}" name="Column1666"/>
    <tableColumn id="1667" xr3:uid="{5026AE30-AA78-4F8D-9422-6FE27E9DFD8A}" name="Column1667"/>
    <tableColumn id="1668" xr3:uid="{10599E18-C8D4-4FCE-855F-8A134898BDC4}" name="Column1668"/>
    <tableColumn id="1669" xr3:uid="{2B8895A4-60B0-4CCE-A5DF-F94A81572A1B}" name="Column1669"/>
    <tableColumn id="1670" xr3:uid="{6AAC6C59-D6EF-4763-BDCF-5EF347FBBF57}" name="Column1670"/>
    <tableColumn id="1671" xr3:uid="{01018EE3-43E9-4E41-9B9F-ED2EE7A360C9}" name="Column1671"/>
    <tableColumn id="1672" xr3:uid="{1B11BA15-F50D-489A-8447-A0095A4D2D3D}" name="Column1672"/>
    <tableColumn id="1673" xr3:uid="{26CD83E3-DAF5-4992-97AB-8CCE8858BD88}" name="Column1673"/>
    <tableColumn id="1674" xr3:uid="{0EBA444A-CCA9-4DA3-AE79-32C76B9701B6}" name="Column1674"/>
    <tableColumn id="1675" xr3:uid="{8D69C9DA-F847-4BD3-87FC-1031F7D03F61}" name="Column1675"/>
    <tableColumn id="1676" xr3:uid="{D77BDE57-2F32-41B0-B295-F9AA57E359D6}" name="Column1676"/>
    <tableColumn id="1677" xr3:uid="{E33E3989-0571-4459-B4A1-023A7D34E2DD}" name="Column1677"/>
    <tableColumn id="1678" xr3:uid="{465834A8-173D-4A6E-A770-3982FAC5AF28}" name="Column1678"/>
    <tableColumn id="1679" xr3:uid="{99236A27-0464-4989-8ACE-4CA5C252302F}" name="Column1679"/>
    <tableColumn id="1680" xr3:uid="{914ED8CB-C0D3-4A64-A664-D24F4C856DA6}" name="Column1680"/>
    <tableColumn id="1681" xr3:uid="{262A28EC-E0B5-40CB-98B8-3C787B3F263F}" name="Column1681"/>
    <tableColumn id="1682" xr3:uid="{561365F2-E13B-4949-966C-8430FBC8B858}" name="Column1682"/>
    <tableColumn id="1683" xr3:uid="{CDD2F3EF-52F6-4047-B7F5-8EB9671BFCD2}" name="Column1683"/>
    <tableColumn id="1684" xr3:uid="{D1E4E23A-E2BF-498F-892F-BFDFBFE60714}" name="Column1684"/>
    <tableColumn id="1685" xr3:uid="{964A3FC3-7A67-4F29-AA93-514EA1C2A166}" name="Column1685"/>
    <tableColumn id="1686" xr3:uid="{DEAAD230-9572-4474-9377-C38F16F48C6D}" name="Column1686"/>
    <tableColumn id="1687" xr3:uid="{EDE0DA8E-FF19-4719-A798-6CEF871D02EA}" name="Column1687"/>
    <tableColumn id="1688" xr3:uid="{D67FF93A-5C02-4843-9811-A479B1302920}" name="Column1688"/>
    <tableColumn id="1689" xr3:uid="{D9A1FDB4-BE40-4F57-8C67-268F2F7AC4FB}" name="Column1689"/>
    <tableColumn id="1690" xr3:uid="{8F1BE6EC-D4A2-426E-9D1A-2368E50F1FF5}" name="Column1690"/>
    <tableColumn id="1691" xr3:uid="{1E630AB1-079B-4BA8-B6EA-F9C433666056}" name="Column1691"/>
    <tableColumn id="1692" xr3:uid="{51453386-7E1E-4432-A159-81D627D1EE51}" name="Column1692"/>
    <tableColumn id="1693" xr3:uid="{8FFCF744-E334-4079-B075-9942EE11C5E7}" name="Column1693"/>
    <tableColumn id="1694" xr3:uid="{DDF708A7-651E-4619-89EE-B6E82394A704}" name="Column1694"/>
    <tableColumn id="1695" xr3:uid="{25CBB132-CC57-457D-817B-264A3AD58639}" name="Column1695"/>
    <tableColumn id="1696" xr3:uid="{5093D1E2-BF3C-46B3-B809-D8FE9BB77194}" name="Column1696"/>
    <tableColumn id="1697" xr3:uid="{B160397C-C9E7-421C-ABF8-D819887A3D7F}" name="Column1697"/>
    <tableColumn id="1698" xr3:uid="{9D7134EB-EE5A-4470-8A47-D1AFCEAA0984}" name="Column1698"/>
    <tableColumn id="1699" xr3:uid="{3AD03845-6A0B-4CAE-B7FC-4CD2D699F1DB}" name="Column1699"/>
    <tableColumn id="1700" xr3:uid="{AC6D2CF6-AED9-46AF-A74A-90E5D911D498}" name="Column1700"/>
    <tableColumn id="1701" xr3:uid="{D9D24C4B-9639-49BD-92DC-42FA4872EE55}" name="Column1701"/>
    <tableColumn id="1702" xr3:uid="{05012BEC-8868-4891-9850-9EFED96BC7BE}" name="Column1702"/>
    <tableColumn id="1703" xr3:uid="{B6860D51-2A09-44DB-9A8E-574301CE7C1D}" name="Column1703"/>
    <tableColumn id="1704" xr3:uid="{9A96B70D-00E7-429C-8824-58C23B6D9789}" name="Column1704"/>
    <tableColumn id="1705" xr3:uid="{E8E046E8-D5F5-4071-8F40-ACDB61122273}" name="Column1705"/>
    <tableColumn id="1706" xr3:uid="{E41469D8-AA81-4BA7-91A3-D3D531DCB8F2}" name="Column1706"/>
    <tableColumn id="1707" xr3:uid="{1879BBAC-874C-48B7-AA47-0B3013668526}" name="Column1707"/>
    <tableColumn id="1708" xr3:uid="{475E4450-F2F3-4FB0-82A6-8CBFE8FCDDCA}" name="Column1708"/>
    <tableColumn id="1709" xr3:uid="{4A5AABF4-7945-4097-84B6-18FEA44477A2}" name="Column1709"/>
    <tableColumn id="1710" xr3:uid="{38B21002-D98E-4189-B761-D5595C8D5B8A}" name="Column1710"/>
    <tableColumn id="1711" xr3:uid="{ED2E06EB-36B5-4190-B248-0A48F734416E}" name="Column1711"/>
    <tableColumn id="1712" xr3:uid="{B9B5F9D8-7166-4D6D-A369-21A489266830}" name="Column1712"/>
    <tableColumn id="1713" xr3:uid="{FCD08F25-B4EA-4839-A0CF-75DCE864F5D3}" name="Column1713"/>
    <tableColumn id="1714" xr3:uid="{9ED0DDDC-F2C3-4DF9-8D7D-1F381DA3065D}" name="Column1714"/>
    <tableColumn id="1715" xr3:uid="{7729D3B2-FDB3-465A-B7B4-E37B20AE3268}" name="Column1715"/>
    <tableColumn id="1716" xr3:uid="{29BC89ED-E496-4622-94A9-E39F7434EBBB}" name="Column1716"/>
    <tableColumn id="1717" xr3:uid="{E1503408-4A25-4C11-9226-294E107E22C2}" name="Column1717"/>
    <tableColumn id="1718" xr3:uid="{61BBF41D-1358-410E-BFBC-A6937AAD6678}" name="Column1718"/>
    <tableColumn id="1719" xr3:uid="{1974DDE2-D5CD-4473-AABE-8ADA2B2A0030}" name="Column1719"/>
    <tableColumn id="1720" xr3:uid="{5B7CEFDD-2911-4268-BE71-9DD9415B179D}" name="Column1720"/>
    <tableColumn id="1721" xr3:uid="{18248036-95AD-4327-AD60-6173D6F3E186}" name="Column1721"/>
    <tableColumn id="1722" xr3:uid="{DDB60AF1-EAEE-44CA-830A-34D3221F6403}" name="Column1722"/>
    <tableColumn id="1723" xr3:uid="{675ECAFB-341F-4B48-92C0-5FACA16F4C23}" name="Column1723"/>
    <tableColumn id="1724" xr3:uid="{1DF05253-A21B-4A6C-B824-E9AD25D8EE24}" name="Column1724"/>
    <tableColumn id="1725" xr3:uid="{371CE56E-62A4-4144-83ED-4CD5F846C272}" name="Column1725"/>
    <tableColumn id="1726" xr3:uid="{DE22FF59-65DD-4E09-9F27-CCBE5D469122}" name="Column1726"/>
    <tableColumn id="1727" xr3:uid="{EE55D0C2-C862-4C6C-8EC7-70D0A981E011}" name="Column1727"/>
    <tableColumn id="1728" xr3:uid="{3C73C772-C98A-41D3-8A3B-A148C883582F}" name="Column1728"/>
    <tableColumn id="1729" xr3:uid="{AA5FBBBA-AA57-44F7-89F5-CA350CC05991}" name="Column1729"/>
    <tableColumn id="1730" xr3:uid="{DEC9C7C2-A8D4-4592-8C12-E28E4D848C30}" name="Column1730"/>
    <tableColumn id="1731" xr3:uid="{6A6F6E0E-D2EB-41D2-8F33-FF43100982E1}" name="Column1731"/>
    <tableColumn id="1732" xr3:uid="{EECC94A3-7DF4-4865-85AD-B12BB09FC339}" name="Column1732"/>
    <tableColumn id="1733" xr3:uid="{B0C6433F-5FDA-4081-BB18-1B218307DED3}" name="Column1733"/>
    <tableColumn id="1734" xr3:uid="{AE0CF2A4-9AB2-442C-A8ED-EFCCB7C3052D}" name="Column1734"/>
    <tableColumn id="1735" xr3:uid="{A8EE0C01-8A23-4853-A46B-9B4F548DD5C8}" name="Column1735"/>
    <tableColumn id="1736" xr3:uid="{60BBB8E0-40F5-41DA-B291-CB7D900A9194}" name="Column1736"/>
    <tableColumn id="1737" xr3:uid="{6D5E41E9-2505-4315-A78F-3194124EE3AD}" name="Column1737"/>
    <tableColumn id="1738" xr3:uid="{92DE8D06-AFA5-48F2-906B-A0A5BCC6DCF6}" name="Column1738"/>
    <tableColumn id="1739" xr3:uid="{6ADE79C4-9AA6-4C34-A44A-0ED8F8A81591}" name="Column1739"/>
    <tableColumn id="1740" xr3:uid="{27A70D81-3F51-4923-92B5-EF878F15E435}" name="Column1740"/>
    <tableColumn id="1741" xr3:uid="{62AFE751-DC91-4976-B354-3FA42D58EC2D}" name="Column1741"/>
    <tableColumn id="1742" xr3:uid="{7B432252-9726-4B37-8AFF-17E532E7C758}" name="Column1742"/>
    <tableColumn id="1743" xr3:uid="{B170F5F6-5593-4D39-9054-A598C4C544E8}" name="Column1743"/>
    <tableColumn id="1744" xr3:uid="{EC99E653-7F05-4851-80B3-5CE75BE0FDE8}" name="Column1744"/>
    <tableColumn id="1745" xr3:uid="{B83E6AC9-CF76-4264-BCA4-FC576DF47463}" name="Column1745"/>
    <tableColumn id="1746" xr3:uid="{D1E7AFDE-CF73-44A3-9FF1-8D90598C62D7}" name="Column1746"/>
    <tableColumn id="1747" xr3:uid="{48B99470-FA5B-447B-8EC3-64DD1E4A4BAB}" name="Column1747"/>
    <tableColumn id="1748" xr3:uid="{600F10A8-73E2-492C-A762-9D12A5F7EA21}" name="Column1748"/>
    <tableColumn id="1749" xr3:uid="{B268C612-EB93-4BB0-9520-C8242CE64211}" name="Column1749"/>
    <tableColumn id="1750" xr3:uid="{C231704F-D736-4BD4-BFD3-35A86BF1C8EC}" name="Column1750"/>
    <tableColumn id="1751" xr3:uid="{A5B6EFC3-91B0-4069-91D4-EB24B17CDAC9}" name="Column1751"/>
    <tableColumn id="1752" xr3:uid="{59A1903E-31A1-45DE-BBA6-C466A96AEF97}" name="Column1752"/>
    <tableColumn id="1753" xr3:uid="{A93CCA1C-A38B-45FA-B72D-F459392ECF0D}" name="Column1753"/>
    <tableColumn id="1754" xr3:uid="{9D117949-1FEE-437D-8955-B3B43181BC1C}" name="Column1754"/>
    <tableColumn id="1755" xr3:uid="{CD72087D-4914-4AD9-98F4-517748ED0A53}" name="Column1755"/>
    <tableColumn id="1756" xr3:uid="{BAFE3D33-263A-4C25-825D-76AAD38B2739}" name="Column1756"/>
    <tableColumn id="1757" xr3:uid="{E4C0049D-6341-49BC-8D7A-A6936B7B5255}" name="Column1757"/>
    <tableColumn id="1758" xr3:uid="{DD995F94-641A-4589-A522-902302F87EEC}" name="Column1758"/>
    <tableColumn id="1759" xr3:uid="{4D086C3C-6314-4E48-BA31-872AC45F3049}" name="Column1759"/>
    <tableColumn id="1760" xr3:uid="{B8657062-8277-46FC-884C-7A51F20B7F85}" name="Column1760"/>
    <tableColumn id="1761" xr3:uid="{E39ECA73-789D-4B72-BBF7-E51DB7574830}" name="Column1761"/>
    <tableColumn id="1762" xr3:uid="{22668D16-99E5-40CD-A04A-825458D3F95A}" name="Column1762"/>
    <tableColumn id="1763" xr3:uid="{E8472B2E-330E-43BE-9CC5-4430241E41E3}" name="Column1763"/>
    <tableColumn id="1764" xr3:uid="{8F6EE402-3C0F-4FBE-AFF3-81F5CDBD6B3A}" name="Column1764"/>
    <tableColumn id="1765" xr3:uid="{542BE628-D1B0-4339-8612-A561E0D8D813}" name="Column1765"/>
    <tableColumn id="1766" xr3:uid="{2CB2427A-A7D3-45CA-8A4C-AB7979019D80}" name="Column1766"/>
    <tableColumn id="1767" xr3:uid="{89AB8D5C-C745-4679-8B21-D5C7CACD001C}" name="Column1767"/>
    <tableColumn id="1768" xr3:uid="{FADA3B1E-47EB-4076-99DF-F82F6900D00D}" name="Column1768"/>
    <tableColumn id="1769" xr3:uid="{AF983368-CA65-4D09-9CD6-1FB77648BE50}" name="Column1769"/>
    <tableColumn id="1770" xr3:uid="{37B2E5C8-469F-45CE-A33F-53539100BD97}" name="Column1770"/>
    <tableColumn id="1771" xr3:uid="{D359E0C6-08F3-477D-8D8D-78E7A3E1B716}" name="Column1771"/>
    <tableColumn id="1772" xr3:uid="{30F72A0B-A381-478D-BB1A-7E0DA667252F}" name="Column1772"/>
    <tableColumn id="1773" xr3:uid="{3C4FB923-BE90-4276-8CAB-E1EB9B01EAF4}" name="Column1773"/>
    <tableColumn id="1774" xr3:uid="{8B800013-B4A6-4EFD-A808-C83028A61D78}" name="Column1774"/>
    <tableColumn id="1775" xr3:uid="{CEE29823-CB3B-48DB-8B4F-588193422546}" name="Column1775"/>
    <tableColumn id="1776" xr3:uid="{CBBD7C27-057D-4C03-A4FA-6405C60BDCF6}" name="Column1776"/>
    <tableColumn id="1777" xr3:uid="{AE3B8751-1871-4228-BBC6-B9B05B3DE00F}" name="Column1777"/>
    <tableColumn id="1778" xr3:uid="{3D58C31C-4446-4720-8C2C-53D9B258A897}" name="Column1778"/>
    <tableColumn id="1779" xr3:uid="{48ED1A1B-32EF-407D-A98D-0BDB0E2804F3}" name="Column1779"/>
    <tableColumn id="1780" xr3:uid="{BFC91DB0-3BF8-436D-A223-4876D3D7F16E}" name="Column1780"/>
    <tableColumn id="1781" xr3:uid="{600D3270-7DD8-46DE-AC8D-48EB2CC719C0}" name="Column1781"/>
    <tableColumn id="1782" xr3:uid="{E19470D1-0D2C-4E1F-81C9-776EA0DBA3E8}" name="Column1782"/>
    <tableColumn id="1783" xr3:uid="{F9A5958D-DE5C-4B1F-B24A-54E059F0F8F3}" name="Column1783"/>
    <tableColumn id="1784" xr3:uid="{171A1E51-9EB6-4DF2-AD54-8B9A0EDCC23C}" name="Column1784"/>
    <tableColumn id="1785" xr3:uid="{505DAB8A-D809-4075-ABBA-70B8B35D43BD}" name="Column1785"/>
    <tableColumn id="1786" xr3:uid="{2B7B6868-1605-4D1D-BB52-13972784B152}" name="Column1786"/>
    <tableColumn id="1787" xr3:uid="{3CA41E0C-A21B-458F-8C30-AC1F7620453A}" name="Column1787"/>
    <tableColumn id="1788" xr3:uid="{64E64545-7551-4ACF-A4E5-A6B7DBE0EFC2}" name="Column1788"/>
    <tableColumn id="1789" xr3:uid="{D4F0DDAF-89B7-4A50-BA69-2C787931F7A4}" name="Column1789"/>
    <tableColumn id="1790" xr3:uid="{747E617B-593D-4F0D-8BED-57BA7ACB6DD1}" name="Column1790"/>
    <tableColumn id="1791" xr3:uid="{D84F3E90-9ED0-4551-A00C-3838F4F71F45}" name="Column1791"/>
    <tableColumn id="1792" xr3:uid="{C569B4A5-2EB0-4270-A34B-9E9B2D6BAE03}" name="Column1792"/>
    <tableColumn id="1793" xr3:uid="{662E708D-0ED7-48CE-9BA8-60ADD7071EC1}" name="Column1793"/>
    <tableColumn id="1794" xr3:uid="{E03658DE-1994-4055-A7C5-B80F6729C518}" name="Column1794"/>
    <tableColumn id="1795" xr3:uid="{701D5237-C849-41DF-8722-2A4F2518628E}" name="Column1795"/>
    <tableColumn id="1796" xr3:uid="{3024EBEC-A249-4AED-BC4E-EA18F2ED5E41}" name="Column1796"/>
    <tableColumn id="1797" xr3:uid="{DF3C7D71-9A52-4B06-AD1A-385C792FCD9A}" name="Column1797"/>
    <tableColumn id="1798" xr3:uid="{75504BEF-DD5D-448C-8094-4D4AD441A488}" name="Column1798"/>
    <tableColumn id="1799" xr3:uid="{FD5F8C73-D9CB-489C-9466-B9F023B2CA15}" name="Column1799"/>
    <tableColumn id="1800" xr3:uid="{68FB6357-62A2-4F25-9810-07CA8CAAB286}" name="Column1800"/>
    <tableColumn id="1801" xr3:uid="{C4C31686-D807-4A15-A6FC-52E2352EB815}" name="Column1801"/>
    <tableColumn id="1802" xr3:uid="{CDB8A521-B839-4A3B-AD72-DB718F3748DD}" name="Column1802"/>
    <tableColumn id="1803" xr3:uid="{2CC9FB81-6212-4FCE-AAD0-BAF2CD70068C}" name="Column1803"/>
    <tableColumn id="1804" xr3:uid="{A50A64DC-1A62-4902-9A3E-C23A1695BE4D}" name="Column1804"/>
    <tableColumn id="1805" xr3:uid="{3BE281BF-4394-446A-91B4-ACB6855CB01E}" name="Column1805"/>
    <tableColumn id="1806" xr3:uid="{F1586850-E4AC-4973-8115-26F6460BE439}" name="Column1806"/>
    <tableColumn id="1807" xr3:uid="{AB37F251-480C-486A-8FE4-CA8B22D8EDB7}" name="Column1807"/>
    <tableColumn id="1808" xr3:uid="{8B53E5E1-B0C1-4001-B0F7-1A474F119991}" name="Column1808"/>
    <tableColumn id="1809" xr3:uid="{AD26EAAC-2BE4-4614-8D04-909550FD17E6}" name="Column1809"/>
    <tableColumn id="1810" xr3:uid="{DDAB5646-B795-4D25-AC46-0F5FFA83E189}" name="Column1810"/>
    <tableColumn id="1811" xr3:uid="{44C53709-C9FD-4E09-9744-D731725904FA}" name="Column1811"/>
    <tableColumn id="1812" xr3:uid="{28D3F499-4D5C-46D9-A1AB-8542377C6AC9}" name="Column1812"/>
    <tableColumn id="1813" xr3:uid="{3F2ACB2F-B147-4393-91AE-DE55AB916745}" name="Column1813"/>
    <tableColumn id="1814" xr3:uid="{113490FD-AFB5-4C5E-A8FA-719FD27CE056}" name="Column1814"/>
    <tableColumn id="1815" xr3:uid="{72C12B8F-2646-48DA-B216-498200EF5083}" name="Column1815"/>
    <tableColumn id="1816" xr3:uid="{1500DA70-70F7-429B-B592-76251920D630}" name="Column1816"/>
    <tableColumn id="1817" xr3:uid="{E6A84658-A7EC-4667-A40A-12866A543A22}" name="Column1817"/>
    <tableColumn id="1818" xr3:uid="{F14AF7BB-00D1-427C-9304-61383A68C3F9}" name="Column1818"/>
    <tableColumn id="1819" xr3:uid="{96DDE02A-9178-47DE-99D3-B58DE331DC08}" name="Column1819"/>
    <tableColumn id="1820" xr3:uid="{4BBED52C-6DFF-4E75-8D3E-F9DE20D057EE}" name="Column1820"/>
    <tableColumn id="1821" xr3:uid="{63EF078A-541A-4939-9344-527738174661}" name="Column1821"/>
    <tableColumn id="1822" xr3:uid="{FF720767-F9F4-4772-B685-9F9B34D4D9EE}" name="Column1822"/>
    <tableColumn id="1823" xr3:uid="{37B6B687-A47F-48A1-B219-8EB26DFB7E40}" name="Column1823"/>
    <tableColumn id="1824" xr3:uid="{B020BAF5-BF02-4817-A87D-093CF0DC4BF3}" name="Column1824"/>
    <tableColumn id="1825" xr3:uid="{04C282B6-39B9-4C2D-80EC-7FDE70FB3CCB}" name="Column1825"/>
    <tableColumn id="1826" xr3:uid="{0712A02D-BEFE-4600-9471-28B0621A7D18}" name="Column1826"/>
    <tableColumn id="1827" xr3:uid="{C5D4DAB0-2F72-4AD5-85F1-508FEEA3DC44}" name="Column1827"/>
    <tableColumn id="1828" xr3:uid="{6A2C30AB-9F44-4080-ACA2-1D24593A60F7}" name="Column1828"/>
    <tableColumn id="1829" xr3:uid="{AFDD218E-8182-4B9C-8453-6F152E303222}" name="Column1829"/>
    <tableColumn id="1830" xr3:uid="{0FF150C7-F300-462D-86B8-7383F0357E2F}" name="Column1830"/>
    <tableColumn id="1831" xr3:uid="{D48629EA-FEC5-4DC6-90F1-4ACB71EC87F7}" name="Column1831"/>
    <tableColumn id="1832" xr3:uid="{56795226-6119-4CF7-9B00-EF526C70C299}" name="Column1832"/>
    <tableColumn id="1833" xr3:uid="{089B064D-471D-4A5B-B083-879894790759}" name="Column1833"/>
    <tableColumn id="1834" xr3:uid="{A3EC6C2A-D6B2-4346-9CDD-B6EE2EDC4D82}" name="Column1834"/>
    <tableColumn id="1835" xr3:uid="{EAF306F0-0B43-468E-BC2F-DCA39818C4D2}" name="Column1835"/>
    <tableColumn id="1836" xr3:uid="{D07C68CC-6972-45D8-91B6-5DE6F5FF428B}" name="Column1836"/>
    <tableColumn id="1837" xr3:uid="{5A797E45-5BBC-46BB-BD90-BDA957714899}" name="Column1837"/>
    <tableColumn id="1838" xr3:uid="{6E480F28-1AB7-4C29-A497-01E870879425}" name="Column1838"/>
    <tableColumn id="1839" xr3:uid="{B2D27EBD-2E6F-4E65-B852-88D5B82C87F3}" name="Column1839"/>
    <tableColumn id="1840" xr3:uid="{8FE3EEE2-5D29-419F-BB80-3B38FC7A06EF}" name="Column1840"/>
    <tableColumn id="1841" xr3:uid="{8378FC60-C95A-4580-838E-27D9114E5396}" name="Column1841"/>
    <tableColumn id="1842" xr3:uid="{8D446028-0737-40B7-A594-590D08934FAF}" name="Column1842"/>
    <tableColumn id="1843" xr3:uid="{8367CF4D-E379-4D9B-AE0F-67EBA92F5DA7}" name="Column1843"/>
    <tableColumn id="1844" xr3:uid="{8F55DF18-0797-4785-845A-1DEABC1F3463}" name="Column1844"/>
    <tableColumn id="1845" xr3:uid="{45255200-90AD-4105-9992-79D48C2FC575}" name="Column1845"/>
    <tableColumn id="1846" xr3:uid="{7286507E-A7FA-42B4-8AE8-E1FB2C517C42}" name="Column1846"/>
    <tableColumn id="1847" xr3:uid="{3A8EA9F0-0CCB-4B2C-86BD-3D397FA1BB87}" name="Column1847"/>
    <tableColumn id="1848" xr3:uid="{CA177778-47CD-4C3E-BA16-EAA1D84DBE79}" name="Column1848"/>
    <tableColumn id="1849" xr3:uid="{85DCCD2A-0719-447D-BBCB-10D1F059B18E}" name="Column1849"/>
    <tableColumn id="1850" xr3:uid="{33BC9110-1EC9-4540-A20A-8298FEFF4912}" name="Column1850"/>
    <tableColumn id="1851" xr3:uid="{D424F1F7-E49E-40E8-A577-6D0BAFDCC196}" name="Column1851"/>
    <tableColumn id="1852" xr3:uid="{F096B645-505C-4DEC-8C89-E5BAB8A58245}" name="Column1852"/>
    <tableColumn id="1853" xr3:uid="{DED00CA3-5341-4FED-AB6D-8F757234C8AE}" name="Column1853"/>
    <tableColumn id="1854" xr3:uid="{4EB285A3-035B-472D-9F9E-EC489C6A6837}" name="Column1854"/>
    <tableColumn id="1855" xr3:uid="{2C5E56FB-6359-4DD2-96D6-2DD8841769EF}" name="Column1855"/>
    <tableColumn id="1856" xr3:uid="{33AB4A2F-548F-454F-AC9A-9D2E1865872F}" name="Column1856"/>
    <tableColumn id="1857" xr3:uid="{FC8BCB0B-10DF-4669-B03E-0013C8AC3AAD}" name="Column1857"/>
    <tableColumn id="1858" xr3:uid="{C6430509-0881-4FD0-9F02-097C701B7563}" name="Column1858"/>
    <tableColumn id="1859" xr3:uid="{91E4A88D-169B-4A9E-9063-E37436BD636C}" name="Column1859"/>
    <tableColumn id="1860" xr3:uid="{8A548A63-3B0E-478A-B557-2F672C02D7FD}" name="Column1860"/>
    <tableColumn id="1861" xr3:uid="{5BDA51CB-1990-418A-96B3-AC548E8BA0AD}" name="Column1861"/>
    <tableColumn id="1862" xr3:uid="{D684C576-D45D-4973-9018-C5BC715918FD}" name="Column1862"/>
    <tableColumn id="1863" xr3:uid="{5C963025-C80E-41DB-AF48-3734B5F12C6F}" name="Column1863"/>
    <tableColumn id="1864" xr3:uid="{1DA63B05-3709-4380-A5EA-CD99DC58C3BC}" name="Column1864"/>
    <tableColumn id="1865" xr3:uid="{3AC6FB30-C4C3-43DC-AEA4-808EF1BF8628}" name="Column1865"/>
    <tableColumn id="1866" xr3:uid="{2A11A468-C1A3-4750-9DFB-52CBB10BBAD1}" name="Column1866"/>
    <tableColumn id="1867" xr3:uid="{72455752-852C-4853-A018-60D8BDB4015E}" name="Column1867"/>
    <tableColumn id="1868" xr3:uid="{EBA01012-F58E-4831-9044-7D184B2E96CA}" name="Column1868"/>
    <tableColumn id="1869" xr3:uid="{B928F8A1-3F04-4570-AB41-8FCF913E5AAF}" name="Column1869"/>
    <tableColumn id="1870" xr3:uid="{6179DDC3-0338-45CE-B443-B932A8DCEC5F}" name="Column1870"/>
    <tableColumn id="1871" xr3:uid="{EAA04D06-E92D-43B6-97E0-EC83126DCD9B}" name="Column1871"/>
    <tableColumn id="1872" xr3:uid="{3412C148-68FF-449E-9449-ADE7F487501F}" name="Column1872"/>
    <tableColumn id="1873" xr3:uid="{FE7D889A-410C-496D-810D-B8C4534DA065}" name="Column1873"/>
    <tableColumn id="1874" xr3:uid="{1B8F0E7B-99D3-4C57-B991-DD3D7B6CE219}" name="Column1874"/>
    <tableColumn id="1875" xr3:uid="{303802F5-0983-4781-A702-4381547E477F}" name="Column1875"/>
    <tableColumn id="1876" xr3:uid="{33DCA4DB-F20D-4CF2-9E49-7C0B53B1FD7C}" name="Column1876"/>
    <tableColumn id="1877" xr3:uid="{44FF1770-6E11-4E54-A53D-CFEF4EFCFEEB}" name="Column1877"/>
    <tableColumn id="1878" xr3:uid="{EA3B089F-E4CC-433A-A900-7AE70C45FF22}" name="Column1878"/>
    <tableColumn id="1879" xr3:uid="{A4977977-513C-42C7-AEE4-F2D2C7E07AD8}" name="Column1879"/>
    <tableColumn id="1880" xr3:uid="{2C026181-FA94-41BA-9895-E1776D20D45B}" name="Column1880"/>
    <tableColumn id="1881" xr3:uid="{E1C6F57D-4721-46D9-9CFD-DCE09F882470}" name="Column1881"/>
    <tableColumn id="1882" xr3:uid="{A4A9CFDD-47FE-4328-B59C-11B955E78E6D}" name="Column1882"/>
    <tableColumn id="1883" xr3:uid="{6152133F-D3D0-4B47-8595-237B22005C54}" name="Column1883"/>
    <tableColumn id="1884" xr3:uid="{A631EFC1-AE00-4C5C-90EA-9FE013D0CF73}" name="Column1884"/>
    <tableColumn id="1885" xr3:uid="{954DC928-F396-4FB7-8550-22F8A4961859}" name="Column1885"/>
    <tableColumn id="1886" xr3:uid="{B70B6A5C-4EA6-4B66-AF60-527229657010}" name="Column1886"/>
    <tableColumn id="1887" xr3:uid="{4A23AF6C-DC84-4DD2-8FB5-ED0E8BE65B13}" name="Column1887"/>
    <tableColumn id="1888" xr3:uid="{16D10AB3-D5BE-4A9E-A645-379D9220F307}" name="Column1888"/>
    <tableColumn id="1889" xr3:uid="{4D312633-8546-414A-B777-D2F8FA4B1ADB}" name="Column1889"/>
    <tableColumn id="1890" xr3:uid="{4CE14879-8896-4478-916D-00FC33A63CF3}" name="Column1890"/>
    <tableColumn id="1891" xr3:uid="{C78416E5-7A6C-4C20-AAC5-A87FFF60C9B3}" name="Column1891"/>
    <tableColumn id="1892" xr3:uid="{135AD451-FE82-40C7-BE1A-C10B26F8C672}" name="Column1892"/>
    <tableColumn id="1893" xr3:uid="{F30E4FC0-2A09-4D21-BAB8-9CF1B4EEE4F7}" name="Column1893"/>
    <tableColumn id="1894" xr3:uid="{32F36F21-2DCE-4900-AC11-62A594482F3F}" name="Column1894"/>
    <tableColumn id="1895" xr3:uid="{580900FD-02D9-42A6-95B5-0F2E0A8AA487}" name="Column1895"/>
    <tableColumn id="1896" xr3:uid="{91D7E1E0-9C65-42CD-A09E-B8F476E4787B}" name="Column1896"/>
    <tableColumn id="1897" xr3:uid="{CEF4D228-FF57-45A6-A4C3-56752CA693EC}" name="Column1897"/>
    <tableColumn id="1898" xr3:uid="{1379B17D-04F5-4DF5-BBBB-816AE3C7BAE9}" name="Column1898"/>
    <tableColumn id="1899" xr3:uid="{2166314C-D760-4F63-993B-5B2D7AB11BB7}" name="Column1899"/>
    <tableColumn id="1900" xr3:uid="{6895532A-4DBC-4C91-A3D3-5CF36B68A32A}" name="Column1900"/>
    <tableColumn id="1901" xr3:uid="{137D3B86-3EE1-4D18-A8B0-04CF94B43A1F}" name="Column1901"/>
    <tableColumn id="1902" xr3:uid="{8CBD644C-F162-4E3F-9644-F3CB577113F7}" name="Column1902"/>
    <tableColumn id="1903" xr3:uid="{E629E5F7-161D-4EB7-A40B-F268E64F020E}" name="Column1903"/>
    <tableColumn id="1904" xr3:uid="{19EF1B9F-1A42-41F9-9D73-FB6273623BFF}" name="Column1904"/>
    <tableColumn id="1905" xr3:uid="{39A28451-4AF3-4666-9F88-54765ABB72D8}" name="Column1905"/>
    <tableColumn id="1906" xr3:uid="{2CCFD086-664F-45CB-B4C5-6386395FC48C}" name="Column1906"/>
    <tableColumn id="1907" xr3:uid="{E1886560-ACD4-4514-B282-6E362C4F8B6C}" name="Column1907"/>
    <tableColumn id="1908" xr3:uid="{4EAA135A-5D4A-4D6D-8359-D77458266CA5}" name="Column1908"/>
    <tableColumn id="1909" xr3:uid="{20F43D8D-F787-4DA5-8A5B-C0FA114CE47F}" name="Column1909"/>
    <tableColumn id="1910" xr3:uid="{B50709CF-7CCC-46D8-9332-2768A6FDD31C}" name="Column1910"/>
    <tableColumn id="1911" xr3:uid="{F8146B7C-561D-4680-8A01-F647490DAD8F}" name="Column1911"/>
    <tableColumn id="1912" xr3:uid="{0C98B97D-85EE-47E4-9230-358F5B049658}" name="Column1912"/>
    <tableColumn id="1913" xr3:uid="{A4A24027-22FF-4F4F-943A-F751613C8C47}" name="Column1913"/>
    <tableColumn id="1914" xr3:uid="{13692743-6081-4DDF-97E1-C789CA91C9EF}" name="Column1914"/>
    <tableColumn id="1915" xr3:uid="{EEC76BEB-6FD2-4F3C-8570-C1E4B4BBA5BF}" name="Column1915"/>
    <tableColumn id="1916" xr3:uid="{BC63C793-8211-4968-B284-69B1342321FE}" name="Column1916"/>
    <tableColumn id="1917" xr3:uid="{EE53FA6B-637F-4B6F-8D09-5C858680B6F5}" name="Column1917"/>
    <tableColumn id="1918" xr3:uid="{335983BE-9C8A-4D03-B204-E6EC7349EEA3}" name="Column1918"/>
    <tableColumn id="1919" xr3:uid="{85E90562-C1B1-488C-8A97-948C39477184}" name="Column1919"/>
    <tableColumn id="1920" xr3:uid="{74B508B2-04FA-4D4F-9DCA-3076C0CA0329}" name="Column1920"/>
    <tableColumn id="1921" xr3:uid="{84821B04-0E0F-425E-AE83-D4750A2FFDF2}" name="Column1921"/>
    <tableColumn id="1922" xr3:uid="{3ACDB693-4CA3-41E7-BDB8-C665024A4DF9}" name="Column1922"/>
    <tableColumn id="1923" xr3:uid="{6BD39144-39B6-4966-8854-05BB341AFF4A}" name="Column1923"/>
    <tableColumn id="1924" xr3:uid="{CBFF601D-F5B5-4AED-9038-1CB05D4ABE17}" name="Column1924"/>
    <tableColumn id="1925" xr3:uid="{4FADBFEB-F18D-4275-AED3-EEFC83C3F0BE}" name="Column1925"/>
    <tableColumn id="1926" xr3:uid="{DA07A1A5-7227-4218-A5E0-F82D12F2EC39}" name="Column1926"/>
    <tableColumn id="1927" xr3:uid="{1E3620C3-40A2-4E81-BBE5-45FBA0C57F91}" name="Column1927"/>
    <tableColumn id="1928" xr3:uid="{7083DD37-E990-489B-9B52-27B55AF33735}" name="Column1928"/>
    <tableColumn id="1929" xr3:uid="{5CCE7CA0-AEBE-4305-8CFA-2EC3E4A4E489}" name="Column1929"/>
    <tableColumn id="1930" xr3:uid="{6CB546A1-1309-4CEF-96A1-324424F08CB9}" name="Column1930"/>
    <tableColumn id="1931" xr3:uid="{076D2033-F68B-490B-99B4-007CAA877E57}" name="Column1931"/>
    <tableColumn id="1932" xr3:uid="{164CE51C-E5CC-4EBA-98A1-1CD1A7205893}" name="Column1932"/>
    <tableColumn id="1933" xr3:uid="{D6852DCA-FE65-45CC-A89E-62F71231B93D}" name="Column1933"/>
    <tableColumn id="1934" xr3:uid="{FF4574C6-91FD-454A-B23D-903B9977F7E3}" name="Column1934"/>
    <tableColumn id="1935" xr3:uid="{BB3332F7-0A86-47A5-BF3C-EB09C05347C4}" name="Column1935"/>
    <tableColumn id="1936" xr3:uid="{3D0E5A90-D19C-479C-B89C-E1CCF276B2AA}" name="Column1936"/>
    <tableColumn id="1937" xr3:uid="{A6598D91-6CCD-4084-BC1C-7EA4B0A9F815}" name="Column1937"/>
    <tableColumn id="1938" xr3:uid="{1C881227-C31B-42A8-B900-7C262CB5D57D}" name="Column1938"/>
    <tableColumn id="1939" xr3:uid="{294C91C9-4044-48BF-8D26-6EA674F53012}" name="Column1939"/>
    <tableColumn id="1940" xr3:uid="{163FFDBB-CE48-47AF-9C90-247C7194DE74}" name="Column1940"/>
    <tableColumn id="1941" xr3:uid="{E1EB21C4-CD5C-448D-867C-44DD8E4FC56B}" name="Column1941"/>
    <tableColumn id="1942" xr3:uid="{392B8CFE-F4B7-4978-8142-3E0027EB26F5}" name="Column1942"/>
    <tableColumn id="1943" xr3:uid="{83070E79-60C9-4B94-8F58-EAFCC5FECA84}" name="Column1943"/>
    <tableColumn id="1944" xr3:uid="{51AA812C-2CA8-4B32-BA8D-5137D6EB11D2}" name="Column1944"/>
    <tableColumn id="1945" xr3:uid="{E0B580EE-1647-4F83-BC74-E3D0EE15D7C8}" name="Column1945"/>
    <tableColumn id="1946" xr3:uid="{DF9240AC-E410-43AD-922C-C06E67B3194A}" name="Column1946"/>
    <tableColumn id="1947" xr3:uid="{BC49C471-B8E7-4437-B00A-C282ED179EAD}" name="Column1947"/>
    <tableColumn id="1948" xr3:uid="{8897A1BB-A0BE-4397-B48C-2B5C751ACBC7}" name="Column1948"/>
    <tableColumn id="1949" xr3:uid="{E497C38C-8E71-4EE6-B018-2BA266BC6040}" name="Column1949"/>
    <tableColumn id="1950" xr3:uid="{F4580BF0-08B8-44DD-815E-913FCE90A1E8}" name="Column1950"/>
    <tableColumn id="1951" xr3:uid="{8CA59746-A326-4884-B73E-0DD21E2BBC4C}" name="Column1951"/>
    <tableColumn id="1952" xr3:uid="{90D2A2EE-62AF-4B2C-86FE-1DFE32DA846A}" name="Column1952"/>
    <tableColumn id="1953" xr3:uid="{FBE4A72F-07A6-467B-B3AE-E9F912D9F383}" name="Column1953"/>
    <tableColumn id="1954" xr3:uid="{5DD76219-2BA5-4561-B79B-4699673CD053}" name="Column1954"/>
    <tableColumn id="1955" xr3:uid="{7EC8F7C2-BE03-4207-8D19-114A104FF639}" name="Column1955"/>
    <tableColumn id="1956" xr3:uid="{5EB848FB-13BA-4B88-AA35-E850FDF1AD9F}" name="Column1956"/>
    <tableColumn id="1957" xr3:uid="{92EF34FB-50D6-4E29-807F-0130A38B00B8}" name="Column1957"/>
    <tableColumn id="1958" xr3:uid="{3F3080A7-A45E-46CF-A1D7-7F077F2DA406}" name="Column1958"/>
    <tableColumn id="1959" xr3:uid="{BFA73162-5C54-4695-A028-79B71B5E3187}" name="Column1959"/>
    <tableColumn id="1960" xr3:uid="{8B27D0EA-A071-4241-B8F8-C8D075920DCF}" name="Column1960"/>
    <tableColumn id="1961" xr3:uid="{29E62D8D-904D-4DBF-8C20-058B8C88F869}" name="Column1961"/>
    <tableColumn id="1962" xr3:uid="{E1C586B3-D1C9-44C1-81B0-5738237C8CF9}" name="Column1962"/>
    <tableColumn id="1963" xr3:uid="{3B685847-6D3D-4179-A8AE-B4298F9F1D54}" name="Column1963"/>
    <tableColumn id="1964" xr3:uid="{C4D05E21-E9FD-43CB-9147-50804F1EBF98}" name="Column1964"/>
    <tableColumn id="1965" xr3:uid="{1193247C-1D56-49E2-816E-C4DF78A37B5F}" name="Column1965"/>
    <tableColumn id="1966" xr3:uid="{62EFE40A-1AA7-4C86-BABA-670C4AB1FA23}" name="Column1966"/>
    <tableColumn id="1967" xr3:uid="{016D4E1D-F192-4D8C-ABB3-C6F49EADFAEB}" name="Column1967"/>
    <tableColumn id="1968" xr3:uid="{7546BD92-7377-45FE-ADEC-276E1BBE82C8}" name="Column1968"/>
    <tableColumn id="1969" xr3:uid="{0BBF3D72-9042-4D36-9C56-9901DBF27764}" name="Column1969"/>
    <tableColumn id="1970" xr3:uid="{9E866FF2-9F13-4097-8A0F-83BFC75572F1}" name="Column1970"/>
    <tableColumn id="1971" xr3:uid="{00CAFD7E-E085-44E6-A498-133FB64336B8}" name="Column1971"/>
    <tableColumn id="1972" xr3:uid="{BDC49E0E-9C1B-4080-BD60-92EA18DC7B78}" name="Column1972"/>
    <tableColumn id="1973" xr3:uid="{3D25E4D9-31FA-4B7A-A994-556F9ECA82FC}" name="Column1973"/>
    <tableColumn id="1974" xr3:uid="{1898C6A8-4035-4598-BBE2-C0B54A52CBCD}" name="Column1974"/>
    <tableColumn id="1975" xr3:uid="{49A9F5C2-D589-465C-A110-A21C87177299}" name="Column1975"/>
    <tableColumn id="1976" xr3:uid="{BA6561E8-77A7-44DB-AF3B-A7D8A9C3D0C7}" name="Column1976"/>
    <tableColumn id="1977" xr3:uid="{DE6AE76F-58DC-4E46-A381-534B7934268C}" name="Column1977"/>
    <tableColumn id="1978" xr3:uid="{3CAF62CE-4E41-46B0-9E24-3FC4E76AE4C9}" name="Column1978"/>
    <tableColumn id="1979" xr3:uid="{A8050C7F-A814-40C4-B147-3D422AFEB73D}" name="Column1979"/>
    <tableColumn id="1980" xr3:uid="{3BA2DCE4-0F17-4805-829D-BD26C37B88C1}" name="Column1980"/>
    <tableColumn id="1981" xr3:uid="{FD13A032-A86D-4553-A405-A55FDA274D40}" name="Column1981"/>
    <tableColumn id="1982" xr3:uid="{F4BC9359-7512-4242-B744-C6C20BBA1860}" name="Column1982"/>
    <tableColumn id="1983" xr3:uid="{F11A6E3F-51E4-4CA6-BD64-77109172BD78}" name="Column1983"/>
    <tableColumn id="1984" xr3:uid="{9A8EE2DA-D115-4528-AE67-3CD72CC04E76}" name="Column1984"/>
    <tableColumn id="1985" xr3:uid="{B12A5965-31F1-4B99-A955-78F364A92FBE}" name="Column1985"/>
    <tableColumn id="1986" xr3:uid="{0BB85E00-4E59-49CC-9C8A-98DB8F9F9E99}" name="Column1986"/>
    <tableColumn id="1987" xr3:uid="{2EE68681-107E-4626-A8EB-C4B4B80C5238}" name="Column1987"/>
    <tableColumn id="1988" xr3:uid="{B6D20D31-E7E4-4C86-8E7F-699832B0945E}" name="Column1988"/>
    <tableColumn id="1989" xr3:uid="{CBD5AD60-1073-41F8-9D48-F729E48FBDF1}" name="Column1989"/>
    <tableColumn id="1990" xr3:uid="{F2D6B0DC-A3A0-4ECF-9A8C-70B4298C07D0}" name="Column1990"/>
    <tableColumn id="1991" xr3:uid="{B26FCBE2-608F-4E87-9135-084F81A6CFAD}" name="Column1991"/>
    <tableColumn id="1992" xr3:uid="{BA7B272F-A09D-438F-AC4A-A14C32ED2365}" name="Column1992"/>
    <tableColumn id="1993" xr3:uid="{64600849-5752-43B8-A5F2-5561559ED47D}" name="Column1993"/>
    <tableColumn id="1994" xr3:uid="{75BB1923-C4BD-4907-8665-8C136DD24143}" name="Column1994"/>
    <tableColumn id="1995" xr3:uid="{A336A777-57C3-466A-BC15-F0432D46BC7B}" name="Column1995"/>
    <tableColumn id="1996" xr3:uid="{0EBD36D5-CCC6-4398-87A5-E3DF1BC1785B}" name="Column1996"/>
    <tableColumn id="1997" xr3:uid="{E94BCD0F-E9AB-4AB5-8F3A-4B9C664E0080}" name="Column1997"/>
    <tableColumn id="1998" xr3:uid="{B7E75F58-F597-4DAD-B372-1187136C740C}" name="Column1998"/>
    <tableColumn id="1999" xr3:uid="{D8395CBD-09F6-48DD-9AA5-331CB17D58E0}" name="Column1999"/>
    <tableColumn id="2000" xr3:uid="{368E8EA8-A91B-4E28-93E4-979878E19336}" name="Column2000"/>
    <tableColumn id="2001" xr3:uid="{20606B89-5ACA-41DD-9D49-E63104AF571E}" name="Column2001"/>
    <tableColumn id="2002" xr3:uid="{2AA25013-9E8F-4919-8BB0-C4F3C411B47A}" name="Column2002"/>
    <tableColumn id="2003" xr3:uid="{1306A148-1B58-47BB-BCF1-E7C7A9C67988}" name="Column2003"/>
    <tableColumn id="2004" xr3:uid="{41615926-F686-4E82-BE36-E47A52E74ED7}" name="Column2004"/>
    <tableColumn id="2005" xr3:uid="{9B358539-81F9-4036-8EDB-E1D71DE8666F}" name="Column2005"/>
    <tableColumn id="2006" xr3:uid="{7F7B6EB6-CED9-4FE8-BAA1-6846A8060FB6}" name="Column2006"/>
    <tableColumn id="2007" xr3:uid="{93CDF36B-B2B2-4075-9E05-026D18E260DF}" name="Column2007"/>
    <tableColumn id="2008" xr3:uid="{E5629875-F721-4190-906B-D395DA6D91C5}" name="Column2008"/>
    <tableColumn id="2009" xr3:uid="{DD1BF966-244D-441B-95D3-E1663526C3AB}" name="Column2009"/>
    <tableColumn id="2010" xr3:uid="{FDB8E5F2-E99D-4108-8DB2-C62F5417D171}" name="Column2010"/>
    <tableColumn id="2011" xr3:uid="{2DFF23AE-87BC-47D6-A2D3-1CDB2A21DD92}" name="Column2011"/>
    <tableColumn id="2012" xr3:uid="{71E6A76A-1592-4ADD-A643-8D5E1937A3C4}" name="Column2012"/>
    <tableColumn id="2013" xr3:uid="{0391912D-9FB8-411E-B03A-0B273AD40D00}" name="Column2013"/>
    <tableColumn id="2014" xr3:uid="{1BCD8C75-CC64-48A6-B382-017F2DC4C51B}" name="Column2014"/>
    <tableColumn id="2015" xr3:uid="{4331C3AA-8910-4473-9BEC-BCF6F2A8B727}" name="Column2015"/>
    <tableColumn id="2016" xr3:uid="{41ECF22C-B88D-4A04-9CFC-E7E52D7BF445}" name="Column2016"/>
    <tableColumn id="2017" xr3:uid="{0ECD6227-46C6-4372-917B-0399D76EBABA}" name="Column2017"/>
    <tableColumn id="2018" xr3:uid="{56656A58-8959-4796-A005-D7DE047AB969}" name="Column2018"/>
    <tableColumn id="2019" xr3:uid="{92601686-2F81-445A-8B7D-75A8722A7AFA}" name="Column2019"/>
    <tableColumn id="2020" xr3:uid="{4F6E56E4-EABF-4302-A1A8-7C918C914ACC}" name="Column2020"/>
    <tableColumn id="2021" xr3:uid="{4705F9A7-78AF-4116-B066-6F31A53DBF7F}" name="Column2021"/>
    <tableColumn id="2022" xr3:uid="{6EDEDE20-2953-40DF-815A-056BFA29646B}" name="Column2022"/>
    <tableColumn id="2023" xr3:uid="{9C0ABF2E-99A2-462D-BCF6-D78F2D0FED6F}" name="Column2023"/>
    <tableColumn id="2024" xr3:uid="{FD6DCEB0-3C66-4D4C-9610-3945AC6A8A1D}" name="Column2024"/>
    <tableColumn id="2025" xr3:uid="{A5790CDC-48CE-449D-ABB0-4D6C61237DA8}" name="Column2025"/>
    <tableColumn id="2026" xr3:uid="{358CA4D2-7806-4A13-9A40-B4C532C40585}" name="Column2026"/>
    <tableColumn id="2027" xr3:uid="{C4954FE5-DE3E-4606-9C17-FCD97058BA70}" name="Column2027"/>
    <tableColumn id="2028" xr3:uid="{8550A440-1489-4F26-A767-803F16D3F05F}" name="Column2028"/>
    <tableColumn id="2029" xr3:uid="{7A1C694A-8EDA-4CEC-B26E-1A184825E5D8}" name="Column2029"/>
    <tableColumn id="2030" xr3:uid="{89E9A4E1-7C8A-4F32-AED2-B27FB86FA1DA}" name="Column2030"/>
    <tableColumn id="2031" xr3:uid="{3D146968-7EA5-4CFC-B38D-676285F6A443}" name="Column2031"/>
    <tableColumn id="2032" xr3:uid="{E2CE908F-CBA6-4448-8F68-455199779BE3}" name="Column2032"/>
    <tableColumn id="2033" xr3:uid="{89454755-D454-40F8-843E-53D07D1CCD75}" name="Column2033"/>
    <tableColumn id="2034" xr3:uid="{2E3DFBCF-A972-4447-BDF2-E8A77CC95C25}" name="Column2034"/>
    <tableColumn id="2035" xr3:uid="{F5CD4115-F46E-4D3B-AD5E-29B61C6127FC}" name="Column2035"/>
    <tableColumn id="2036" xr3:uid="{18626607-B40D-48E2-BA9E-AF63C8A7F26C}" name="Column2036"/>
    <tableColumn id="2037" xr3:uid="{77A573BF-4C42-4EDC-A5D1-D4B60E11A397}" name="Column2037"/>
    <tableColumn id="2038" xr3:uid="{253C2758-D3AF-4B17-A3BB-0BC9C70DE9D0}" name="Column2038"/>
    <tableColumn id="2039" xr3:uid="{D8AC8F88-5462-484B-BBE2-BC1D4F75AAFC}" name="Column2039"/>
    <tableColumn id="2040" xr3:uid="{56620A64-76F3-40AE-8D4C-324BDD7B6AC4}" name="Column2040"/>
    <tableColumn id="2041" xr3:uid="{EE150A94-D48C-49CD-859F-36E5C0660C38}" name="Column2041"/>
    <tableColumn id="2042" xr3:uid="{DB4D8082-A56E-4964-975B-D22C5F9A61DA}" name="Column2042"/>
    <tableColumn id="2043" xr3:uid="{4A85B88F-6F37-4BE6-AD53-9DDE80EAED1F}" name="Column2043"/>
    <tableColumn id="2044" xr3:uid="{A1D13C10-6610-4E57-ABEE-B11946F446BB}" name="Column2044"/>
    <tableColumn id="2045" xr3:uid="{1BE91CE7-105C-4799-8583-7A028E84FD42}" name="Column2045"/>
    <tableColumn id="2046" xr3:uid="{AC1C3B83-C4E1-49A4-B156-57E5D96EF5CA}" name="Column2046"/>
    <tableColumn id="2047" xr3:uid="{E3300A31-1218-46E8-AEC6-F79F129ED658}" name="Column2047"/>
    <tableColumn id="2048" xr3:uid="{C9CA8D8B-B426-4D3C-B9E5-D43D93A55F0D}" name="Column2048"/>
    <tableColumn id="2049" xr3:uid="{D8E4403B-527E-4567-818F-078C03E40E70}" name="Column2049"/>
    <tableColumn id="2050" xr3:uid="{BA0115BA-0725-475B-88C4-E7CC95623950}" name="Column2050"/>
    <tableColumn id="2051" xr3:uid="{D5DD7E56-683E-41F7-9629-EF7BC14E7306}" name="Column2051"/>
    <tableColumn id="2052" xr3:uid="{C13EDDD1-55CE-41B3-86DD-3F25BBF5B320}" name="Column2052"/>
    <tableColumn id="2053" xr3:uid="{40462F30-792C-45AA-9696-E50358A30027}" name="Column2053"/>
    <tableColumn id="2054" xr3:uid="{A119CB56-C36D-4BFF-92AD-71AE93C4C7B7}" name="Column2054"/>
    <tableColumn id="2055" xr3:uid="{4024FB08-26C0-4520-B4CD-9258C96934AD}" name="Column2055"/>
    <tableColumn id="2056" xr3:uid="{038B8A62-519B-4A35-B849-259FE649FC57}" name="Column2056"/>
    <tableColumn id="2057" xr3:uid="{46214641-68B4-419D-8BE2-ECF35A477154}" name="Column2057"/>
    <tableColumn id="2058" xr3:uid="{A01C47C6-A3D4-43C2-900D-9C35B798FA5C}" name="Column2058"/>
    <tableColumn id="2059" xr3:uid="{3C297F22-F1D5-4E81-A317-AF1A53D44E4E}" name="Column2059"/>
    <tableColumn id="2060" xr3:uid="{91015205-ADAB-4D94-81CD-C490D65C2059}" name="Column2060"/>
    <tableColumn id="2061" xr3:uid="{7EBCC1A6-99C3-4881-AEC6-0D60D405126F}" name="Column2061"/>
    <tableColumn id="2062" xr3:uid="{FC010170-F1CA-4E38-9077-7A26479B8B70}" name="Column2062"/>
    <tableColumn id="2063" xr3:uid="{00BE63A7-52A5-45A9-8F71-2318EED9C491}" name="Column2063"/>
    <tableColumn id="2064" xr3:uid="{4C764201-0A01-4F20-90E7-1A1D332AD0B2}" name="Column2064"/>
    <tableColumn id="2065" xr3:uid="{B2522AA9-CDD6-45EC-8A29-65B96DBB1EA9}" name="Column2065"/>
    <tableColumn id="2066" xr3:uid="{23143CD2-215D-4EAC-A133-219E305D0BD4}" name="Column2066"/>
    <tableColumn id="2067" xr3:uid="{9A255B91-EEB8-49F1-969B-0077FF114C7C}" name="Column2067"/>
    <tableColumn id="2068" xr3:uid="{969947B1-ADB5-44B8-A893-70CC483E03FC}" name="Column2068"/>
    <tableColumn id="2069" xr3:uid="{D3F6ACC3-5154-40E0-9B0C-F683AC21EEBC}" name="Column2069"/>
    <tableColumn id="2070" xr3:uid="{24A8B2B2-F39F-47D6-8844-6ED739D193AF}" name="Column2070"/>
    <tableColumn id="2071" xr3:uid="{0758414E-1A35-4E55-AF3A-612831963606}" name="Column2071"/>
    <tableColumn id="2072" xr3:uid="{2E6C040B-F239-41FB-A8FD-DFE5C1574224}" name="Column2072"/>
    <tableColumn id="2073" xr3:uid="{B67AD3C8-DB88-43B5-B672-4EDC2AF2522B}" name="Column2073"/>
    <tableColumn id="2074" xr3:uid="{B2A25E27-1A0A-4437-AFE7-CB8F9B373AA8}" name="Column2074"/>
    <tableColumn id="2075" xr3:uid="{952B6168-A580-4D3A-8225-EF92DF19F3D6}" name="Column2075"/>
    <tableColumn id="2076" xr3:uid="{779E353B-4B34-4548-AD8B-A7D80F68CB43}" name="Column2076"/>
    <tableColumn id="2077" xr3:uid="{C56ABEB3-DAF8-4182-835A-00953D7A7659}" name="Column2077"/>
    <tableColumn id="2078" xr3:uid="{824CA629-E03F-4C7A-9F33-4E631E1856AA}" name="Column2078"/>
    <tableColumn id="2079" xr3:uid="{FC2065D8-9A91-4CA0-9DE0-4220C21712D5}" name="Column2079"/>
    <tableColumn id="2080" xr3:uid="{C832500D-738E-45BC-A915-BB93E31F895D}" name="Column2080"/>
    <tableColumn id="2081" xr3:uid="{CB37C3F7-AFF8-43C4-9360-094F2F395AE5}" name="Column2081"/>
    <tableColumn id="2082" xr3:uid="{BE5B3D67-CC57-456D-BCCE-B0B38416EEC5}" name="Column2082"/>
    <tableColumn id="2083" xr3:uid="{52654B70-A7C5-436C-AB25-AF618411D202}" name="Column2083"/>
    <tableColumn id="2084" xr3:uid="{552320F9-A3D1-4C0F-AC84-6283313972B3}" name="Column2084"/>
    <tableColumn id="2085" xr3:uid="{4D214A8B-8B4B-44DB-8549-67BEB776044B}" name="Column2085"/>
    <tableColumn id="2086" xr3:uid="{33CFE101-1B72-44B9-B134-8D2DA17B4112}" name="Column2086"/>
    <tableColumn id="2087" xr3:uid="{9188790C-EB92-4600-90B8-7C99892F578E}" name="Column2087"/>
    <tableColumn id="2088" xr3:uid="{9294AF59-204E-483E-A167-2DCC1E8E7F8F}" name="Column2088"/>
    <tableColumn id="2089" xr3:uid="{E031E626-7750-4B15-AE80-56F3C05BEBD7}" name="Column2089"/>
    <tableColumn id="2090" xr3:uid="{BA0A7897-DC24-4062-BA7D-3A8E14597498}" name="Column2090"/>
    <tableColumn id="2091" xr3:uid="{9B6B9615-4675-40A6-8002-44DA7691F3CE}" name="Column2091"/>
    <tableColumn id="2092" xr3:uid="{9AEFCD46-2483-4994-BD9D-5EE3DC7B2040}" name="Column2092"/>
    <tableColumn id="2093" xr3:uid="{A36C4143-99F9-4C24-BFDC-69A6515871CF}" name="Column2093"/>
    <tableColumn id="2094" xr3:uid="{221E837C-D72D-4968-BFE7-F719A3710535}" name="Column2094"/>
    <tableColumn id="2095" xr3:uid="{FB299E29-D3C8-4D6B-A42C-BAB4AEF0F603}" name="Column2095"/>
    <tableColumn id="2096" xr3:uid="{97507A49-16B1-4C48-9AFC-3B0E4DD3995E}" name="Column2096"/>
    <tableColumn id="2097" xr3:uid="{03F5C5D1-5B8C-44B3-BE36-689291CF831C}" name="Column2097"/>
    <tableColumn id="2098" xr3:uid="{82329AE1-DF72-4C62-9A9E-0A46BE28A31C}" name="Column2098"/>
    <tableColumn id="2099" xr3:uid="{84B8FCDC-8CEE-4D6E-AB9C-7AFE25B773DF}" name="Column2099"/>
    <tableColumn id="2100" xr3:uid="{20A9105A-5817-4036-A673-B50CD71331CF}" name="Column2100"/>
    <tableColumn id="2101" xr3:uid="{3F05A29C-86F9-47F8-84C9-B85043FF0626}" name="Column2101"/>
    <tableColumn id="2102" xr3:uid="{22EBADA0-E0B1-4617-9A6C-D178058AD172}" name="Column2102"/>
    <tableColumn id="2103" xr3:uid="{54D8FFE4-FF58-4EB7-8E2E-A4078F322F06}" name="Column2103"/>
    <tableColumn id="2104" xr3:uid="{CCEFAF63-E0E9-4837-AB8E-2E7BA55807D8}" name="Column2104"/>
    <tableColumn id="2105" xr3:uid="{B309F251-2D5D-47FF-AFFB-4E0B0AF8DF17}" name="Column2105"/>
    <tableColumn id="2106" xr3:uid="{05E41C97-D4E3-4B72-8E0B-5C05FD6D1FE7}" name="Column2106"/>
    <tableColumn id="2107" xr3:uid="{73DC2E3C-0D88-47DB-9442-9B851F9CAA34}" name="Column2107"/>
    <tableColumn id="2108" xr3:uid="{8BA57AF1-3828-4A98-8332-DB1475DF6170}" name="Column2108"/>
    <tableColumn id="2109" xr3:uid="{39BD8CFD-529B-42F0-97B0-36FBA616CB33}" name="Column2109"/>
    <tableColumn id="2110" xr3:uid="{B0573E43-AC67-47FC-A4D3-D1512E1839DE}" name="Column2110"/>
    <tableColumn id="2111" xr3:uid="{FF58C204-1DD4-4AE2-B871-FE336ABDE562}" name="Column2111"/>
    <tableColumn id="2112" xr3:uid="{CBCD0678-6F54-4BB6-ACE9-AC3930129B59}" name="Column2112"/>
    <tableColumn id="2113" xr3:uid="{63484BEF-4D0C-4152-BF8E-2311479ABCFB}" name="Column2113"/>
    <tableColumn id="2114" xr3:uid="{A9C975E3-D608-43A8-AA4A-B71D7B4FD4A7}" name="Column2114"/>
    <tableColumn id="2115" xr3:uid="{E8F0B20B-907E-4F73-B260-A043086E30A3}" name="Column2115"/>
    <tableColumn id="2116" xr3:uid="{2FA19211-72B7-4960-A54A-7670B01EB1D6}" name="Column2116"/>
    <tableColumn id="2117" xr3:uid="{DBC41CB1-3BF3-4716-858F-FFE6D8E1CB14}" name="Column2117"/>
    <tableColumn id="2118" xr3:uid="{48D27606-6E59-43F3-9E0A-039CC65FFD90}" name="Column2118"/>
    <tableColumn id="2119" xr3:uid="{721EC341-5F71-4E11-BDD4-3F00AB7C90FD}" name="Column2119"/>
    <tableColumn id="2120" xr3:uid="{BAB3A9FD-DC58-41B3-8940-7716F4338A7D}" name="Column2120"/>
    <tableColumn id="2121" xr3:uid="{B0B68342-99DD-40AE-9635-3149E1A543FB}" name="Column2121"/>
    <tableColumn id="2122" xr3:uid="{C7AE525E-0190-47FF-925B-A37C3A83C46F}" name="Column2122"/>
    <tableColumn id="2123" xr3:uid="{D02507BB-7FF9-421E-9441-9A43057AFD32}" name="Column2123"/>
    <tableColumn id="2124" xr3:uid="{F83452FC-35B7-4108-8F56-24D5CF5127C4}" name="Column2124"/>
    <tableColumn id="2125" xr3:uid="{BF29EDAA-C03A-4B04-A88C-3E36A69B3E91}" name="Column2125"/>
    <tableColumn id="2126" xr3:uid="{33D978E9-8ABF-48CE-8B02-FFC2989C6AE5}" name="Column2126"/>
    <tableColumn id="2127" xr3:uid="{0B84B98E-48AD-4D9B-B4F4-9CDB8B54CF16}" name="Column2127"/>
    <tableColumn id="2128" xr3:uid="{F7D8C055-2EC1-4A72-8CC6-482235F836E6}" name="Column2128"/>
    <tableColumn id="2129" xr3:uid="{6A5F524A-2215-436E-B035-BD1E6EC77C49}" name="Column2129"/>
    <tableColumn id="2130" xr3:uid="{839D65C7-3A94-422B-A0FD-419811F7ECEE}" name="Column2130"/>
    <tableColumn id="2131" xr3:uid="{2BD7178D-227B-416D-9DAF-B477648EF2FD}" name="Column2131"/>
    <tableColumn id="2132" xr3:uid="{42C28569-31A5-432C-AEFF-8600FAD78148}" name="Column2132"/>
    <tableColumn id="2133" xr3:uid="{646107C0-D2F4-4EAC-9DD8-7CCF8599BDFB}" name="Column2133"/>
    <tableColumn id="2134" xr3:uid="{68AC4096-7FF5-480E-BEFF-540595848515}" name="Column2134"/>
    <tableColumn id="2135" xr3:uid="{7052BAD2-8967-449B-BA21-D655B90FC861}" name="Column2135"/>
    <tableColumn id="2136" xr3:uid="{7967EC70-5765-4F8A-811C-8E45E0721211}" name="Column2136"/>
    <tableColumn id="2137" xr3:uid="{754CD019-C19B-43C9-8C66-3766D843AD1A}" name="Column2137"/>
    <tableColumn id="2138" xr3:uid="{0A49A48D-FF2F-486E-9EE8-34A9BFE25B98}" name="Column2138"/>
    <tableColumn id="2139" xr3:uid="{0AB068B4-6344-40FA-9338-EE33E318FC15}" name="Column2139"/>
    <tableColumn id="2140" xr3:uid="{2C5F76B6-C831-4D89-A438-5782478D15F1}" name="Column2140"/>
    <tableColumn id="2141" xr3:uid="{07C4643F-4EFB-4747-8299-2E1B7B0658DC}" name="Column2141"/>
    <tableColumn id="2142" xr3:uid="{FBA244E8-A98F-41B0-845F-025613870243}" name="Column2142"/>
    <tableColumn id="2143" xr3:uid="{4CABA13E-8963-4454-849D-FFC1579A8989}" name="Column2143"/>
    <tableColumn id="2144" xr3:uid="{4E804409-8DC2-413C-B40F-CBAFED89AD55}" name="Column2144"/>
    <tableColumn id="2145" xr3:uid="{603C5173-7ED6-4AFA-87B1-2561AB447743}" name="Column2145"/>
    <tableColumn id="2146" xr3:uid="{3EC1F99A-2A3D-4568-BBE7-8EF10CE34FA2}" name="Column2146"/>
    <tableColumn id="2147" xr3:uid="{BF391223-0D3C-4F0B-866D-A570D6FDB7EF}" name="Column2147"/>
    <tableColumn id="2148" xr3:uid="{B211230C-351D-45F9-A13F-BA8CDBEF7307}" name="Column2148"/>
    <tableColumn id="2149" xr3:uid="{E0D2808A-07AD-49FD-B1C7-C09A3747D571}" name="Column2149"/>
    <tableColumn id="2150" xr3:uid="{313E7F04-19B4-484D-AFF3-D96F68C81F02}" name="Column2150"/>
    <tableColumn id="2151" xr3:uid="{E548FADA-4F9E-4F18-AE60-03A27CD7A35E}" name="Column2151"/>
    <tableColumn id="2152" xr3:uid="{21247C4E-ACDB-43D7-BB3E-BBD4A500E5CD}" name="Column2152"/>
    <tableColumn id="2153" xr3:uid="{0291A7D9-B99E-4F77-8A06-E1FEFF375CD4}" name="Column2153"/>
    <tableColumn id="2154" xr3:uid="{5FFA7C68-B89B-41B3-B399-6973BB45E949}" name="Column2154"/>
    <tableColumn id="2155" xr3:uid="{93E390FF-1D35-4ED5-9E45-3C121C1CE3A0}" name="Column2155"/>
    <tableColumn id="2156" xr3:uid="{983BC469-A150-46E3-B9AB-F46E7FA5BF70}" name="Column2156"/>
    <tableColumn id="2157" xr3:uid="{903DB1AC-C834-4CA8-A101-8ECBCA2CF7FA}" name="Column2157"/>
    <tableColumn id="2158" xr3:uid="{926E2170-9AA4-4F2D-9064-27F1A8573DF0}" name="Column2158"/>
    <tableColumn id="2159" xr3:uid="{9B49D613-E873-408D-9A89-7400003575C6}" name="Column2159"/>
    <tableColumn id="2160" xr3:uid="{06BC6553-34C6-4063-9F83-172CAD82C647}" name="Column2160"/>
    <tableColumn id="2161" xr3:uid="{B4727CE9-D47F-4972-BA46-746FA5632CF9}" name="Column2161"/>
    <tableColumn id="2162" xr3:uid="{F1EA486D-9CE8-4EB0-867B-F803489D17C5}" name="Column2162"/>
    <tableColumn id="2163" xr3:uid="{E111A106-4657-4A84-93DC-44986489C93F}" name="Column2163"/>
    <tableColumn id="2164" xr3:uid="{9CB2B4EA-9DEF-401E-8124-D520513703AC}" name="Column2164"/>
    <tableColumn id="2165" xr3:uid="{4B0D1EE8-EDA7-46F4-B3C8-B8F9CAE672AA}" name="Column2165"/>
    <tableColumn id="2166" xr3:uid="{8BBD4230-0A8E-45FE-80BB-28C40AFF6FCA}" name="Column2166"/>
    <tableColumn id="2167" xr3:uid="{3953683B-E625-4C9C-8E7B-DA3A06241651}" name="Column2167"/>
    <tableColumn id="2168" xr3:uid="{BD7ED978-1849-41C5-AA75-84D757096E70}" name="Column2168"/>
    <tableColumn id="2169" xr3:uid="{A76B2C60-C8C1-4AF8-B815-6F77EF791C2C}" name="Column2169"/>
    <tableColumn id="2170" xr3:uid="{6217F48F-AD0D-4E5C-931E-6D0E223E5BF0}" name="Column2170"/>
    <tableColumn id="2171" xr3:uid="{879C3B3C-4A4B-4EB2-BDD2-DAC8A6B85A6D}" name="Column2171"/>
    <tableColumn id="2172" xr3:uid="{91571C6A-3BCA-4F5E-84F2-532473385743}" name="Column2172"/>
    <tableColumn id="2173" xr3:uid="{270C2CAC-F32A-4F03-8F27-74E24D65185F}" name="Column2173"/>
    <tableColumn id="2174" xr3:uid="{D93593A5-7902-4DA4-8F87-CF3811C125A5}" name="Column2174"/>
    <tableColumn id="2175" xr3:uid="{DB8ED37D-742A-467C-B506-B68F6B77C97D}" name="Column2175"/>
    <tableColumn id="2176" xr3:uid="{DDFE2EC5-A93E-4BC1-9BC6-F3B61BE9EFA1}" name="Column2176"/>
    <tableColumn id="2177" xr3:uid="{AFE085F9-9AB2-4317-AD84-D61A3ADF2F87}" name="Column2177"/>
    <tableColumn id="2178" xr3:uid="{4F1C2CBD-50E6-4D9D-B5A9-1F72AC4A76C9}" name="Column2178"/>
    <tableColumn id="2179" xr3:uid="{FA3680DB-44BC-40CA-8A30-2CC8271F6130}" name="Column2179"/>
    <tableColumn id="2180" xr3:uid="{AF4D675A-8F62-466B-8817-E5DE3FECD6FE}" name="Column2180"/>
    <tableColumn id="2181" xr3:uid="{E476AF43-F695-44BC-BD69-999214354C93}" name="Column2181"/>
    <tableColumn id="2182" xr3:uid="{F9C87855-519C-4056-97DE-0EB77F1812DC}" name="Column2182"/>
    <tableColumn id="2183" xr3:uid="{E0504EEA-8704-45A2-BD83-B4F343AB7CEF}" name="Column2183"/>
    <tableColumn id="2184" xr3:uid="{B2E3154A-B0E5-4965-BBF3-9962A47B8653}" name="Column2184"/>
    <tableColumn id="2185" xr3:uid="{056B2B70-A5A6-47BA-AA1E-E021D37C9E61}" name="Column2185"/>
    <tableColumn id="2186" xr3:uid="{7D8A03DE-E20C-4027-ADBA-6EA584B2E0FC}" name="Column2186"/>
    <tableColumn id="2187" xr3:uid="{1515B30D-8182-4701-BCAA-329E80799B46}" name="Column2187"/>
    <tableColumn id="2188" xr3:uid="{D7B0F17E-75DF-4D8B-89EF-B14A329D5495}" name="Column2188"/>
    <tableColumn id="2189" xr3:uid="{87394AE8-958F-4CD1-A090-EF3F6BCAEBE0}" name="Column2189"/>
    <tableColumn id="2190" xr3:uid="{13BC106D-B457-4EF7-B6EB-4A83F04321EA}" name="Column2190"/>
    <tableColumn id="2191" xr3:uid="{404604F7-4E49-48C1-99FC-8A3D002A6014}" name="Column2191"/>
    <tableColumn id="2192" xr3:uid="{FB5307F1-5BE6-48D7-8D18-8A1F887D3B6D}" name="Column2192"/>
    <tableColumn id="2193" xr3:uid="{2C59FD3F-3438-4268-813F-9A217BF11205}" name="Column2193"/>
    <tableColumn id="2194" xr3:uid="{3B3B9ED8-6D09-492E-9186-73178A59F1A5}" name="Column2194"/>
    <tableColumn id="2195" xr3:uid="{8000B988-053D-4E3B-B2E2-D41B0E6BAC0C}" name="Column2195"/>
    <tableColumn id="2196" xr3:uid="{76A755CA-D7D1-4059-A245-A05DA6F6DBAE}" name="Column2196"/>
    <tableColumn id="2197" xr3:uid="{189BA702-2E72-4239-8A1B-049659E1B8E0}" name="Column2197"/>
    <tableColumn id="2198" xr3:uid="{94BF19B3-BA23-41BE-B10D-4A4449C935BC}" name="Column2198"/>
    <tableColumn id="2199" xr3:uid="{A5BD551A-F3AD-4428-91C9-86A7291465C3}" name="Column2199"/>
    <tableColumn id="2200" xr3:uid="{554B8645-258E-40EA-AC01-CA24D7EFEB21}" name="Column2200"/>
    <tableColumn id="2201" xr3:uid="{0DA4413B-1FAE-4661-B4EC-F13C93C78102}" name="Column2201"/>
    <tableColumn id="2202" xr3:uid="{F13FF9F1-D7B7-43F9-AAAF-9A2C25414884}" name="Column2202"/>
    <tableColumn id="2203" xr3:uid="{87888B85-16CF-42AF-B5CA-D3998FEB4A23}" name="Column2203"/>
    <tableColumn id="2204" xr3:uid="{DCB453BA-E123-4F23-A638-78D35C202473}" name="Column2204"/>
    <tableColumn id="2205" xr3:uid="{7047BCF6-1A6B-4784-AFFC-326DBBCFB55F}" name="Column2205"/>
    <tableColumn id="2206" xr3:uid="{1D12F7BE-871C-4391-9A64-A70B8E3AF271}" name="Column2206"/>
    <tableColumn id="2207" xr3:uid="{E9CE5E90-2666-4593-B67E-E1390BC578B3}" name="Column2207"/>
    <tableColumn id="2208" xr3:uid="{42BB0D9F-A645-48AF-9F83-BD43340B8E3F}" name="Column2208"/>
    <tableColumn id="2209" xr3:uid="{6C3B5F0A-1721-4D5F-AF00-0CAD6068FED0}" name="Column2209"/>
    <tableColumn id="2210" xr3:uid="{BCF5C9F1-6C70-4076-8624-A3FA483466C6}" name="Column2210"/>
    <tableColumn id="2211" xr3:uid="{8A3BDB56-7FE4-4C2F-918A-928E469F11C9}" name="Column2211"/>
    <tableColumn id="2212" xr3:uid="{74117F70-B955-4D60-8E56-540D7C470923}" name="Column2212"/>
    <tableColumn id="2213" xr3:uid="{0BD2D9AE-86B5-453B-A6EA-1EEC5083AE09}" name="Column2213"/>
    <tableColumn id="2214" xr3:uid="{CA9576E6-3BCA-4793-94F7-BFFB5BDB35AB}" name="Column2214"/>
    <tableColumn id="2215" xr3:uid="{62E895E7-319C-46ED-BF59-7CF6A2E69DFE}" name="Column2215"/>
    <tableColumn id="2216" xr3:uid="{9E148232-4AC9-4217-99F9-EF5C10AEBCAF}" name="Column2216"/>
    <tableColumn id="2217" xr3:uid="{3BF547F7-55CD-4BD2-9E49-29B57345068D}" name="Column2217"/>
    <tableColumn id="2218" xr3:uid="{CA1D7B54-D5D9-478E-B7E3-87EF0C961324}" name="Column2218"/>
    <tableColumn id="2219" xr3:uid="{3592BD8A-FAA2-4E89-A938-DBC54FEB8AFE}" name="Column2219"/>
    <tableColumn id="2220" xr3:uid="{2D281C05-6134-43B8-86F1-772DE8301BF4}" name="Column2220"/>
    <tableColumn id="2221" xr3:uid="{180068BB-B611-4E43-B83A-859FACE6382F}" name="Column2221"/>
    <tableColumn id="2222" xr3:uid="{3B5B296B-B2AD-43CD-842B-1E44B0A86263}" name="Column2222"/>
    <tableColumn id="2223" xr3:uid="{D7A464DC-8577-4276-9FAD-A10A14A25221}" name="Column2223"/>
    <tableColumn id="2224" xr3:uid="{018E2373-B6C3-4739-88B6-4B29BF34E3B3}" name="Column2224"/>
    <tableColumn id="2225" xr3:uid="{2673A5A3-8739-4DCD-BDD8-AFF669D505CF}" name="Column2225"/>
    <tableColumn id="2226" xr3:uid="{091679DE-1F46-4AE5-B7DA-F1FACE11E7F6}" name="Column2226"/>
    <tableColumn id="2227" xr3:uid="{5DDD6CD1-BB24-4047-A8B5-D8B0E5CA8265}" name="Column2227"/>
    <tableColumn id="2228" xr3:uid="{8B052D99-0694-4632-A075-D835547DA119}" name="Column2228"/>
    <tableColumn id="2229" xr3:uid="{D663B9D0-2981-419C-B8D8-7448B850344A}" name="Column2229"/>
    <tableColumn id="2230" xr3:uid="{C689EB4E-80E4-438D-816A-237676D9EF41}" name="Column2230"/>
    <tableColumn id="2231" xr3:uid="{37E4EF85-A2BC-47AD-99D5-64B3BBE92A51}" name="Column2231"/>
    <tableColumn id="2232" xr3:uid="{EE4DEDFD-2EFC-4A0D-BE17-6BDF2A88460E}" name="Column2232"/>
    <tableColumn id="2233" xr3:uid="{754A243A-139C-41CD-BA7A-BB0CF09EF052}" name="Column2233"/>
    <tableColumn id="2234" xr3:uid="{939784DA-04D0-45E4-99C3-66A58E51D691}" name="Column2234"/>
    <tableColumn id="2235" xr3:uid="{4DA1DCCD-FFC8-4C40-8B55-8D3550122614}" name="Column2235"/>
    <tableColumn id="2236" xr3:uid="{DD464D7D-B5B2-45EC-8CDA-9B239AE09B0D}" name="Column2236"/>
    <tableColumn id="2237" xr3:uid="{E3C98712-5F62-4DF6-947D-1E3AE50E77D5}" name="Column2237"/>
    <tableColumn id="2238" xr3:uid="{F7F93A95-D49B-48B8-B69E-6C0F98C0AA08}" name="Column2238"/>
    <tableColumn id="2239" xr3:uid="{468071C1-6EB0-4484-A534-1F6D12C177F6}" name="Column2239"/>
    <tableColumn id="2240" xr3:uid="{E1A24B40-7D61-4B24-8672-AD4E3AC70227}" name="Column2240"/>
    <tableColumn id="2241" xr3:uid="{8A522F65-A410-4C0F-8FF0-F54541363027}" name="Column2241"/>
    <tableColumn id="2242" xr3:uid="{CF0908B4-9B18-4864-A1E5-12D90945607A}" name="Column2242"/>
    <tableColumn id="2243" xr3:uid="{76E48B4F-12CB-4B00-8D22-3737945661F2}" name="Column2243"/>
    <tableColumn id="2244" xr3:uid="{28ADFBA4-39C2-47B9-93FC-68DEBA44F4F6}" name="Column2244"/>
    <tableColumn id="2245" xr3:uid="{9EF87BFF-F83A-4EC1-84DB-A4B9BDF9CF04}" name="Column2245"/>
    <tableColumn id="2246" xr3:uid="{D9CA838C-8C1A-490B-AFD1-09E5F84B83AD}" name="Column2246"/>
    <tableColumn id="2247" xr3:uid="{1521CFD3-DAEC-485A-B3CA-C2378CF4EFE7}" name="Column2247"/>
    <tableColumn id="2248" xr3:uid="{018CF5AA-3F02-4BAD-84D2-9CA4F89D2E38}" name="Column2248"/>
    <tableColumn id="2249" xr3:uid="{6A3A9155-3E9F-4543-BD65-85B181566501}" name="Column2249"/>
    <tableColumn id="2250" xr3:uid="{65CC57D0-9A6C-45D8-8EF3-CA2545D9F827}" name="Column2250"/>
    <tableColumn id="2251" xr3:uid="{4D8FFCAA-D5AD-41C7-9F71-F83418AA6649}" name="Column2251"/>
    <tableColumn id="2252" xr3:uid="{3D7EC798-810C-432D-83A4-E817BE051C12}" name="Column2252"/>
    <tableColumn id="2253" xr3:uid="{EBB03325-7C2D-4B4B-A04D-F7B19D6E4611}" name="Column2253"/>
    <tableColumn id="2254" xr3:uid="{E9A6CA95-671E-4815-9CDB-778F71CDE90D}" name="Column2254"/>
    <tableColumn id="2255" xr3:uid="{AFF4E79D-3851-47CE-B2F9-AC00B2519338}" name="Column2255"/>
    <tableColumn id="2256" xr3:uid="{463BF756-9F81-47C4-B9EB-9FC7BFFAB4A4}" name="Column2256"/>
    <tableColumn id="2257" xr3:uid="{863F43EE-0398-4821-9288-89F7F02D62F6}" name="Column2257"/>
    <tableColumn id="2258" xr3:uid="{CC2838D7-4527-41F8-9C4D-5509C0477A6C}" name="Column2258"/>
    <tableColumn id="2259" xr3:uid="{C9878D3A-EAE7-432C-A788-3BDB3162F7EC}" name="Column2259"/>
    <tableColumn id="2260" xr3:uid="{1672DEB5-D8BD-488B-A88B-8DB4AE7BFBC9}" name="Column2260"/>
    <tableColumn id="2261" xr3:uid="{05E5D640-82BA-487A-AB51-9F65992F671E}" name="Column2261"/>
    <tableColumn id="2262" xr3:uid="{CA72E7EC-F3CA-4851-ACA6-2961D9AAC667}" name="Column2262"/>
    <tableColumn id="2263" xr3:uid="{5C73C4FD-DBF0-4D00-A04F-1A8C82D76BC9}" name="Column2263"/>
    <tableColumn id="2264" xr3:uid="{BFAA449E-2971-40B8-9F5E-FE78DB7CFB90}" name="Column2264"/>
    <tableColumn id="2265" xr3:uid="{ED5CA74D-A247-42B2-858C-8CB4BE45C159}" name="Column2265"/>
    <tableColumn id="2266" xr3:uid="{61C51698-DDEC-4F4A-B218-1C86D2031FB9}" name="Column2266"/>
    <tableColumn id="2267" xr3:uid="{3A0D066C-C933-4CFC-B958-0C467D553ACB}" name="Column2267"/>
    <tableColumn id="2268" xr3:uid="{F974D98D-3CE2-4263-BA3B-26E978F45FEF}" name="Column2268"/>
    <tableColumn id="2269" xr3:uid="{5B2F33E5-3DF2-49C7-9FC5-43FA077AC7C0}" name="Column2269"/>
    <tableColumn id="2270" xr3:uid="{A10D8E48-CA6A-42CD-BE1B-C24A751F0F18}" name="Column2270"/>
    <tableColumn id="2271" xr3:uid="{128FD812-8350-4A94-9E08-9ADA3A121E72}" name="Column2271"/>
    <tableColumn id="2272" xr3:uid="{67874AAC-0454-457B-B37B-EC2E9CE88263}" name="Column2272"/>
    <tableColumn id="2273" xr3:uid="{CAB78455-9BAA-47F6-A869-0D6A01A28619}" name="Column2273"/>
    <tableColumn id="2274" xr3:uid="{C4C69C28-069C-4D56-8F4C-58192E3C04BA}" name="Column2274"/>
    <tableColumn id="2275" xr3:uid="{9931BF25-A7FE-49AA-BE6B-0637A269FD7E}" name="Column2275"/>
    <tableColumn id="2276" xr3:uid="{385E0B0B-F3E7-46F2-8B13-7721ADC7117D}" name="Column2276"/>
    <tableColumn id="2277" xr3:uid="{F29415B9-4CA7-4584-BDA2-67ADFDE369A5}" name="Column2277"/>
    <tableColumn id="2278" xr3:uid="{F308267E-C940-4A02-AE0E-87197317B0D5}" name="Column2278"/>
    <tableColumn id="2279" xr3:uid="{CC9C0A4F-4875-4EAD-A68B-9E03B935B31B}" name="Column2279"/>
    <tableColumn id="2280" xr3:uid="{E6558602-D116-48F2-BD4E-403BE9569D78}" name="Column2280"/>
    <tableColumn id="2281" xr3:uid="{C715699D-50CF-4E4B-9CE4-0DCC1EC38405}" name="Column2281"/>
    <tableColumn id="2282" xr3:uid="{707A3BB7-3908-494B-B73F-9A9268FC9A56}" name="Column2282"/>
    <tableColumn id="2283" xr3:uid="{A5AF63D4-B378-4243-A7FE-DF09406314E9}" name="Column2283"/>
    <tableColumn id="2284" xr3:uid="{4A80A356-9337-46AE-BDA8-818B285C722D}" name="Column2284"/>
    <tableColumn id="2285" xr3:uid="{1717B9CC-5BF3-4A80-9400-1D5AFB5574AC}" name="Column2285"/>
    <tableColumn id="2286" xr3:uid="{1791AD08-1602-489B-ACF8-2C6D159B5BCA}" name="Column2286"/>
    <tableColumn id="2287" xr3:uid="{0E195CF5-14DA-4569-B736-1D4E16C0CF14}" name="Column2287"/>
    <tableColumn id="2288" xr3:uid="{355238C1-07F8-4281-964B-820D515FA8F3}" name="Column2288"/>
    <tableColumn id="2289" xr3:uid="{E7245E28-C068-444A-AA5C-A2AA11D397FB}" name="Column2289"/>
    <tableColumn id="2290" xr3:uid="{3E5CCE83-14B8-4F1B-BD23-29DAA107EA9A}" name="Column2290"/>
    <tableColumn id="2291" xr3:uid="{4A6BD1AC-2345-4C16-A6F0-DF0B0C093262}" name="Column2291"/>
    <tableColumn id="2292" xr3:uid="{CAE03545-D2E7-4765-80FE-3002D1AA66EB}" name="Column2292"/>
    <tableColumn id="2293" xr3:uid="{9C2AE6AE-9235-4887-84E8-D940080EE81B}" name="Column2293"/>
    <tableColumn id="2294" xr3:uid="{7FFF9E66-B75F-4367-AF14-7A26B923F406}" name="Column2294"/>
    <tableColumn id="2295" xr3:uid="{340858F8-324B-4095-8245-2FB489B43588}" name="Column2295"/>
    <tableColumn id="2296" xr3:uid="{725349EF-7927-4762-A128-89150EDFC223}" name="Column2296"/>
    <tableColumn id="2297" xr3:uid="{E8DE2DF3-0D4D-4A99-82F7-087DEF73F3D8}" name="Column2297"/>
    <tableColumn id="2298" xr3:uid="{96876348-1B8A-45DA-9286-7443FA85D1EB}" name="Column2298"/>
    <tableColumn id="2299" xr3:uid="{ECB99F18-12D3-4AA2-B71F-6675EEAF612D}" name="Column2299"/>
    <tableColumn id="2300" xr3:uid="{34E8F35F-3D17-480E-9F3B-147993C7A5DD}" name="Column2300"/>
    <tableColumn id="2301" xr3:uid="{E5EE58C9-10AA-477A-8CFD-D4D8AC44BA26}" name="Column2301"/>
    <tableColumn id="2302" xr3:uid="{FA6D2143-68CA-449F-8B4F-5650D1AD9D81}" name="Column2302"/>
    <tableColumn id="2303" xr3:uid="{B0235B2E-1AA7-4428-A043-96F684846933}" name="Column2303"/>
    <tableColumn id="2304" xr3:uid="{7030DAD3-8F3B-4EB5-B219-7710C9ADDB7F}" name="Column2304"/>
    <tableColumn id="2305" xr3:uid="{190A4BA6-EF3E-4620-9ADD-96B200D67033}" name="Column2305"/>
    <tableColumn id="2306" xr3:uid="{38C1CD24-66E2-403E-BE02-C3148D75B713}" name="Column2306"/>
    <tableColumn id="2307" xr3:uid="{A3EE75A4-6D38-4B6C-8DF8-2FB9BDFA2422}" name="Column2307"/>
    <tableColumn id="2308" xr3:uid="{6AEF7BE7-D83F-4296-8F38-DB64F3D35EB4}" name="Column2308"/>
    <tableColumn id="2309" xr3:uid="{D7B3A804-EC48-4939-B093-8E66931CD9C2}" name="Column2309"/>
    <tableColumn id="2310" xr3:uid="{99B0E7FE-8166-4BA4-A6C7-F87208753F07}" name="Column2310"/>
    <tableColumn id="2311" xr3:uid="{C537A7FA-826F-4470-8C02-B6D5685B8BA1}" name="Column2311"/>
    <tableColumn id="2312" xr3:uid="{9CBF4C35-D745-4199-A2BD-5E4FB9C76268}" name="Column2312"/>
    <tableColumn id="2313" xr3:uid="{BF92CD3D-CF6E-4849-9A50-D8710E3B1204}" name="Column2313"/>
    <tableColumn id="2314" xr3:uid="{6EA25B1E-E995-458D-B843-CAA60EE666F1}" name="Column2314"/>
    <tableColumn id="2315" xr3:uid="{A45EC676-4D6F-466C-86A3-2103C35F4FAE}" name="Column2315"/>
    <tableColumn id="2316" xr3:uid="{DED9F244-86F8-4868-A04C-2B56D2DA5065}" name="Column2316"/>
    <tableColumn id="2317" xr3:uid="{2E5EA443-6F5D-4D2A-B88A-61CB835C5CEF}" name="Column2317"/>
    <tableColumn id="2318" xr3:uid="{A9E23041-3DD3-47C6-A297-308DF5F45903}" name="Column2318"/>
    <tableColumn id="2319" xr3:uid="{6F459F29-A129-4542-9D8F-D35FB4E56A2B}" name="Column2319"/>
    <tableColumn id="2320" xr3:uid="{1017C36B-3EA5-4650-A1C7-74E02DF8325D}" name="Column2320"/>
    <tableColumn id="2321" xr3:uid="{87FC5749-2609-48CD-B8E1-07F2DF4A8771}" name="Column2321"/>
    <tableColumn id="2322" xr3:uid="{A28F3035-4B91-4D25-9EE1-288591FF24E5}" name="Column2322"/>
    <tableColumn id="2323" xr3:uid="{132C10F9-57BA-4393-AA06-76E3C834FB73}" name="Column2323"/>
    <tableColumn id="2324" xr3:uid="{3D36572E-B919-4ED8-B1B8-C436438A2984}" name="Column2324"/>
    <tableColumn id="2325" xr3:uid="{99B15338-E8FC-45A7-9869-D2B565E6C20F}" name="Column2325"/>
    <tableColumn id="2326" xr3:uid="{780B38D1-2827-49D9-9261-D5D5BA1F6C1C}" name="Column2326"/>
    <tableColumn id="2327" xr3:uid="{0892DB76-85DE-4A36-A7A2-A7C3CAE46DBF}" name="Column2327"/>
    <tableColumn id="2328" xr3:uid="{030AB349-0B0E-4555-9449-D9FEB8726B94}" name="Column2328"/>
    <tableColumn id="2329" xr3:uid="{EC10D7FA-7870-479A-A9B4-98A79DBE0E0E}" name="Column2329"/>
    <tableColumn id="2330" xr3:uid="{0F8BEF8F-D52F-4066-87DF-9664498ED1E6}" name="Column2330"/>
    <tableColumn id="2331" xr3:uid="{0B1A88D7-D6A7-4235-BADD-C0CC4AE48D06}" name="Column2331"/>
    <tableColumn id="2332" xr3:uid="{9967726C-52A5-4B0C-AA13-F6E23F7A7807}" name="Column2332"/>
    <tableColumn id="2333" xr3:uid="{3EFAB08F-FF0E-4D2A-AFA7-4489AACA2844}" name="Column2333"/>
    <tableColumn id="2334" xr3:uid="{3EC0A0BE-ED55-47E4-A8C5-FCECE85598BC}" name="Column2334"/>
    <tableColumn id="2335" xr3:uid="{A34261CE-A8E4-40EE-A493-792AA0FFE8A2}" name="Column2335"/>
    <tableColumn id="2336" xr3:uid="{3FC541ED-C361-49AF-9B11-46F53DB49220}" name="Column2336"/>
    <tableColumn id="2337" xr3:uid="{3F9909C3-9E4D-4EB0-B20A-B4895BE62B01}" name="Column2337"/>
    <tableColumn id="2338" xr3:uid="{FED9960B-EA80-4477-97AA-82CB6F6C1608}" name="Column2338"/>
    <tableColumn id="2339" xr3:uid="{098B336E-76F7-4351-ADE4-64A3CFA8C944}" name="Column2339"/>
    <tableColumn id="2340" xr3:uid="{5759CA35-396A-49EE-BA54-47554F1B037F}" name="Column2340"/>
    <tableColumn id="2341" xr3:uid="{093FE0F9-CB5D-4F77-B673-ED73CBF0EA86}" name="Column2341"/>
    <tableColumn id="2342" xr3:uid="{F4A7D8C3-2CB6-4209-BDBE-D337321D7C63}" name="Column2342"/>
    <tableColumn id="2343" xr3:uid="{58B5459C-FF80-4E43-90DF-5EAACDCDCADD}" name="Column2343"/>
    <tableColumn id="2344" xr3:uid="{A340836A-0BE0-48C6-8300-3F38231CFA2C}" name="Column2344"/>
    <tableColumn id="2345" xr3:uid="{8B33450B-34FE-49C6-A79C-B1930FCFD236}" name="Column2345"/>
    <tableColumn id="2346" xr3:uid="{26469FA5-AFB4-46D9-80B1-6DB6F012E30B}" name="Column2346"/>
    <tableColumn id="2347" xr3:uid="{403FF9AB-5DA1-4A3B-BA1E-4772BA3ED1A7}" name="Column2347"/>
    <tableColumn id="2348" xr3:uid="{C5A395B4-B3BC-4B9E-A47A-A8FBF5D1A1F0}" name="Column2348"/>
    <tableColumn id="2349" xr3:uid="{5A2952DB-6C2E-40F1-9AF4-FE3406061288}" name="Column2349"/>
    <tableColumn id="2350" xr3:uid="{CDA244B4-7F58-4D29-ADF2-944343D6163A}" name="Column2350"/>
    <tableColumn id="2351" xr3:uid="{CE4C741A-AE53-4509-903A-569E0B981C5E}" name="Column2351"/>
    <tableColumn id="2352" xr3:uid="{00C5F85B-9F24-4C22-BDC0-9D5C706BCF5E}" name="Column2352"/>
    <tableColumn id="2353" xr3:uid="{BCFC9959-4734-4BD4-BAB3-D775600DB432}" name="Column2353"/>
    <tableColumn id="2354" xr3:uid="{6A8D304E-7548-4975-9570-418C4B6A0DC3}" name="Column2354"/>
    <tableColumn id="2355" xr3:uid="{079B1B39-3AA5-4018-9181-0D87E547E9B5}" name="Column2355"/>
    <tableColumn id="2356" xr3:uid="{7EE6E4D5-AE0F-4471-AF96-68DAE6035E6D}" name="Column2356"/>
    <tableColumn id="2357" xr3:uid="{FF4B0900-A0BB-47EE-AFA6-139C47E9CBA5}" name="Column2357"/>
    <tableColumn id="2358" xr3:uid="{E408402C-AD6F-462C-8369-BEDB8672AA06}" name="Column2358"/>
    <tableColumn id="2359" xr3:uid="{1FDECEE2-4CF2-431E-8DD0-DF79F3EB3FE4}" name="Column2359"/>
    <tableColumn id="2360" xr3:uid="{E98F5C2C-FDB8-4BE5-9B4F-1AFD8F73C56B}" name="Column2360"/>
    <tableColumn id="2361" xr3:uid="{9B282549-ACF3-4B32-A995-7B955E2C5810}" name="Column2361"/>
    <tableColumn id="2362" xr3:uid="{52CF28F4-86F8-4EA0-B408-E142A900B1DE}" name="Column2362"/>
    <tableColumn id="2363" xr3:uid="{431A9816-021C-43E7-8593-B81A7C56D3C2}" name="Column2363"/>
    <tableColumn id="2364" xr3:uid="{A245230D-789F-4E40-BC9F-FC2DE47A158F}" name="Column2364"/>
    <tableColumn id="2365" xr3:uid="{DAF6E888-829C-40F6-90A7-99E6BEB3CD7F}" name="Column2365"/>
    <tableColumn id="2366" xr3:uid="{11826209-488C-4BE6-B21F-9C9F3E301A95}" name="Column2366"/>
    <tableColumn id="2367" xr3:uid="{1BDEADE5-ACED-4F56-9A1F-18141881EE2C}" name="Column2367"/>
    <tableColumn id="2368" xr3:uid="{D5585B97-FD95-4ADC-B4B2-B57575F4401F}" name="Column2368"/>
    <tableColumn id="2369" xr3:uid="{D9367A99-2D54-4594-A04F-6FE2C7F245A4}" name="Column2369"/>
    <tableColumn id="2370" xr3:uid="{58A2D3E0-69D9-4882-86C9-027DD544EA5C}" name="Column2370"/>
    <tableColumn id="2371" xr3:uid="{42BFEF41-49E4-4F21-ABBC-AAFCDC23CCD0}" name="Column2371"/>
    <tableColumn id="2372" xr3:uid="{C2271B2A-395E-4B67-9F17-03BC6D77DF13}" name="Column2372"/>
    <tableColumn id="2373" xr3:uid="{7B1B95FC-D520-4402-AECD-66517D128494}" name="Column2373"/>
    <tableColumn id="2374" xr3:uid="{23D671DB-1F71-44BB-827E-0344BC7A7427}" name="Column2374"/>
    <tableColumn id="2375" xr3:uid="{6A42D3EE-10A2-46FE-A5D8-A78216571E4B}" name="Column2375"/>
    <tableColumn id="2376" xr3:uid="{50ED0B2B-0E2A-4B16-B889-8950E09518B5}" name="Column2376"/>
    <tableColumn id="2377" xr3:uid="{5542F3FB-D6DB-43D8-A00F-0F4D6FA6650E}" name="Column2377"/>
    <tableColumn id="2378" xr3:uid="{A78D82A5-55C7-4D4C-AA4E-2A7D4A8AC74B}" name="Column2378"/>
    <tableColumn id="2379" xr3:uid="{E51F89D0-EB4F-40D8-A199-FA42674C971B}" name="Column2379"/>
    <tableColumn id="2380" xr3:uid="{00149B9A-445D-44DF-8FE9-AFB9EA749742}" name="Column2380"/>
    <tableColumn id="2381" xr3:uid="{A70F4D35-9279-412D-B750-9C44B0EB06BA}" name="Column2381"/>
    <tableColumn id="2382" xr3:uid="{0DED5205-B277-4D4D-8F75-5F6C52337173}" name="Column2382"/>
    <tableColumn id="2383" xr3:uid="{04293173-01A4-4C08-BA78-9514348C6FBA}" name="Column2383"/>
    <tableColumn id="2384" xr3:uid="{D1465D40-9DF9-4572-9C70-14F684F41A68}" name="Column2384"/>
    <tableColumn id="2385" xr3:uid="{E900891B-9407-4E2D-984A-1880C8D56BDB}" name="Column2385"/>
    <tableColumn id="2386" xr3:uid="{3B8C848C-3BB2-4A22-941B-C6BEEDCAFD0F}" name="Column2386"/>
    <tableColumn id="2387" xr3:uid="{3543899D-010D-4B6C-9359-B07286918DCD}" name="Column2387"/>
    <tableColumn id="2388" xr3:uid="{EB2012EE-A39E-466B-8041-753D77AA5BEB}" name="Column2388"/>
    <tableColumn id="2389" xr3:uid="{FC51C154-329C-4901-943E-7DA66E7DE2A7}" name="Column2389"/>
    <tableColumn id="2390" xr3:uid="{064D0AE3-88F1-4BAD-99CD-71DAC33048E0}" name="Column2390"/>
    <tableColumn id="2391" xr3:uid="{F47CF0E3-CD72-4478-9B2B-315AA6025084}" name="Column2391"/>
    <tableColumn id="2392" xr3:uid="{774A40A5-4D01-44DC-9682-7D28A29E8238}" name="Column2392"/>
    <tableColumn id="2393" xr3:uid="{890FF1AB-2EE0-421C-9F30-C670F418DB3D}" name="Column2393"/>
    <tableColumn id="2394" xr3:uid="{9B113E81-1634-42E1-9BFF-07B5116350F0}" name="Column2394"/>
    <tableColumn id="2395" xr3:uid="{65811C68-36A3-4333-834A-0738423D2C97}" name="Column2395"/>
    <tableColumn id="2396" xr3:uid="{5B9BBC49-0080-4D74-8883-A0B6A7F615A8}" name="Column2396"/>
    <tableColumn id="2397" xr3:uid="{A0AAB6BC-4E02-4F64-A322-229636AFC96B}" name="Column2397"/>
    <tableColumn id="2398" xr3:uid="{8DA69BA9-2856-4A43-9144-872DE7D88BC9}" name="Column2398"/>
    <tableColumn id="2399" xr3:uid="{B33D3F41-5002-4151-A2A2-7791EF5A7F4F}" name="Column2399"/>
    <tableColumn id="2400" xr3:uid="{B250D1CA-DCA8-41DC-AA57-B58C5A8CD9C5}" name="Column2400"/>
    <tableColumn id="2401" xr3:uid="{BF345F05-C95D-49B0-9A7E-03C70ADCAFD3}" name="Column2401"/>
    <tableColumn id="2402" xr3:uid="{41B97EA5-F173-4CCA-9C2D-49460C1C50DD}" name="Column2402"/>
    <tableColumn id="2403" xr3:uid="{9ADA16A7-195D-45C6-A0FD-D26B91158706}" name="Column2403"/>
    <tableColumn id="2404" xr3:uid="{F1DCAF68-F317-4466-B62F-6341BF81925C}" name="Column2404"/>
    <tableColumn id="2405" xr3:uid="{08A7BDD1-ACBA-4435-8F01-B28C53414C5B}" name="Column2405"/>
    <tableColumn id="2406" xr3:uid="{D0F45F96-53FF-4FC2-BB66-309DC578BD6A}" name="Column2406"/>
    <tableColumn id="2407" xr3:uid="{8E579178-7EF9-4D8D-BDEE-7BEBAF95B64B}" name="Column2407"/>
    <tableColumn id="2408" xr3:uid="{C2989632-7A65-4CB7-A55E-837EEF48E65B}" name="Column2408"/>
    <tableColumn id="2409" xr3:uid="{7D9847F0-F3A6-401D-A684-A06F7DCFE298}" name="Column2409"/>
    <tableColumn id="2410" xr3:uid="{35D2F219-4F38-4A78-B3D2-CE3CA7A95CC2}" name="Column2410"/>
    <tableColumn id="2411" xr3:uid="{70216DE3-E897-49F1-B3CD-532973AFE426}" name="Column2411"/>
    <tableColumn id="2412" xr3:uid="{9240F263-4D51-4F2E-8B21-C966A64069D4}" name="Column2412"/>
    <tableColumn id="2413" xr3:uid="{C4F37BC2-3108-419B-B699-D89F39A9216B}" name="Column2413"/>
    <tableColumn id="2414" xr3:uid="{2A8E7493-418A-410B-8CAB-F20D5CD1549D}" name="Column2414"/>
    <tableColumn id="2415" xr3:uid="{8C4778EC-3EA7-4A7C-B008-BD8DFE7C7FC9}" name="Column2415"/>
    <tableColumn id="2416" xr3:uid="{B2C70728-0DF4-41C0-8C06-AF2E4FBD3267}" name="Column2416"/>
    <tableColumn id="2417" xr3:uid="{3699E87C-84F8-432F-B6FF-DB3F5DA908B3}" name="Column2417"/>
    <tableColumn id="2418" xr3:uid="{A484885D-C547-4394-9786-E105CA6C7DE1}" name="Column2418"/>
    <tableColumn id="2419" xr3:uid="{9DDCB694-0CB8-41D1-9FF6-B4E960974B5D}" name="Column2419"/>
    <tableColumn id="2420" xr3:uid="{7989D98B-5A55-4EB5-90CC-6BB09B820BF6}" name="Column2420"/>
    <tableColumn id="2421" xr3:uid="{4FE2A7C3-0B99-4785-86C7-408B375CC301}" name="Column2421"/>
    <tableColumn id="2422" xr3:uid="{FBCF25B8-0A5D-4069-835E-E08BC6B54AC5}" name="Column2422"/>
    <tableColumn id="2423" xr3:uid="{6BA1E789-C589-46B2-AF37-91BDF4C09E88}" name="Column2423"/>
    <tableColumn id="2424" xr3:uid="{ED6D07D1-A8D4-4E83-B213-9CF6EF5CAEF4}" name="Column2424"/>
    <tableColumn id="2425" xr3:uid="{E09CA784-05AC-45B6-9BD8-9C99FC700B0A}" name="Column2425"/>
    <tableColumn id="2426" xr3:uid="{885A5BD7-C7AB-41E4-B9D0-DC1B8041E7AC}" name="Column2426"/>
    <tableColumn id="2427" xr3:uid="{1993E4AD-1EC0-4A9B-8DBD-580E29C1B5F9}" name="Column2427"/>
    <tableColumn id="2428" xr3:uid="{7502A044-D18C-4255-8923-00D55E5FA755}" name="Column2428"/>
    <tableColumn id="2429" xr3:uid="{479E2AE3-9D55-4820-A637-ACEE31BDB376}" name="Column2429"/>
    <tableColumn id="2430" xr3:uid="{739F0B9A-6484-4616-8DCF-F1EE7A63A993}" name="Column2430"/>
    <tableColumn id="2431" xr3:uid="{EF84793F-EC8E-4340-B26B-8F7B9FF129ED}" name="Column2431"/>
    <tableColumn id="2432" xr3:uid="{008D5E39-60DD-4A96-9AAC-54CBE61A4A17}" name="Column2432"/>
    <tableColumn id="2433" xr3:uid="{E583DA33-1739-492A-B7BC-9543B3FD0E49}" name="Column2433"/>
    <tableColumn id="2434" xr3:uid="{2A1BA924-A249-4772-89B9-BA0FC79E8744}" name="Column2434"/>
    <tableColumn id="2435" xr3:uid="{DC4C43FB-56D6-49D5-838A-CA1AE9DE96BE}" name="Column2435"/>
    <tableColumn id="2436" xr3:uid="{55794EE8-E2D0-4B01-A493-65049EF30831}" name="Column2436"/>
    <tableColumn id="2437" xr3:uid="{C2DD6D9B-550C-404E-9E4A-86EAEAAE4A27}" name="Column2437"/>
    <tableColumn id="2438" xr3:uid="{BC2BE7A2-9867-4707-B841-27EAEA346F68}" name="Column2438"/>
    <tableColumn id="2439" xr3:uid="{1C256795-793D-4443-AEB0-C11EC79A17BA}" name="Column2439"/>
    <tableColumn id="2440" xr3:uid="{51DBC5DE-D505-499D-BCFD-87DF418048A0}" name="Column2440"/>
    <tableColumn id="2441" xr3:uid="{FBACFE3B-1E14-47ED-9D66-2189F7B6FE86}" name="Column2441"/>
    <tableColumn id="2442" xr3:uid="{470DA811-BF6B-4D5E-AEEF-147F83A9973A}" name="Column2442"/>
    <tableColumn id="2443" xr3:uid="{8265A2B5-0B16-4D0F-8CB8-7D7372066B0B}" name="Column2443"/>
    <tableColumn id="2444" xr3:uid="{D3F237A7-A1F9-4010-87B3-E16EE46F5ADD}" name="Column2444"/>
    <tableColumn id="2445" xr3:uid="{E8B6B2E6-488F-408A-A064-AAD994B095FA}" name="Column2445"/>
    <tableColumn id="2446" xr3:uid="{9B804407-7D6C-4309-A7AA-27D6AD5FD9EB}" name="Column2446"/>
    <tableColumn id="2447" xr3:uid="{23128A37-98C4-4143-B063-4DA947E7D57D}" name="Column2447"/>
    <tableColumn id="2448" xr3:uid="{4E24C805-6AF9-441B-88BA-E7A766E1CF57}" name="Column2448"/>
    <tableColumn id="2449" xr3:uid="{371525AC-233E-4937-AA7D-7B6662FCDAC9}" name="Column2449"/>
    <tableColumn id="2450" xr3:uid="{2E5B5400-F28E-4AC8-87A7-140E0B4FF0D7}" name="Column2450"/>
    <tableColumn id="2451" xr3:uid="{15C55539-21C4-4F88-8EF5-ACEB2C09893F}" name="Column2451"/>
    <tableColumn id="2452" xr3:uid="{A18460BA-828C-4219-94DA-A969AE93CAB8}" name="Column2452"/>
    <tableColumn id="2453" xr3:uid="{5829A9D9-726B-4305-86C9-03878BB961C0}" name="Column2453"/>
    <tableColumn id="2454" xr3:uid="{B5567B3A-7EBC-42B2-AA9E-6CF4FB20BE0D}" name="Column2454"/>
    <tableColumn id="2455" xr3:uid="{37012762-BD1B-4921-B72E-760DC756D575}" name="Column2455"/>
    <tableColumn id="2456" xr3:uid="{6DFDB64A-7345-4D56-942F-81F6AC62DC92}" name="Column2456"/>
    <tableColumn id="2457" xr3:uid="{B8AC3DA0-F68D-4979-B9B5-FC28F81689AE}" name="Column2457"/>
    <tableColumn id="2458" xr3:uid="{F0B280D6-A8C5-4D0F-B662-0399E7054916}" name="Column2458"/>
    <tableColumn id="2459" xr3:uid="{C5C3E833-A839-48F4-9881-A2A73D1D0225}" name="Column2459"/>
    <tableColumn id="2460" xr3:uid="{C8321EA7-C094-4141-B208-0AF2A9BE1671}" name="Column2460"/>
    <tableColumn id="2461" xr3:uid="{E81301B6-9A5A-471E-8193-7B922501B3BD}" name="Column2461"/>
    <tableColumn id="2462" xr3:uid="{798E9530-364F-47DF-A7C2-698F2364767F}" name="Column2462"/>
    <tableColumn id="2463" xr3:uid="{43A76CBE-C41D-49C2-AD09-77FE6D9AB5E7}" name="Column2463"/>
    <tableColumn id="2464" xr3:uid="{90E83F3E-FBE0-4C56-92D2-148C9D5CC36A}" name="Column2464"/>
    <tableColumn id="2465" xr3:uid="{A5E0D8C8-6BCD-41E4-A2A3-863959FC7D6A}" name="Column2465"/>
    <tableColumn id="2466" xr3:uid="{16E36AF1-40BC-489B-AC25-D0EBDBF8980B}" name="Column2466"/>
    <tableColumn id="2467" xr3:uid="{8E772AB8-BE97-42E8-A472-9BA8EAED26A8}" name="Column2467"/>
    <tableColumn id="2468" xr3:uid="{85A58253-331B-4CA6-93EB-B07138BC8738}" name="Column2468"/>
    <tableColumn id="2469" xr3:uid="{E9858712-7D07-44F5-A54C-95BCACBF0251}" name="Column2469"/>
    <tableColumn id="2470" xr3:uid="{56CC3897-4654-46A7-AC43-2638ADC1C6B9}" name="Column2470"/>
    <tableColumn id="2471" xr3:uid="{79E3C547-B503-4869-AFA0-AEC71239FACA}" name="Column2471"/>
    <tableColumn id="2472" xr3:uid="{5E17936B-24B8-4C58-8BC1-BCAC4594EAD6}" name="Column2472"/>
    <tableColumn id="2473" xr3:uid="{B1F5A666-04B5-4E90-88F8-6510C4F287B8}" name="Column2473"/>
    <tableColumn id="2474" xr3:uid="{ECDD14FF-442A-42D8-B3D5-115DBA772297}" name="Column2474"/>
    <tableColumn id="2475" xr3:uid="{4F4387F0-0163-429B-9C5A-EAFB5F15A9B4}" name="Column2475"/>
    <tableColumn id="2476" xr3:uid="{E97D42DD-9A67-44E7-84B2-65B8BB8CF79A}" name="Column2476"/>
    <tableColumn id="2477" xr3:uid="{BAA31914-B459-4A98-89F7-5B6E79E6F35E}" name="Column2477"/>
    <tableColumn id="2478" xr3:uid="{7D129FEA-5A85-4BE7-9D13-30BBB910295D}" name="Column2478"/>
    <tableColumn id="2479" xr3:uid="{71A00FC1-A41E-47A1-8077-087196D5EE9D}" name="Column2479"/>
    <tableColumn id="2480" xr3:uid="{6D542DEB-C186-47AB-9423-43F427E605DB}" name="Column2480"/>
    <tableColumn id="2481" xr3:uid="{617AF0D8-1D20-4B95-8624-0E5BAD85F588}" name="Column2481"/>
    <tableColumn id="2482" xr3:uid="{881F93E8-D181-4C66-A5BB-2E6240FF4117}" name="Column2482"/>
    <tableColumn id="2483" xr3:uid="{86183348-5B85-40B9-A874-4088BE9572C6}" name="Column2483"/>
    <tableColumn id="2484" xr3:uid="{92E46389-1B10-4610-9C59-6B374A272265}" name="Column2484"/>
    <tableColumn id="2485" xr3:uid="{52F5A5A7-0440-49BC-AC59-D5B47241B291}" name="Column2485"/>
    <tableColumn id="2486" xr3:uid="{64C0EBC9-CCA1-4064-807A-5EBFF27A97F4}" name="Column2486"/>
    <tableColumn id="2487" xr3:uid="{38DDA57A-B178-4D28-9C04-77C3DDFD8D15}" name="Column2487"/>
    <tableColumn id="2488" xr3:uid="{877FCD83-53B8-4868-BBFD-7C4E5F0B9274}" name="Column2488"/>
    <tableColumn id="2489" xr3:uid="{805424FA-037F-4D52-8FB1-75717CC71092}" name="Column2489"/>
    <tableColumn id="2490" xr3:uid="{465A8E22-8E1F-42AD-A909-087D87CC1DE3}" name="Column2490"/>
    <tableColumn id="2491" xr3:uid="{4B8032FB-0F5A-47DB-A10A-C2479F48EEF9}" name="Column2491"/>
    <tableColumn id="2492" xr3:uid="{DF410DDB-EF16-4EB6-A049-51D4593A8AA8}" name="Column2492"/>
    <tableColumn id="2493" xr3:uid="{612E5D30-C11E-4E5A-9E5A-5DF53DA869CD}" name="Column2493"/>
    <tableColumn id="2494" xr3:uid="{A9DA0A7C-D96B-430B-8C99-9395D246EE13}" name="Column2494"/>
    <tableColumn id="2495" xr3:uid="{E3544035-893C-40FE-A4D9-36C2D59CE054}" name="Column2495"/>
    <tableColumn id="2496" xr3:uid="{A7EB6D4F-CEFE-44A4-B62C-A65B7145E688}" name="Column2496"/>
    <tableColumn id="2497" xr3:uid="{7395184C-4925-43FB-9921-6C8619B335F5}" name="Column2497"/>
    <tableColumn id="2498" xr3:uid="{378BC9E5-6FB1-4E65-A763-DA170073580F}" name="Column2498"/>
    <tableColumn id="2499" xr3:uid="{93B7B168-D90C-46A8-AC32-0627975A485E}" name="Column2499"/>
    <tableColumn id="2500" xr3:uid="{C9EFFF2A-A854-4CB7-8D21-AA935ECEFFF7}" name="Column2500"/>
    <tableColumn id="2501" xr3:uid="{0FBF4971-73F6-4378-A41A-0D2891377338}" name="Column2501"/>
    <tableColumn id="2502" xr3:uid="{D01D0F0A-F20F-42F3-A458-6009C1D923FF}" name="Column2502"/>
    <tableColumn id="2503" xr3:uid="{40C84F58-D628-42C8-BD7F-32018651AB99}" name="Column2503"/>
    <tableColumn id="2504" xr3:uid="{72686CA5-04C8-486A-B6E2-888AB042E91E}" name="Column2504"/>
    <tableColumn id="2505" xr3:uid="{C575EE59-B25B-42DB-936D-A66123843417}" name="Column2505"/>
    <tableColumn id="2506" xr3:uid="{B01443F8-DAD3-430E-9A35-37D1C70C99FC}" name="Column2506"/>
    <tableColumn id="2507" xr3:uid="{7791DE42-10B5-431B-A98B-F6BA51C8964B}" name="Column2507"/>
    <tableColumn id="2508" xr3:uid="{89E3BBBF-FDCA-4986-871E-A4EBC5F674E7}" name="Column2508"/>
    <tableColumn id="2509" xr3:uid="{994750BD-62EA-4695-8A38-0C1D2AE6F8DC}" name="Column2509"/>
    <tableColumn id="2510" xr3:uid="{905B975E-1159-4B08-9662-0E0C94B8ABCF}" name="Column2510"/>
    <tableColumn id="2511" xr3:uid="{64AA30B8-BF1B-4397-91D0-902666F66280}" name="Column2511"/>
    <tableColumn id="2512" xr3:uid="{578B8FAF-1AF6-4E89-9211-BB49E26D62FB}" name="Column2512"/>
    <tableColumn id="2513" xr3:uid="{5EC88F6C-4597-4D76-AE6F-B60B04A4FDE5}" name="Column2513"/>
    <tableColumn id="2514" xr3:uid="{6E2C19F2-1168-4DBD-AC2C-DCDAB2A684FC}" name="Column2514"/>
    <tableColumn id="2515" xr3:uid="{6B8A5DF0-4B42-4DA0-BDC0-7DC66E558751}" name="Column2515"/>
    <tableColumn id="2516" xr3:uid="{0783C775-EE89-4214-B186-E6795BAEDCE2}" name="Column2516"/>
    <tableColumn id="2517" xr3:uid="{7B2E93AA-687B-4526-A0FB-9D0614B23CE6}" name="Column2517"/>
    <tableColumn id="2518" xr3:uid="{AA6024AC-58EA-4A69-BAE7-EF543121D79A}" name="Column2518"/>
    <tableColumn id="2519" xr3:uid="{98F084C3-16E3-474B-B3FC-E72BC3EED696}" name="Column2519"/>
    <tableColumn id="2520" xr3:uid="{3BB9CF9D-8674-4DC7-BAEC-19EEB1E627F4}" name="Column2520"/>
    <tableColumn id="2521" xr3:uid="{9899E984-4412-4E06-863B-E641378343C9}" name="Column2521"/>
    <tableColumn id="2522" xr3:uid="{1F398423-8E78-43F2-994B-4EB8AB9B71B9}" name="Column2522"/>
    <tableColumn id="2523" xr3:uid="{8399C5C1-B25A-4612-8976-78DA5EF1907F}" name="Column2523"/>
    <tableColumn id="2524" xr3:uid="{8CA64A6F-B21B-4FBA-82A5-907113E2E586}" name="Column2524"/>
    <tableColumn id="2525" xr3:uid="{2D6C813D-5F19-4BDE-AB80-C83EA4C92869}" name="Column2525"/>
    <tableColumn id="2526" xr3:uid="{A9077A81-DFA5-47D9-9749-26CD76C872D3}" name="Column2526"/>
    <tableColumn id="2527" xr3:uid="{3DC45144-B5D6-4EE9-8F49-D8DCCC56998E}" name="Column2527"/>
    <tableColumn id="2528" xr3:uid="{106688CB-77D0-46AA-8A11-349C97269A1C}" name="Column2528"/>
    <tableColumn id="2529" xr3:uid="{1CBE1BB3-4829-4435-8818-00D72286588D}" name="Column2529"/>
    <tableColumn id="2530" xr3:uid="{3DD4359E-65B2-4914-B763-95CACED80949}" name="Column2530"/>
    <tableColumn id="2531" xr3:uid="{F59091F6-BB38-4F21-B2E7-DFF242CE2A50}" name="Column2531"/>
    <tableColumn id="2532" xr3:uid="{DC4E6329-44F7-435A-B1AC-64DE72F02896}" name="Column2532"/>
    <tableColumn id="2533" xr3:uid="{666631DC-ACEF-4305-9073-FE7423FE1D4D}" name="Column2533"/>
    <tableColumn id="2534" xr3:uid="{BDC34971-97A1-426E-BFC1-D00527E7C78E}" name="Column2534"/>
    <tableColumn id="2535" xr3:uid="{12D2935B-FC6E-4D06-9F1D-69AE08286242}" name="Column2535"/>
    <tableColumn id="2536" xr3:uid="{A730DC2F-052D-4D4D-84BB-7B4C3AD32F92}" name="Column2536"/>
    <tableColumn id="2537" xr3:uid="{D93FD168-EDC5-4B70-90A6-14D4EB75CCDE}" name="Column2537"/>
    <tableColumn id="2538" xr3:uid="{4DEDFDBA-C095-4B3E-9FC6-9D0439C271B3}" name="Column2538"/>
    <tableColumn id="2539" xr3:uid="{FE512BDC-C46E-4E63-B92D-40C5A9A3CBEA}" name="Column2539"/>
    <tableColumn id="2540" xr3:uid="{9E67AE62-994A-4D1A-9730-9F9584513CFD}" name="Column2540"/>
    <tableColumn id="2541" xr3:uid="{77E14335-33C7-48BE-B871-4E6FF770609C}" name="Column2541"/>
    <tableColumn id="2542" xr3:uid="{9B03A9A8-0CCE-409D-9190-B61CEF909AC9}" name="Column2542"/>
    <tableColumn id="2543" xr3:uid="{E9B5285E-D1AF-4496-A13E-5FD760EFEC00}" name="Column2543"/>
    <tableColumn id="2544" xr3:uid="{A3F78FDD-7A2B-4156-BA38-03BBE864CC94}" name="Column2544"/>
    <tableColumn id="2545" xr3:uid="{162C2C09-368E-4D33-B6A1-F7B13609B91D}" name="Column2545"/>
    <tableColumn id="2546" xr3:uid="{2BB83FC8-BB8D-4714-A7CB-771A20C9BCA2}" name="Column2546"/>
    <tableColumn id="2547" xr3:uid="{CF263DD7-F38F-4880-A800-974AAF383D79}" name="Column2547"/>
    <tableColumn id="2548" xr3:uid="{9C61E8E8-48AC-491F-AC60-6F8ACF78923D}" name="Column2548"/>
    <tableColumn id="2549" xr3:uid="{E255A913-62A4-43A5-9053-32792FAF19E7}" name="Column2549"/>
    <tableColumn id="2550" xr3:uid="{C98F2DB2-045E-4554-97E3-A2678D4EA79B}" name="Column2550"/>
    <tableColumn id="2551" xr3:uid="{DC588683-D616-42B6-8807-8E36A547AC5A}" name="Column2551"/>
    <tableColumn id="2552" xr3:uid="{5C8A476C-1ECC-4525-BF28-69242E1D1051}" name="Column2552"/>
    <tableColumn id="2553" xr3:uid="{A5648266-633F-495E-9A61-268BA48B9A84}" name="Column2553"/>
    <tableColumn id="2554" xr3:uid="{461BC256-A83E-41E5-BC8F-9FA5A27E3C7D}" name="Column2554"/>
    <tableColumn id="2555" xr3:uid="{F87D482A-CD42-4DE2-A0E0-201497CC8012}" name="Column2555"/>
    <tableColumn id="2556" xr3:uid="{A52F88D9-A687-4E30-9FC4-9408E250287B}" name="Column2556"/>
    <tableColumn id="2557" xr3:uid="{E7318DEF-B808-43B6-A9D2-3DEA6145B333}" name="Column2557"/>
    <tableColumn id="2558" xr3:uid="{AEBC9AAC-82FC-4C87-931F-1313303758CF}" name="Column2558"/>
    <tableColumn id="2559" xr3:uid="{5C679489-E640-4799-AD37-48CB0AAE32A1}" name="Column2559"/>
    <tableColumn id="2560" xr3:uid="{E8982DAF-5013-47BA-A957-B4223795F695}" name="Column2560"/>
    <tableColumn id="2561" xr3:uid="{7359FA98-C62B-4D0D-8C0B-5E4EF3D4594B}" name="Column2561"/>
    <tableColumn id="2562" xr3:uid="{531798AB-F2CC-426B-8758-F9AC5F36AC2B}" name="Column2562"/>
    <tableColumn id="2563" xr3:uid="{0C49CEB6-AD8A-4966-A81E-CCE069D39243}" name="Column2563"/>
    <tableColumn id="2564" xr3:uid="{810F8C1C-8F8B-447A-998B-234F9692BFFC}" name="Column2564"/>
    <tableColumn id="2565" xr3:uid="{420C6B05-6E62-4725-9940-4A4C3444C61B}" name="Column2565"/>
    <tableColumn id="2566" xr3:uid="{8F9F3ACE-D2FC-4C36-A749-AA398DC0296E}" name="Column2566"/>
    <tableColumn id="2567" xr3:uid="{79473C6B-9066-40F4-94E9-062C0DB8591F}" name="Column2567"/>
    <tableColumn id="2568" xr3:uid="{7F878692-1870-4D32-A04D-ED6D2E9F56EC}" name="Column2568"/>
    <tableColumn id="2569" xr3:uid="{2C060C8F-9AB8-4F76-B7E6-AF72C450FE80}" name="Column2569"/>
    <tableColumn id="2570" xr3:uid="{658FFEF0-81C5-4CA1-9B7E-67D07C076ADC}" name="Column2570"/>
    <tableColumn id="2571" xr3:uid="{228A7E8B-3455-4A4E-B662-A435CE3093EF}" name="Column2571"/>
    <tableColumn id="2572" xr3:uid="{0649FC67-644A-4BDC-AEFB-04D9C6E3840C}" name="Column2572"/>
    <tableColumn id="2573" xr3:uid="{7B88808E-B334-4E71-8F69-ECB7C32912AE}" name="Column2573"/>
    <tableColumn id="2574" xr3:uid="{3C652BAA-9F55-4B59-9F71-1CEE2EB728D8}" name="Column2574"/>
    <tableColumn id="2575" xr3:uid="{8A38DF0B-3152-4D6E-85BE-1FABE1A130E8}" name="Column2575"/>
    <tableColumn id="2576" xr3:uid="{CD779DE9-41BC-4799-A759-E5EDB116E14E}" name="Column2576"/>
    <tableColumn id="2577" xr3:uid="{A5181933-29CF-4E03-B0B6-C9764ACA7060}" name="Column2577"/>
    <tableColumn id="2578" xr3:uid="{96F58E7E-CFA0-4BAB-B256-99D8E3EB0058}" name="Column2578"/>
    <tableColumn id="2579" xr3:uid="{4384CCF5-D8A7-4A13-9935-9096EA0DCCBD}" name="Column2579"/>
    <tableColumn id="2580" xr3:uid="{4E8D2A82-8550-4F2F-B336-170911476127}" name="Column2580"/>
    <tableColumn id="2581" xr3:uid="{22A9C658-751C-4D88-A094-C37976247CF4}" name="Column2581"/>
    <tableColumn id="2582" xr3:uid="{2264294C-FE00-404F-A274-EEF25CA7F6C1}" name="Column2582"/>
    <tableColumn id="2583" xr3:uid="{F1724B9E-A4CF-4090-B754-4D25CC530E73}" name="Column2583"/>
    <tableColumn id="2584" xr3:uid="{EFB0CF94-7ADD-4E5C-BA24-CD96012911CA}" name="Column2584"/>
    <tableColumn id="2585" xr3:uid="{9C60E20D-0E65-477B-91AF-4A29F3606A41}" name="Column2585"/>
    <tableColumn id="2586" xr3:uid="{03632388-0541-4DFD-81BD-D8E5FDFAEC78}" name="Column2586"/>
    <tableColumn id="2587" xr3:uid="{D63DAAE7-7136-429B-9986-C9C892DD0C78}" name="Column2587"/>
    <tableColumn id="2588" xr3:uid="{9A79DD1B-1C95-4C0E-9FF5-8691FF476735}" name="Column2588"/>
    <tableColumn id="2589" xr3:uid="{5C81B3C4-8460-4F8D-A8E2-C30B8E448BB7}" name="Column2589"/>
    <tableColumn id="2590" xr3:uid="{392B6FCC-1D02-4B59-B407-89A21C8B999E}" name="Column2590"/>
    <tableColumn id="2591" xr3:uid="{70CBC24D-3AC4-4F90-AB7D-9BDE17FFD06F}" name="Column2591"/>
    <tableColumn id="2592" xr3:uid="{7E3A18BB-75B7-4A62-BC92-93C5C5CDFBF4}" name="Column2592"/>
    <tableColumn id="2593" xr3:uid="{4D122277-0666-4E85-AD20-8873F3D3D5EB}" name="Column2593"/>
    <tableColumn id="2594" xr3:uid="{B9E7A22E-C4D8-4810-BE92-AD1F8C04AD2F}" name="Column2594"/>
    <tableColumn id="2595" xr3:uid="{5B12C86B-61B8-4362-8C8F-7064E0BF740C}" name="Column2595"/>
    <tableColumn id="2596" xr3:uid="{CF29C578-7D6E-47AB-B0B3-E42696CAA14F}" name="Column2596"/>
    <tableColumn id="2597" xr3:uid="{A69F8800-9387-4B69-A90A-A6C8F7144E37}" name="Column2597"/>
    <tableColumn id="2598" xr3:uid="{ABF7E35E-6088-4E81-A63E-5A77ADA918D1}" name="Column2598"/>
    <tableColumn id="2599" xr3:uid="{62AAE0B8-9812-4678-961B-37392D656191}" name="Column2599"/>
    <tableColumn id="2600" xr3:uid="{417461C6-E3B1-4352-9D8C-9D8400FC2985}" name="Column2600"/>
    <tableColumn id="2601" xr3:uid="{0C48CA83-0A25-4B21-80D0-C6396C714494}" name="Column2601"/>
    <tableColumn id="2602" xr3:uid="{41DFE344-44B0-4F80-A8D4-229173368F06}" name="Column2602"/>
    <tableColumn id="2603" xr3:uid="{61D30C10-B1DE-4E55-B7C4-A2BFC65A8B62}" name="Column2603"/>
    <tableColumn id="2604" xr3:uid="{3427CBB1-918C-42F4-8B47-F1407C4594BE}" name="Column2604"/>
    <tableColumn id="2605" xr3:uid="{5669BAD1-54B7-4185-9BE3-E8B83C6C1D96}" name="Column2605"/>
    <tableColumn id="2606" xr3:uid="{E9F24892-AE01-41A6-8AC7-25D6F60EB858}" name="Column2606"/>
    <tableColumn id="2607" xr3:uid="{32637082-3C27-4FE3-834D-AE2691BB8A24}" name="Column2607"/>
    <tableColumn id="2608" xr3:uid="{CB6C954B-0E34-4525-B403-43F0E5A768C4}" name="Column2608"/>
    <tableColumn id="2609" xr3:uid="{AD66421F-218C-4DC1-B53D-8582647EB0F9}" name="Column2609"/>
    <tableColumn id="2610" xr3:uid="{4003D72B-57AF-481D-AE9C-BF30355D9D9C}" name="Column2610"/>
    <tableColumn id="2611" xr3:uid="{5CB832F2-BC8A-4186-9ECE-6D8148A3626B}" name="Column2611"/>
    <tableColumn id="2612" xr3:uid="{2B8E2FE4-4220-4803-81DA-7826DFA76E76}" name="Column2612"/>
    <tableColumn id="2613" xr3:uid="{788EC470-83AC-4072-8548-50C5A1D8D0B7}" name="Column2613"/>
    <tableColumn id="2614" xr3:uid="{D6B55010-1C2B-43A3-9EA9-1D92D9C5C9EE}" name="Column2614"/>
    <tableColumn id="2615" xr3:uid="{7AEB3D88-9FC9-434D-9CC2-C5693CD7CF44}" name="Column2615"/>
    <tableColumn id="2616" xr3:uid="{A6AAE2C1-C462-4C5B-B621-E0BFF90343CF}" name="Column2616"/>
    <tableColumn id="2617" xr3:uid="{43704203-D68D-44A5-98EE-1C292369FF07}" name="Column2617"/>
    <tableColumn id="2618" xr3:uid="{A8675E6F-4603-4AF7-BE93-BE311155D4C0}" name="Column2618"/>
    <tableColumn id="2619" xr3:uid="{A8CE6FD0-E68D-47F6-9398-B29B268E3442}" name="Column2619"/>
    <tableColumn id="2620" xr3:uid="{610402CC-E6BB-4129-A081-B05D036969F3}" name="Column2620"/>
    <tableColumn id="2621" xr3:uid="{1E804C42-D7EB-4687-ADDB-F200F6E1CBCD}" name="Column2621"/>
    <tableColumn id="2622" xr3:uid="{AB56D827-0B9C-479F-A9C9-05C04ED4F7D3}" name="Column2622"/>
    <tableColumn id="2623" xr3:uid="{390E231B-21A7-409D-A816-D6DE490632A7}" name="Column2623"/>
    <tableColumn id="2624" xr3:uid="{3CBF02C1-7EDF-4F16-81FC-53695484FC53}" name="Column2624"/>
    <tableColumn id="2625" xr3:uid="{9F104E36-3A94-46C6-9080-8F3BEAC5BE08}" name="Column2625"/>
    <tableColumn id="2626" xr3:uid="{71E520C6-5247-4F42-8AE3-5DF7BE948323}" name="Column2626"/>
    <tableColumn id="2627" xr3:uid="{025AE553-11A8-427E-920D-AD9A8AEE0A3D}" name="Column2627"/>
    <tableColumn id="2628" xr3:uid="{627B6B15-BB54-47AC-BD1E-44C3212739D3}" name="Column2628"/>
    <tableColumn id="2629" xr3:uid="{090FC295-ADC0-416F-A2E6-540BE166605D}" name="Column2629"/>
    <tableColumn id="2630" xr3:uid="{51028D58-EB91-4423-9615-FCAA1BEFBB0B}" name="Column2630"/>
    <tableColumn id="2631" xr3:uid="{83FED175-1F4E-4766-B726-E60409B510E1}" name="Column2631"/>
    <tableColumn id="2632" xr3:uid="{910C63B7-F1D2-4552-B321-4F7A97A0E4A7}" name="Column2632"/>
    <tableColumn id="2633" xr3:uid="{375CEFAB-24FE-4D41-84E6-24C3236BC28A}" name="Column2633"/>
    <tableColumn id="2634" xr3:uid="{0F09F1DC-C880-49A5-A61D-AC97F23E5E8A}" name="Column2634"/>
    <tableColumn id="2635" xr3:uid="{20062A04-E045-45BF-8185-4B8BDF29E1A6}" name="Column2635"/>
    <tableColumn id="2636" xr3:uid="{C05E3299-CDA6-4238-A9D0-2B6573462820}" name="Column2636"/>
    <tableColumn id="2637" xr3:uid="{F38C8B19-6F1A-4609-B210-A06E5EE8080A}" name="Column2637"/>
    <tableColumn id="2638" xr3:uid="{1E1B0498-62DC-4F68-8D00-8B1EB9AFBB76}" name="Column2638"/>
    <tableColumn id="2639" xr3:uid="{748A2B04-B944-4495-972F-FE142532AE93}" name="Column2639"/>
    <tableColumn id="2640" xr3:uid="{D157D8DE-830B-42C8-86B6-0E729860C619}" name="Column2640"/>
    <tableColumn id="2641" xr3:uid="{FD9358C0-9523-42B1-AE3E-E0BD155BFCF3}" name="Column2641"/>
    <tableColumn id="2642" xr3:uid="{13032973-CA89-4DD7-8F4B-3AD0BAA5AE78}" name="Column2642"/>
    <tableColumn id="2643" xr3:uid="{8D7A3638-DFF8-4505-BCA5-EE7133DA22BD}" name="Column2643"/>
    <tableColumn id="2644" xr3:uid="{A46D5568-FF7B-44CD-957D-7920AA642BFA}" name="Column2644"/>
    <tableColumn id="2645" xr3:uid="{2B67B1D8-6681-4569-8D9D-CD5CECDEBC98}" name="Column2645"/>
    <tableColumn id="2646" xr3:uid="{8EBB407E-399F-4683-99E2-719D2F280D92}" name="Column2646"/>
    <tableColumn id="2647" xr3:uid="{F6CDCE99-AB4A-478B-913B-4ED99F28B11A}" name="Column2647"/>
    <tableColumn id="2648" xr3:uid="{2EB34C92-5B58-4561-BA59-6CAAE884F9D0}" name="Column2648"/>
    <tableColumn id="2649" xr3:uid="{E20CCABE-BBEC-4753-ADBF-D64242205371}" name="Column2649"/>
    <tableColumn id="2650" xr3:uid="{1D4CD1C9-6CA8-4342-A588-7608BA692686}" name="Column2650"/>
    <tableColumn id="2651" xr3:uid="{9390EF35-8BB9-4440-9C17-BB2B0B864E26}" name="Column2651"/>
    <tableColumn id="2652" xr3:uid="{9DA19D1F-81FA-402B-A47F-4480E3E3CB83}" name="Column2652"/>
    <tableColumn id="2653" xr3:uid="{E4679CDC-AEB5-4D50-B486-E66C8AE5EB93}" name="Column2653"/>
    <tableColumn id="2654" xr3:uid="{EBA0CCED-9A9F-42AE-AD12-7551EFF4DCDA}" name="Column2654"/>
    <tableColumn id="2655" xr3:uid="{4AC7108B-ABED-40CE-BF5F-8FAE775381A6}" name="Column2655"/>
    <tableColumn id="2656" xr3:uid="{794760B5-F0B3-4878-B0C5-E7206AF24AB7}" name="Column2656"/>
    <tableColumn id="2657" xr3:uid="{47FC7DB9-EB3B-4EFA-8FF8-8954FBC25E65}" name="Column2657"/>
    <tableColumn id="2658" xr3:uid="{E6E875C6-CD91-49D3-8C48-2A53CCC26D1C}" name="Column2658"/>
    <tableColumn id="2659" xr3:uid="{F74EBBB0-B71C-46A0-840E-D9EAAD6F53B7}" name="Column2659"/>
    <tableColumn id="2660" xr3:uid="{F3709A0F-869A-47EE-B451-B48FD0DE6981}" name="Column2660"/>
    <tableColumn id="2661" xr3:uid="{0E7D21BA-A7B5-4722-8CAB-D6F063B70501}" name="Column2661"/>
    <tableColumn id="2662" xr3:uid="{73FB470B-B7E4-4D51-8986-70531B309879}" name="Column2662"/>
    <tableColumn id="2663" xr3:uid="{364ABC77-200B-44D4-9BCA-F57EC474ABD6}" name="Column2663"/>
    <tableColumn id="2664" xr3:uid="{84D04C56-ADB8-44C1-9486-5E4267AA252D}" name="Column2664"/>
    <tableColumn id="2665" xr3:uid="{9DDF64CF-6380-41AE-9B47-4E8F54E02926}" name="Column2665"/>
    <tableColumn id="2666" xr3:uid="{32A5ECA5-DB7D-4B6F-85DA-CE9B3B3ADEF8}" name="Column2666"/>
    <tableColumn id="2667" xr3:uid="{005692B1-9CED-4278-9C7C-FEA05C3C00C7}" name="Column2667"/>
    <tableColumn id="2668" xr3:uid="{578599AA-89A3-4272-93B6-F216FAD66962}" name="Column2668"/>
    <tableColumn id="2669" xr3:uid="{93C62A67-70FB-43A6-967F-A53746A1CDE6}" name="Column2669"/>
    <tableColumn id="2670" xr3:uid="{D331F738-1365-4B55-80EB-9EDFA7B26631}" name="Column2670"/>
    <tableColumn id="2671" xr3:uid="{9A8C9513-C890-482C-B803-240A2C2EE9CC}" name="Column2671"/>
    <tableColumn id="2672" xr3:uid="{13555D23-194E-49E2-9EC0-7E00BF202116}" name="Column2672"/>
    <tableColumn id="2673" xr3:uid="{DAF74BA8-73DD-4A80-83AD-FE925993DAB3}" name="Column2673"/>
    <tableColumn id="2674" xr3:uid="{2ED851ED-CEBD-4305-A931-6A0830540494}" name="Column2674"/>
    <tableColumn id="2675" xr3:uid="{880454B3-6EDF-4CEC-A612-26C21386C9D4}" name="Column2675"/>
    <tableColumn id="2676" xr3:uid="{6283882B-2FF8-4808-9164-9C196B397C57}" name="Column2676"/>
    <tableColumn id="2677" xr3:uid="{AB10EB19-2C2D-48DD-A234-8FD2DD07F069}" name="Column2677"/>
    <tableColumn id="2678" xr3:uid="{58CE4353-366C-4A46-819F-7B9B209AFF2B}" name="Column2678"/>
    <tableColumn id="2679" xr3:uid="{156EA43F-6CBB-4C59-AF93-52C5953A3DB3}" name="Column2679"/>
    <tableColumn id="2680" xr3:uid="{C28BDAE8-9966-408A-8EAD-63B17A728F90}" name="Column2680"/>
    <tableColumn id="2681" xr3:uid="{70708A01-6A9F-4542-94AA-E79177B3B889}" name="Column2681"/>
    <tableColumn id="2682" xr3:uid="{5C2B4A1E-332D-4907-A907-7D6A311D2211}" name="Column2682"/>
    <tableColumn id="2683" xr3:uid="{FDE220F3-02E6-4287-AD8A-5368A7249EE4}" name="Column2683"/>
    <tableColumn id="2684" xr3:uid="{14DCD237-8006-4563-8E51-4D8B9E713B98}" name="Column2684"/>
    <tableColumn id="2685" xr3:uid="{9C5F6FAF-EB45-4BF8-A8D7-4A165C0C6186}" name="Column2685"/>
    <tableColumn id="2686" xr3:uid="{92BB330A-54ED-4A78-A101-CCFEB984B2AC}" name="Column2686"/>
    <tableColumn id="2687" xr3:uid="{D00425B1-705D-4137-92E5-8138B8777CD1}" name="Column2687"/>
    <tableColumn id="2688" xr3:uid="{220E1C19-8388-4E9F-AE91-E468075D2F53}" name="Column2688"/>
    <tableColumn id="2689" xr3:uid="{183E501B-AD99-4F67-A32B-7955B6EE9C44}" name="Column2689"/>
    <tableColumn id="2690" xr3:uid="{6AEA51BF-E5DC-404F-9133-FE2EB37E0647}" name="Column2690"/>
    <tableColumn id="2691" xr3:uid="{3765AD97-0E3F-4AD6-985E-299345A9298C}" name="Column2691"/>
    <tableColumn id="2692" xr3:uid="{177288CA-971B-4B7B-831C-9CC5C3E7FB23}" name="Column2692"/>
    <tableColumn id="2693" xr3:uid="{A23F2405-8B66-46FA-B463-F4E47D5D6547}" name="Column2693"/>
    <tableColumn id="2694" xr3:uid="{B59A9992-25D5-4E87-97C9-701534AB7C58}" name="Column2694"/>
    <tableColumn id="2695" xr3:uid="{1C26738E-C068-40D1-91B6-A21D13980C26}" name="Column2695"/>
    <tableColumn id="2696" xr3:uid="{E7DBF405-1919-4A4E-A2CD-D8BD2BDA8DDE}" name="Column2696"/>
    <tableColumn id="2697" xr3:uid="{865239EB-81CB-4A5B-BD09-97CAD9A11828}" name="Column2697"/>
    <tableColumn id="2698" xr3:uid="{019AF7F6-2394-426D-A9E0-9FE97F56F30B}" name="Column2698"/>
    <tableColumn id="2699" xr3:uid="{3397931F-0C76-4738-9128-AC54DAD8AB49}" name="Column2699"/>
    <tableColumn id="2700" xr3:uid="{15E21803-F25B-42DC-9CC4-42F25347D481}" name="Column2700"/>
    <tableColumn id="2701" xr3:uid="{E3CCAC09-0DC0-4474-94AB-445E4F4AD71A}" name="Column2701"/>
    <tableColumn id="2702" xr3:uid="{70C9643C-17A9-435E-B654-6EE6DFB847E7}" name="Column2702"/>
    <tableColumn id="2703" xr3:uid="{0D62DBE5-4677-4B9D-8333-4EFDFD6182C0}" name="Column2703"/>
    <tableColumn id="2704" xr3:uid="{9B6F6902-7746-4FC6-B1D4-CAA4B8DCC5F5}" name="Column2704"/>
    <tableColumn id="2705" xr3:uid="{BFCBD989-854D-4BF8-A2D2-1E85834672D5}" name="Column2705"/>
    <tableColumn id="2706" xr3:uid="{E9BC31AB-6CD9-4D52-8D74-A46C5D6AAC2F}" name="Column2706"/>
    <tableColumn id="2707" xr3:uid="{AABD6EC5-F09B-479E-A629-45B9C420EE2A}" name="Column2707"/>
    <tableColumn id="2708" xr3:uid="{D1806B5B-4F72-4DEA-B321-8310D582D432}" name="Column2708"/>
    <tableColumn id="2709" xr3:uid="{8FFA7DB1-C363-45F1-9FFB-D8117C40C496}" name="Column2709"/>
    <tableColumn id="2710" xr3:uid="{A4CB833A-30EF-43BC-ADA4-86F1E4D249C0}" name="Column2710"/>
    <tableColumn id="2711" xr3:uid="{47B5A6DA-9605-4C9F-8992-2CDD74ABAC37}" name="Column2711"/>
    <tableColumn id="2712" xr3:uid="{AFBFBF2C-DF57-47EC-8B45-84D9126488DA}" name="Column2712"/>
    <tableColumn id="2713" xr3:uid="{F5194B9F-DEBD-4FEF-A70E-D8661D737FA0}" name="Column2713"/>
    <tableColumn id="2714" xr3:uid="{CA7AE67F-E9F2-447B-BEA2-CDE573D4E731}" name="Column2714"/>
    <tableColumn id="2715" xr3:uid="{C1899334-BC51-45D0-A173-8558A1872DF5}" name="Column2715"/>
    <tableColumn id="2716" xr3:uid="{85EB2634-E76D-49F7-B245-3C157036E9EC}" name="Column2716"/>
    <tableColumn id="2717" xr3:uid="{8BCCBB22-20FA-4C80-9635-13F2AD5A9960}" name="Column2717"/>
    <tableColumn id="2718" xr3:uid="{4FFDADEB-58C6-490B-82B3-9D79163A58D7}" name="Column2718"/>
    <tableColumn id="2719" xr3:uid="{0C15C18A-2AE3-4F3E-82C3-A128E014CFCB}" name="Column2719"/>
    <tableColumn id="2720" xr3:uid="{8CC3BD4A-6380-4EF2-A6E2-BBFEEBD9DD2E}" name="Column2720"/>
    <tableColumn id="2721" xr3:uid="{56806E1F-8763-4CB3-B759-5747F88A10BD}" name="Column2721"/>
    <tableColumn id="2722" xr3:uid="{705D0DCC-616D-49E5-AB2D-92B7822D9C30}" name="Column2722"/>
    <tableColumn id="2723" xr3:uid="{E3A81B87-F9E2-42A9-898D-234FD4DB2E3A}" name="Column2723"/>
    <tableColumn id="2724" xr3:uid="{C990DC35-3748-4304-9B1A-5415EC64D0D3}" name="Column2724"/>
    <tableColumn id="2725" xr3:uid="{4D847ED3-084C-4D2A-B033-CFB479A345EF}" name="Column2725"/>
    <tableColumn id="2726" xr3:uid="{8E830A7A-4B9F-4A22-9691-DA58F2341900}" name="Column2726"/>
    <tableColumn id="2727" xr3:uid="{55944F5A-E971-476F-B52F-5F74E40B03A0}" name="Column2727"/>
    <tableColumn id="2728" xr3:uid="{20A8F493-AF4E-485B-92B9-B1C03527BAF2}" name="Column2728"/>
    <tableColumn id="2729" xr3:uid="{FA9CDF51-36CF-4DA3-AB45-BAC8F87619FA}" name="Column2729"/>
    <tableColumn id="2730" xr3:uid="{6ED5A393-EC31-4432-80C5-AF24DA48B27A}" name="Column2730"/>
    <tableColumn id="2731" xr3:uid="{540D7DA9-B0ED-4403-AFB8-DEE92F0A0984}" name="Column2731"/>
    <tableColumn id="2732" xr3:uid="{4C36F0AF-6DB5-4477-AF2A-845256C377DF}" name="Column2732"/>
    <tableColumn id="2733" xr3:uid="{0480B582-1ECC-4E7A-8782-A03A0F231FF0}" name="Column2733"/>
    <tableColumn id="2734" xr3:uid="{70F317FE-38A2-48E2-B0C0-C92E587761DE}" name="Column2734"/>
    <tableColumn id="2735" xr3:uid="{4346E0F2-EBD2-423B-B5AC-4E6DC6842A51}" name="Column2735"/>
    <tableColumn id="2736" xr3:uid="{F164EEE7-148B-4D62-89E8-A1C210C804F7}" name="Column2736"/>
    <tableColumn id="2737" xr3:uid="{06500EA2-AD26-4603-A049-5C2FB1DFC90C}" name="Column2737"/>
    <tableColumn id="2738" xr3:uid="{7CE74C90-ED06-4356-A024-A835E922E244}" name="Column2738"/>
    <tableColumn id="2739" xr3:uid="{013DBBB1-6574-45A1-9670-C279EE924DD5}" name="Column2739"/>
    <tableColumn id="2740" xr3:uid="{F33DF5C8-B8D3-4466-8F75-631035274603}" name="Column2740"/>
    <tableColumn id="2741" xr3:uid="{043EA1F3-195F-4FC2-B795-D8E9F7C33B76}" name="Column2741"/>
    <tableColumn id="2742" xr3:uid="{5284A1E6-22E8-421D-8B88-3C04B8042FC0}" name="Column2742"/>
    <tableColumn id="2743" xr3:uid="{47BF8330-AAB5-48ED-BBC6-243A4EB4D2A1}" name="Column2743"/>
    <tableColumn id="2744" xr3:uid="{18D21CD2-3D74-4977-94FA-EB12DD3C2085}" name="Column2744"/>
    <tableColumn id="2745" xr3:uid="{1424C044-677D-4A43-BFC9-7589EDD269B9}" name="Column2745"/>
    <tableColumn id="2746" xr3:uid="{59D08B94-515E-474B-A839-3AA0718D6309}" name="Column2746"/>
    <tableColumn id="2747" xr3:uid="{C038FA7E-3B73-46E0-9AAD-1ED0CE266955}" name="Column2747"/>
    <tableColumn id="2748" xr3:uid="{FA721A62-F69F-47E6-AAFB-D728D32C59FE}" name="Column2748"/>
    <tableColumn id="2749" xr3:uid="{D8B828F2-B8E4-497D-A187-D3B243F15F84}" name="Column2749"/>
    <tableColumn id="2750" xr3:uid="{175821C4-2BD1-4DCA-BF68-EA67EF0BF50D}" name="Column2750"/>
    <tableColumn id="2751" xr3:uid="{11D241B3-E2C0-4DE4-A030-AC71CE316D0E}" name="Column2751"/>
    <tableColumn id="2752" xr3:uid="{6C3FB3A0-740F-421E-AB5B-6F7ED09E35C6}" name="Column2752"/>
    <tableColumn id="2753" xr3:uid="{DABC0EAC-EC77-4EF2-9B90-C1DCCFA58DBA}" name="Column2753"/>
    <tableColumn id="2754" xr3:uid="{FAB91607-7E87-4127-8EDB-0676D8A1CC03}" name="Column2754"/>
    <tableColumn id="2755" xr3:uid="{081EBDF8-B177-4687-8917-AE84E93CCC2C}" name="Column2755"/>
    <tableColumn id="2756" xr3:uid="{7A209661-3471-4326-8FA3-0090AE1515F5}" name="Column2756"/>
    <tableColumn id="2757" xr3:uid="{286858F4-9159-4396-BD2B-49B6610CE838}" name="Column2757"/>
    <tableColumn id="2758" xr3:uid="{72549810-4BB7-42CA-823F-6C03B043C491}" name="Column2758"/>
    <tableColumn id="2759" xr3:uid="{60D2CA79-D9C7-4FD9-B44A-82B96C84CD87}" name="Column2759"/>
    <tableColumn id="2760" xr3:uid="{C6AABB16-3214-4287-A730-98BA83058B7D}" name="Column2760"/>
    <tableColumn id="2761" xr3:uid="{0AB5F701-75BC-48D4-8E54-CED18523CDB0}" name="Column2761"/>
    <tableColumn id="2762" xr3:uid="{03E3B7F7-BA2E-4F8E-9493-E1AD022BB0CF}" name="Column2762"/>
    <tableColumn id="2763" xr3:uid="{84937F65-4B63-4B25-8960-A883A031C314}" name="Column2763"/>
    <tableColumn id="2764" xr3:uid="{73152F51-0B68-413A-A987-737A3563FA09}" name="Column2764"/>
    <tableColumn id="2765" xr3:uid="{0AB4C388-7CA6-40E0-AE24-FD21776DB293}" name="Column2765"/>
    <tableColumn id="2766" xr3:uid="{65FF1065-296F-4109-BC86-9E84D5DD0268}" name="Column2766"/>
    <tableColumn id="2767" xr3:uid="{4C2E50B4-4040-4932-8B58-0C2F344B16B0}" name="Column2767"/>
    <tableColumn id="2768" xr3:uid="{BDDB1AFD-D2F4-490D-B57E-937D04F29252}" name="Column2768"/>
    <tableColumn id="2769" xr3:uid="{05C49B1E-7D73-4EA1-BFF7-C06754FA2EDC}" name="Column2769"/>
    <tableColumn id="2770" xr3:uid="{BA1BDDBC-42A6-4934-BED6-791BE2DD9D9E}" name="Column2770"/>
    <tableColumn id="2771" xr3:uid="{3FFC9FA5-0B40-4DF5-8FB9-A27951F429CE}" name="Column2771"/>
    <tableColumn id="2772" xr3:uid="{5146E9BC-0F5E-47AE-8BEE-D482F5054380}" name="Column2772"/>
    <tableColumn id="2773" xr3:uid="{A4503D87-A1F6-43DC-B1A7-D9FB2505B46C}" name="Column2773"/>
    <tableColumn id="2774" xr3:uid="{65789DA4-FD50-401F-93A9-A85B93B31944}" name="Column2774"/>
    <tableColumn id="2775" xr3:uid="{C13914BD-7FA9-41C4-A13E-099173D06AA7}" name="Column2775"/>
    <tableColumn id="2776" xr3:uid="{E6FDD4D8-14EA-4060-BB64-26A97952D4DE}" name="Column2776"/>
    <tableColumn id="2777" xr3:uid="{052677A6-7BE9-4486-B804-D449424CC6E4}" name="Column2777"/>
    <tableColumn id="2778" xr3:uid="{C1BB1E7A-09FE-4069-A26E-41C8C0328853}" name="Column2778"/>
    <tableColumn id="2779" xr3:uid="{467A4F0E-0300-45D4-B3C5-C8A1DD2314CC}" name="Column2779"/>
    <tableColumn id="2780" xr3:uid="{6CB8779F-C256-412C-B794-7B0B15A1E345}" name="Column2780"/>
    <tableColumn id="2781" xr3:uid="{520623C9-090B-46B4-8DE0-EC532A137D9F}" name="Column2781"/>
    <tableColumn id="2782" xr3:uid="{52398EC8-96DB-4AA3-AD0A-56CA1B504702}" name="Column2782"/>
    <tableColumn id="2783" xr3:uid="{5704DDB1-6380-4FAD-99D1-75F5B9905A78}" name="Column2783"/>
    <tableColumn id="2784" xr3:uid="{E1199D9B-B83C-4B34-9B13-72970049F6E3}" name="Column2784"/>
    <tableColumn id="2785" xr3:uid="{9795B1B8-1B2A-4BEC-A226-FB89BAA6E1E4}" name="Column2785"/>
    <tableColumn id="2786" xr3:uid="{F21DB5AA-05FE-472B-938C-74BED6C62F86}" name="Column2786"/>
    <tableColumn id="2787" xr3:uid="{44F9458F-8E5D-44D2-9A0D-3E80A97E16CD}" name="Column2787"/>
    <tableColumn id="2788" xr3:uid="{A0FF4230-CB19-4A4E-B408-0093EFAF009A}" name="Column2788"/>
    <tableColumn id="2789" xr3:uid="{261C87BE-BDD7-4AD1-AF88-D98CF8DA9F30}" name="Column2789"/>
    <tableColumn id="2790" xr3:uid="{042278D9-DC11-48D7-BFA1-F32D72DBD78C}" name="Column2790"/>
    <tableColumn id="2791" xr3:uid="{DE25DB49-889F-4BD9-AA67-29FCF3942EFA}" name="Column2791"/>
    <tableColumn id="2792" xr3:uid="{71DD860A-7027-4AA8-ABB5-E093EE448278}" name="Column2792"/>
    <tableColumn id="2793" xr3:uid="{B2342B27-0B36-4472-BC6E-C0289E8F4065}" name="Column2793"/>
    <tableColumn id="2794" xr3:uid="{F1364D46-69B1-44C9-9006-1CCD609C840F}" name="Column2794"/>
    <tableColumn id="2795" xr3:uid="{716B5D3C-78F8-41CE-BA14-34E64D05AAC5}" name="Column2795"/>
    <tableColumn id="2796" xr3:uid="{D33F4C0F-A90F-4A4F-9F87-EDCDBFD739D8}" name="Column2796"/>
    <tableColumn id="2797" xr3:uid="{5A86679C-646A-4115-8B0F-0AF113910D7C}" name="Column2797"/>
    <tableColumn id="2798" xr3:uid="{20321B00-D4B5-413E-AE6C-83ED1B338378}" name="Column2798"/>
    <tableColumn id="2799" xr3:uid="{A867235D-AF0E-4E11-A6FD-08108192767F}" name="Column2799"/>
    <tableColumn id="2800" xr3:uid="{BD12685A-344C-4BC3-8A61-5CB188A9DC92}" name="Column2800"/>
    <tableColumn id="2801" xr3:uid="{06A6E688-7A48-4E68-95C8-9B52141002DB}" name="Column2801"/>
    <tableColumn id="2802" xr3:uid="{675461BA-D533-4B70-9FAA-DE63AE23F32E}" name="Column2802"/>
    <tableColumn id="2803" xr3:uid="{EE0A335C-E920-42CB-8EC3-F7118364BEA8}" name="Column2803"/>
    <tableColumn id="2804" xr3:uid="{1E8B307E-5388-424F-964F-DDE548C5CAA6}" name="Column2804"/>
    <tableColumn id="2805" xr3:uid="{C5415963-9566-4285-BBE5-ACEF14F9435D}" name="Column2805"/>
    <tableColumn id="2806" xr3:uid="{197704C2-0A3B-4648-A41D-8745C9C76F3A}" name="Column2806"/>
    <tableColumn id="2807" xr3:uid="{9F223E1D-048B-49C1-AC07-7261CD314A0C}" name="Column2807"/>
    <tableColumn id="2808" xr3:uid="{E47E05C2-F90F-458B-A3C9-9A9ADCFED9CD}" name="Column2808"/>
    <tableColumn id="2809" xr3:uid="{5513EDBC-4541-46BC-8109-CA81DCE94343}" name="Column2809"/>
    <tableColumn id="2810" xr3:uid="{FF934688-BD20-4047-8E99-5C7CB1EFC563}" name="Column2810"/>
    <tableColumn id="2811" xr3:uid="{E1F8891E-BE69-46A1-83CD-F6C7FA168072}" name="Column2811"/>
    <tableColumn id="2812" xr3:uid="{2135621D-0DAA-4082-9D2F-9F7C897EFF51}" name="Column2812"/>
    <tableColumn id="2813" xr3:uid="{E14B06EA-ABC6-4267-ADA2-E09D7E6F4803}" name="Column2813"/>
    <tableColumn id="2814" xr3:uid="{9B821BCF-D32A-4CD1-B244-2B22F7333096}" name="Column2814"/>
    <tableColumn id="2815" xr3:uid="{328AEABE-919A-407A-B033-D7FF8C45EDF2}" name="Column2815"/>
    <tableColumn id="2816" xr3:uid="{06E8CEFD-8CD1-444E-BA0D-1433EC42FE2B}" name="Column2816"/>
    <tableColumn id="2817" xr3:uid="{C933A514-4B2B-4B94-BA24-6E55F8D1E3B2}" name="Column2817"/>
    <tableColumn id="2818" xr3:uid="{576FEA07-C4F1-45D3-A17D-E9CDA2A03356}" name="Column2818"/>
    <tableColumn id="2819" xr3:uid="{AE470548-FC0A-4A76-AC98-3D01297248E7}" name="Column2819"/>
    <tableColumn id="2820" xr3:uid="{B9BFF743-BD18-43AA-BB40-32381A84EAA0}" name="Column2820"/>
    <tableColumn id="2821" xr3:uid="{C26EA3D3-FE2B-49AF-8F74-88DD88A3885F}" name="Column2821"/>
    <tableColumn id="2822" xr3:uid="{C7C36452-8FCA-4606-AD74-8244729ADEB0}" name="Column2822"/>
    <tableColumn id="2823" xr3:uid="{E7C28038-5002-4AC5-B741-5AD50BE0F7AA}" name="Column2823"/>
    <tableColumn id="2824" xr3:uid="{C29EFB77-0691-47DA-9B8D-45583389804C}" name="Column2824"/>
    <tableColumn id="2825" xr3:uid="{6A7D1521-B468-4E1B-9482-DBF1FBDCF02C}" name="Column2825"/>
    <tableColumn id="2826" xr3:uid="{5CB33808-F219-4704-A5A0-ECBF4FD85C50}" name="Column2826"/>
    <tableColumn id="2827" xr3:uid="{42BDF871-8E01-4000-B1B2-3A7652EBD551}" name="Column2827"/>
    <tableColumn id="2828" xr3:uid="{4E1E47D6-3F97-4B55-B775-21E1B07F804F}" name="Column2828"/>
    <tableColumn id="2829" xr3:uid="{7162AC71-3C28-4D6C-9028-F5B2A3BF0C88}" name="Column2829"/>
    <tableColumn id="2830" xr3:uid="{2DD56255-B490-45F2-908D-9EA9AA2C6125}" name="Column2830"/>
    <tableColumn id="2831" xr3:uid="{FE6AB23D-E613-442D-BA42-6CABADF4E85F}" name="Column2831"/>
    <tableColumn id="2832" xr3:uid="{DDE760B9-5715-4C85-9ED4-5D495E95A08E}" name="Column2832"/>
    <tableColumn id="2833" xr3:uid="{E0421B00-2D27-4E29-9D0E-A55C86E0BFD3}" name="Column2833"/>
    <tableColumn id="2834" xr3:uid="{25E60994-BD63-4683-A696-C74097AD7040}" name="Column2834"/>
    <tableColumn id="2835" xr3:uid="{DAEA7CD0-FA0E-4B71-BDB3-605A0B5748CD}" name="Column2835"/>
    <tableColumn id="2836" xr3:uid="{9F347385-BE9D-4636-84A6-32239B0D40B4}" name="Column2836"/>
    <tableColumn id="2837" xr3:uid="{57900342-929C-48C6-8978-87D78099418B}" name="Column2837"/>
    <tableColumn id="2838" xr3:uid="{465C5C0D-CEFF-4430-B403-FE08DB055A30}" name="Column2838"/>
    <tableColumn id="2839" xr3:uid="{1E530F89-BA1D-4C12-A1B8-A253C76840E0}" name="Column2839"/>
    <tableColumn id="2840" xr3:uid="{AB5781D6-E7EB-465F-954A-E614921CDB64}" name="Column2840"/>
    <tableColumn id="2841" xr3:uid="{A082629B-3A5C-4E8E-991D-518D7285571A}" name="Column2841"/>
    <tableColumn id="2842" xr3:uid="{C74BC8F8-6A39-482D-8975-1DC37485BE97}" name="Column2842"/>
    <tableColumn id="2843" xr3:uid="{D354858A-D1EC-4229-B969-8086452D5CC3}" name="Column2843"/>
    <tableColumn id="2844" xr3:uid="{E4523245-AAF5-4A9D-9724-B7E854D8F532}" name="Column2844"/>
    <tableColumn id="2845" xr3:uid="{977D4529-0A25-4C5B-B0CF-F11F0AF18B11}" name="Column2845"/>
    <tableColumn id="2846" xr3:uid="{BB64929F-8E5F-460A-B1A0-45688322B4E5}" name="Column2846"/>
    <tableColumn id="2847" xr3:uid="{E4EFD3C7-616F-41AC-8A14-7134EAEA264B}" name="Column2847"/>
    <tableColumn id="2848" xr3:uid="{DBC7EB03-EF83-465A-A171-CBCF6C1670F3}" name="Column2848"/>
    <tableColumn id="2849" xr3:uid="{48430D5E-B881-453A-8B71-4CFA2D3AC0D1}" name="Column2849"/>
    <tableColumn id="2850" xr3:uid="{6B5472F1-E39F-40F4-B6A5-91E28227C199}" name="Column2850"/>
    <tableColumn id="2851" xr3:uid="{51EE0759-BFAD-4CB7-B3F5-8E2545915D30}" name="Column2851"/>
    <tableColumn id="2852" xr3:uid="{FA4C9727-BF5B-47A6-8594-A9EBD22C565F}" name="Column2852"/>
    <tableColumn id="2853" xr3:uid="{D67017AA-C8C7-431A-B487-B71BE525127A}" name="Column2853"/>
    <tableColumn id="2854" xr3:uid="{AD0563A3-267E-4D9C-8DB9-D731830EED67}" name="Column2854"/>
    <tableColumn id="2855" xr3:uid="{BEF43D58-7A31-4B8C-9FF1-E1E544CEC9B9}" name="Column2855"/>
    <tableColumn id="2856" xr3:uid="{E4E33881-84D8-4CB6-9B78-2FB2A1992860}" name="Column2856"/>
    <tableColumn id="2857" xr3:uid="{0EFAA07A-8CB1-4DFE-8CDA-0216D0F471A6}" name="Column2857"/>
    <tableColumn id="2858" xr3:uid="{D4175602-B165-4514-AE2E-2ED192AA400B}" name="Column2858"/>
    <tableColumn id="2859" xr3:uid="{4B1090D7-84B2-409F-A085-1F9A75B9C5A4}" name="Column2859"/>
    <tableColumn id="2860" xr3:uid="{F0626A84-CC1D-49DD-BBBA-77854B75838A}" name="Column2860"/>
    <tableColumn id="2861" xr3:uid="{E3B046DD-4E5A-482C-AF84-1F1DD21CAB51}" name="Column2861"/>
    <tableColumn id="2862" xr3:uid="{7932A12F-813F-4FCB-9199-A6C5D1D4A8ED}" name="Column2862"/>
    <tableColumn id="2863" xr3:uid="{4F9F6E2F-1338-4077-B811-73210B05C687}" name="Column2863"/>
    <tableColumn id="2864" xr3:uid="{49B979E5-D2A8-4C09-A49B-682D8B884CEF}" name="Column2864"/>
    <tableColumn id="2865" xr3:uid="{20FED71F-38D4-4C19-A3DC-6E2FB05676FB}" name="Column2865"/>
    <tableColumn id="2866" xr3:uid="{EBF1F1D3-3C9D-495C-898B-B190E61B6AA7}" name="Column2866"/>
    <tableColumn id="2867" xr3:uid="{C8A99422-EC90-452F-A7B3-AD2AB15684A7}" name="Column2867"/>
    <tableColumn id="2868" xr3:uid="{632247B2-67E7-4CFA-A40F-758987FE9ADD}" name="Column2868"/>
    <tableColumn id="2869" xr3:uid="{3F2159FB-0F65-40C6-A5AA-2ADE8307CB42}" name="Column2869"/>
    <tableColumn id="2870" xr3:uid="{FB166A42-A700-4185-9ABD-7F975091F09B}" name="Column2870"/>
    <tableColumn id="2871" xr3:uid="{0B25E0C8-A5D7-4E39-B47D-B83EC8588E4C}" name="Column2871"/>
    <tableColumn id="2872" xr3:uid="{C753B904-2F71-40B8-8948-24C2B5CA9DA5}" name="Column2872"/>
    <tableColumn id="2873" xr3:uid="{4710DE78-04E0-47AE-B9F2-5C4A0594EDE2}" name="Column2873"/>
    <tableColumn id="2874" xr3:uid="{B5B8675E-47C1-49E7-8C71-6B430873DDA2}" name="Column2874"/>
    <tableColumn id="2875" xr3:uid="{A09EC0F3-7E43-4751-A041-B3AC5D7F687A}" name="Column2875"/>
    <tableColumn id="2876" xr3:uid="{AFD336AD-54EC-4285-9CE3-EA1531C5C6B9}" name="Column2876"/>
    <tableColumn id="2877" xr3:uid="{E01AB9C5-C017-4127-B932-48EA43926227}" name="Column2877"/>
    <tableColumn id="2878" xr3:uid="{0F5D87AD-40B2-4D50-997F-069AEDA83848}" name="Column2878"/>
    <tableColumn id="2879" xr3:uid="{30415945-A232-40F6-A66C-A6F1D2EDB0F5}" name="Column2879"/>
    <tableColumn id="2880" xr3:uid="{3500A267-EAA0-4295-AF9F-642628DE693F}" name="Column2880"/>
    <tableColumn id="2881" xr3:uid="{9FD06882-B3B2-414F-91EB-41FC3846017D}" name="Column2881"/>
    <tableColumn id="2882" xr3:uid="{A81ABCDD-B73D-4A2E-AC83-AC160896D47B}" name="Column2882"/>
    <tableColumn id="2883" xr3:uid="{F5BD7AC2-E87A-47DC-8F01-EBA168FFD79E}" name="Column2883"/>
    <tableColumn id="2884" xr3:uid="{1948C16F-212C-4FE0-9F9C-8BD735169ED3}" name="Column2884"/>
    <tableColumn id="2885" xr3:uid="{F4B4EA5B-9BC1-4BD5-8A63-4F8FC089B51C}" name="Column2885"/>
    <tableColumn id="2886" xr3:uid="{19D13597-801C-482B-A05F-27C58B0C0812}" name="Column2886"/>
    <tableColumn id="2887" xr3:uid="{8B0C4C38-1C30-425C-940E-FC962E94A80C}" name="Column2887"/>
    <tableColumn id="2888" xr3:uid="{0EDEAD1E-279E-43A8-90F6-2E341B977FEA}" name="Column2888"/>
    <tableColumn id="2889" xr3:uid="{0A77B84D-25C9-4849-BBEA-A6B24C08AFE6}" name="Column2889"/>
    <tableColumn id="2890" xr3:uid="{1B028C01-10D3-48FD-9A8F-EC977EB09F40}" name="Column2890"/>
    <tableColumn id="2891" xr3:uid="{CC905330-ED62-4E63-90D6-BDF098A03A9F}" name="Column2891"/>
    <tableColumn id="2892" xr3:uid="{7C8182D1-1D35-4D3D-A27E-790B9DEC9977}" name="Column2892"/>
    <tableColumn id="2893" xr3:uid="{4AFFD45A-5B0F-4B80-A07E-3D028589840D}" name="Column2893"/>
    <tableColumn id="2894" xr3:uid="{7CFAA4FF-D0B6-4FC5-BEE5-C2FD8EFBAE3F}" name="Column2894"/>
    <tableColumn id="2895" xr3:uid="{CA6CF3B7-1F20-4A8B-AC47-43BC480566C4}" name="Column2895"/>
    <tableColumn id="2896" xr3:uid="{CD6BE23B-4E32-41DD-BD7C-CF24F777E49C}" name="Column2896"/>
    <tableColumn id="2897" xr3:uid="{08DEBBE4-EFEA-419E-AFF5-C234AEDB80A4}" name="Column2897"/>
    <tableColumn id="2898" xr3:uid="{AA414805-0062-4557-A910-3F328767817A}" name="Column2898"/>
    <tableColumn id="2899" xr3:uid="{5C4C5406-C0D4-4887-A729-CEFC291D45EA}" name="Column2899"/>
    <tableColumn id="2900" xr3:uid="{B74F431C-C3B6-4400-BD33-4FDCC7D53880}" name="Column2900"/>
    <tableColumn id="2901" xr3:uid="{0886FCC3-0093-429A-9CE5-8A7A7FD53FC4}" name="Column2901"/>
    <tableColumn id="2902" xr3:uid="{50260FBB-6592-4814-8127-85ADBFDBEEFC}" name="Column2902"/>
    <tableColumn id="2903" xr3:uid="{15E3E634-F597-417B-81D3-04ACBE44FEF7}" name="Column2903"/>
    <tableColumn id="2904" xr3:uid="{83CACC39-1E11-4476-93B1-A6E852815BF3}" name="Column2904"/>
    <tableColumn id="2905" xr3:uid="{841FE695-8285-43F2-AB3C-A2D49CB3BEAA}" name="Column2905"/>
    <tableColumn id="2906" xr3:uid="{A975E08D-ED8A-4039-A2A6-2C537132C393}" name="Column2906"/>
    <tableColumn id="2907" xr3:uid="{22AC34CF-A48F-4BF5-B709-212847AB100F}" name="Column2907"/>
    <tableColumn id="2908" xr3:uid="{01296F0C-8B9E-4CE1-A01C-F5317E103D34}" name="Column2908"/>
    <tableColumn id="2909" xr3:uid="{ED711A0B-89C1-4026-93D7-D53EC441EBCF}" name="Column2909"/>
    <tableColumn id="2910" xr3:uid="{73548592-CFB3-40B2-9B6A-082A38F1E678}" name="Column2910"/>
    <tableColumn id="2911" xr3:uid="{21EF5363-3C54-4243-BDDA-F79BF85DED98}" name="Column2911"/>
    <tableColumn id="2912" xr3:uid="{9EFE557C-CFDA-4E57-A041-9516D4366819}" name="Column2912"/>
    <tableColumn id="2913" xr3:uid="{1AC519A1-171E-42B9-BCC0-A54A503D1033}" name="Column2913"/>
    <tableColumn id="2914" xr3:uid="{3ECE212B-00A1-415D-85EB-B46F88F8C557}" name="Column2914"/>
    <tableColumn id="2915" xr3:uid="{C14DFA6E-DF92-4A95-8EC0-472A481C5CBC}" name="Column2915"/>
    <tableColumn id="2916" xr3:uid="{AD0C06EB-6F87-48ED-8C8F-E9D041174025}" name="Column2916"/>
    <tableColumn id="2917" xr3:uid="{5DF62E7D-9619-4046-A283-C0C7BCE8CE44}" name="Column2917"/>
    <tableColumn id="2918" xr3:uid="{5ED77727-8F8B-4731-9B59-CEE59D39AFE6}" name="Column2918"/>
    <tableColumn id="2919" xr3:uid="{4EA28DFE-254A-4737-9CC3-23BF32D9AF2A}" name="Column2919"/>
    <tableColumn id="2920" xr3:uid="{19BBFADD-F666-43F3-834B-865FDE06CD04}" name="Column2920"/>
    <tableColumn id="2921" xr3:uid="{2718E4F6-6136-4423-B72B-E3849AF2CEA6}" name="Column2921"/>
    <tableColumn id="2922" xr3:uid="{03D92B9F-74A2-4600-87A8-523AECDD19AB}" name="Column2922"/>
    <tableColumn id="2923" xr3:uid="{34BE3C6D-A810-4953-8EE6-00A07EC16737}" name="Column2923"/>
    <tableColumn id="2924" xr3:uid="{23A4D40C-A2B1-42F7-B9C8-3410CC5DBF18}" name="Column2924"/>
    <tableColumn id="2925" xr3:uid="{F76FDC85-903A-47EA-BB73-2E6DD92CA16A}" name="Column2925"/>
    <tableColumn id="2926" xr3:uid="{35BDCE4E-D526-41B6-84B2-D62C7DE64A67}" name="Column2926"/>
    <tableColumn id="2927" xr3:uid="{FC1C1152-84F4-4D5E-9220-56B7A1657863}" name="Column2927"/>
    <tableColumn id="2928" xr3:uid="{309618C6-E588-4D57-B2D7-2F43D02C73C2}" name="Column2928"/>
    <tableColumn id="2929" xr3:uid="{23440E0A-5F07-4959-8314-836F9636DF00}" name="Column2929"/>
    <tableColumn id="2930" xr3:uid="{B9FDAAE3-547E-41E1-98BE-8971D5400B55}" name="Column2930"/>
    <tableColumn id="2931" xr3:uid="{704630FE-EC69-44A6-8526-071F64EF16A3}" name="Column2931"/>
    <tableColumn id="2932" xr3:uid="{9C0B92FE-4232-4A0C-A6BF-C88832CC6839}" name="Column2932"/>
    <tableColumn id="2933" xr3:uid="{D2227E20-5416-4489-BC33-DDABA47C4F45}" name="Column2933"/>
    <tableColumn id="2934" xr3:uid="{C1F098C6-C93E-4871-A410-AA657D0C99DC}" name="Column2934"/>
    <tableColumn id="2935" xr3:uid="{DFDBF03B-9BFD-4E3D-95DB-DB0C1E883D90}" name="Column2935"/>
    <tableColumn id="2936" xr3:uid="{8CA2DF69-79B1-407A-AB89-C8CD7B578AD7}" name="Column2936"/>
    <tableColumn id="2937" xr3:uid="{33FA5B07-20DB-4EEF-82E1-62EAD599833B}" name="Column2937"/>
    <tableColumn id="2938" xr3:uid="{40D87115-6FE0-4B0B-BF52-EFBA52FF0E52}" name="Column2938"/>
    <tableColumn id="2939" xr3:uid="{918C2AB9-6D69-4CC9-9D0A-BC67BCE3211D}" name="Column2939"/>
    <tableColumn id="2940" xr3:uid="{953FCB0E-DD1A-4F40-B229-CE8AE5E48269}" name="Column2940"/>
    <tableColumn id="2941" xr3:uid="{2619FDDA-8757-44A8-9B06-FC04B3EC3EFD}" name="Column2941"/>
    <tableColumn id="2942" xr3:uid="{CC16AB57-2A85-4012-8062-42BE2A66AF8B}" name="Column2942"/>
    <tableColumn id="2943" xr3:uid="{64039A29-5CED-4137-84FE-296230D4B635}" name="Column2943"/>
    <tableColumn id="2944" xr3:uid="{F81F901A-92F6-47E9-9984-900B8447983D}" name="Column2944"/>
    <tableColumn id="2945" xr3:uid="{630F9091-06D8-468A-A11D-A05898985EFD}" name="Column2945"/>
    <tableColumn id="2946" xr3:uid="{D76D3435-DDAA-477E-8705-E0415C3359F7}" name="Column2946"/>
    <tableColumn id="2947" xr3:uid="{F84437D7-266E-4555-942D-6D8F1946F6A1}" name="Column2947"/>
    <tableColumn id="2948" xr3:uid="{2244FCDD-40EC-42A4-B949-3F5252E052FC}" name="Column2948"/>
    <tableColumn id="2949" xr3:uid="{88C47350-21F6-4AE1-A56A-5A6D0621D7A9}" name="Column2949"/>
    <tableColumn id="2950" xr3:uid="{B9E292A4-4682-4FF5-856A-A47FD054BCEC}" name="Column2950"/>
    <tableColumn id="2951" xr3:uid="{7A4A1282-6EE6-4C65-AB67-31C56A124370}" name="Column2951"/>
    <tableColumn id="2952" xr3:uid="{CC219DA1-CE8C-4FD6-B900-16CA42E21685}" name="Column2952"/>
    <tableColumn id="2953" xr3:uid="{62C32FFD-0968-4DB4-A39E-C1358FB3DD81}" name="Column2953"/>
    <tableColumn id="2954" xr3:uid="{1BC249E2-4B01-45FC-B6A2-BA5C6FE661D5}" name="Column2954"/>
    <tableColumn id="2955" xr3:uid="{784F0654-0C28-4095-9BBB-A53DE327C0C5}" name="Column2955"/>
    <tableColumn id="2956" xr3:uid="{CE8DFD83-C18B-478E-BD06-61AF26A3407F}" name="Column2956"/>
    <tableColumn id="2957" xr3:uid="{39024843-E2A4-45CD-BB59-82E26DC16B14}" name="Column2957"/>
    <tableColumn id="2958" xr3:uid="{2A78369B-F0EC-4930-899A-771004FA77FA}" name="Column2958"/>
    <tableColumn id="2959" xr3:uid="{56D72A7D-C4BC-4421-B4F7-08F71F292E31}" name="Column2959"/>
    <tableColumn id="2960" xr3:uid="{AE90A2E6-7B7B-4A8B-B9D2-8895F638B17A}" name="Column2960"/>
    <tableColumn id="2961" xr3:uid="{2DE225B8-1E09-493D-A6B8-9EC64EB0C622}" name="Column2961"/>
    <tableColumn id="2962" xr3:uid="{5ACE75FF-25F0-426C-8731-38DFDA85F4BA}" name="Column2962"/>
    <tableColumn id="2963" xr3:uid="{07A9E6AA-0338-459A-B152-8EFD6DE4EA40}" name="Column2963"/>
    <tableColumn id="2964" xr3:uid="{F6D45CC2-B1D6-4FFA-8C25-33545C9A575C}" name="Column2964"/>
    <tableColumn id="2965" xr3:uid="{9E832AAD-2049-47D4-8289-CC6A9D4972F9}" name="Column2965"/>
    <tableColumn id="2966" xr3:uid="{2266B669-1670-4482-AD4F-A4441476606C}" name="Column2966"/>
    <tableColumn id="2967" xr3:uid="{A3BD330B-C914-48EB-9156-3726FE6DECB9}" name="Column2967"/>
    <tableColumn id="2968" xr3:uid="{D6973E8F-3ABF-4982-B124-2B5EFAE7A86F}" name="Column2968"/>
    <tableColumn id="2969" xr3:uid="{22AFD9AE-012D-4394-BE99-32B4FECF0FF1}" name="Column2969"/>
    <tableColumn id="2970" xr3:uid="{7175F2D5-AC63-4C75-8CE2-3D15BF12BD2B}" name="Column2970"/>
    <tableColumn id="2971" xr3:uid="{B89EBEB8-B48C-4B8C-8C54-44842A137A04}" name="Column2971"/>
    <tableColumn id="2972" xr3:uid="{DF033056-BE46-42AC-95D4-FF09A0BD9E3F}" name="Column2972"/>
    <tableColumn id="2973" xr3:uid="{3F2CD62F-E844-48DB-A93C-CE833D26A910}" name="Column2973"/>
    <tableColumn id="2974" xr3:uid="{C05740D4-A49D-43AD-A54E-6635C81AD4FC}" name="Column2974"/>
    <tableColumn id="2975" xr3:uid="{8272997C-3B61-4A86-9280-5EDDB7D116A3}" name="Column2975"/>
    <tableColumn id="2976" xr3:uid="{69378154-16C1-429E-8D6F-AD4770364489}" name="Column2976"/>
    <tableColumn id="2977" xr3:uid="{2D6AE190-2149-4B64-8F16-95DA75CA065F}" name="Column2977"/>
    <tableColumn id="2978" xr3:uid="{383857C8-39D0-48F9-9639-025421D66A01}" name="Column2978"/>
    <tableColumn id="2979" xr3:uid="{C35A9270-5B26-49B3-AB04-EFD0C440A962}" name="Column2979"/>
    <tableColumn id="2980" xr3:uid="{B59E88A9-439B-41C0-8F08-C6E49A1CC611}" name="Column2980"/>
    <tableColumn id="2981" xr3:uid="{5E055F30-1121-43C8-82BC-4359DFBFCE8C}" name="Column2981"/>
    <tableColumn id="2982" xr3:uid="{DE819F39-5E2E-4E21-90B3-C208DE527086}" name="Column2982"/>
    <tableColumn id="2983" xr3:uid="{96D707C7-62BE-4F6D-987D-91E2D903DBE2}" name="Column2983"/>
    <tableColumn id="2984" xr3:uid="{F2F69CC0-F6C5-448B-9331-B4F909135072}" name="Column2984"/>
    <tableColumn id="2985" xr3:uid="{4EE1742D-3EAE-41A2-933E-8D9E9EDD49F3}" name="Column2985"/>
    <tableColumn id="2986" xr3:uid="{B634EC26-6D82-4FF8-B64A-BD0BC240F0EC}" name="Column2986"/>
    <tableColumn id="2987" xr3:uid="{20E6DC41-2724-4C0E-8B17-CC5B6E4E6841}" name="Column2987"/>
    <tableColumn id="2988" xr3:uid="{FE5352F6-D624-442D-B5B9-C84B0C6171A5}" name="Column2988"/>
    <tableColumn id="2989" xr3:uid="{5131A660-CF42-4F3B-A060-C102394FCD25}" name="Column2989"/>
    <tableColumn id="2990" xr3:uid="{1334D48E-6140-4FE8-97DF-C3EB2B46E1A9}" name="Column2990"/>
    <tableColumn id="2991" xr3:uid="{BFD266B7-87A5-4724-B7E0-213AEDBBF8E9}" name="Column2991"/>
    <tableColumn id="2992" xr3:uid="{0C0BE7CA-2D0B-46C4-9FBF-75D7DE25097C}" name="Column2992"/>
    <tableColumn id="2993" xr3:uid="{7AF0E244-1F6C-43E7-B580-48B7CE768BFA}" name="Column2993"/>
    <tableColumn id="2994" xr3:uid="{98D6F252-92CA-4197-A170-B5866166F51B}" name="Column2994"/>
    <tableColumn id="2995" xr3:uid="{EAFF84C1-8FF3-40CB-A35A-02C27CAECF82}" name="Column2995"/>
    <tableColumn id="2996" xr3:uid="{35C6B9DF-356C-48EB-88B6-DE20992908A4}" name="Column2996"/>
    <tableColumn id="2997" xr3:uid="{5F03914B-3B9C-4E89-8771-9AC1A5474530}" name="Column2997"/>
    <tableColumn id="2998" xr3:uid="{8B0C0CA3-EC00-4182-BCCF-B91A7F64CCEC}" name="Column2998"/>
    <tableColumn id="2999" xr3:uid="{082BFCF7-ECEF-4C31-AF02-4375A2D03447}" name="Column2999"/>
    <tableColumn id="3000" xr3:uid="{93FEA354-5CBB-4368-A024-8FFD81A1298C}" name="Column3000"/>
    <tableColumn id="3001" xr3:uid="{0A5AA39D-1976-4AA9-BDF7-AA7C4A9D0D72}" name="Column3001"/>
    <tableColumn id="3002" xr3:uid="{BB8F157D-2204-4F7D-9567-D094DC75B141}" name="Column3002"/>
    <tableColumn id="3003" xr3:uid="{75EC9668-9C19-479C-86A8-DB86B0307EF0}" name="Column3003"/>
    <tableColumn id="3004" xr3:uid="{B5A4C314-379B-4F98-AB8B-054B2D7818D4}" name="Column3004"/>
    <tableColumn id="3005" xr3:uid="{4CCAF96C-52BC-4A43-B7D4-7901581CEE6E}" name="Column3005"/>
    <tableColumn id="3006" xr3:uid="{22424E65-0477-4AAE-BBA5-0BA9E7B06A4B}" name="Column3006"/>
    <tableColumn id="3007" xr3:uid="{DD6909A8-C157-4ECB-97D9-C56803587066}" name="Column3007"/>
    <tableColumn id="3008" xr3:uid="{F073A4A7-242F-4491-B2ED-FDFDD5E92B87}" name="Column3008"/>
    <tableColumn id="3009" xr3:uid="{9B489A1F-66C5-4E87-BEF6-7F997850EAE8}" name="Column3009"/>
    <tableColumn id="3010" xr3:uid="{4470DBCE-DFFF-4A6D-BDDA-912A48A56063}" name="Column3010"/>
    <tableColumn id="3011" xr3:uid="{038E983D-2AB2-4F16-A53A-844DCC37CA88}" name="Column3011"/>
    <tableColumn id="3012" xr3:uid="{F81EBDD3-391D-48A1-A74D-52D28A813536}" name="Column3012"/>
    <tableColumn id="3013" xr3:uid="{F9AE18D5-30B9-4331-A93F-13693AC6DA78}" name="Column3013"/>
    <tableColumn id="3014" xr3:uid="{89E60C2D-6377-471F-94DC-FDEB4313BFA9}" name="Column3014"/>
    <tableColumn id="3015" xr3:uid="{A7DC439D-C73E-4BB5-A688-1A7C68F969FD}" name="Column3015"/>
    <tableColumn id="3016" xr3:uid="{2C6EFB15-16BA-4110-910F-2DB04853A639}" name="Column3016"/>
    <tableColumn id="3017" xr3:uid="{56037145-D93F-44FD-A347-6B32C07AB00A}" name="Column3017"/>
    <tableColumn id="3018" xr3:uid="{AB7FE9D1-8F86-4471-822D-09CCE8313BC4}" name="Column3018"/>
    <tableColumn id="3019" xr3:uid="{C6CFFC85-2B3F-448F-8716-8676D19DCBEB}" name="Column3019"/>
    <tableColumn id="3020" xr3:uid="{452135EE-589B-4200-A2D9-8DB4788EC0D6}" name="Column3020"/>
    <tableColumn id="3021" xr3:uid="{67B6A90C-9066-4CE3-986F-2BB6A9EBA6B6}" name="Column3021"/>
    <tableColumn id="3022" xr3:uid="{8619F9D7-98EC-4669-AE4C-74D15D2C615C}" name="Column3022"/>
    <tableColumn id="3023" xr3:uid="{AC7FAC1C-7600-478E-9150-1766F29E7A9F}" name="Column3023"/>
    <tableColumn id="3024" xr3:uid="{38579C49-21A2-4F6E-BBCB-4BCE6ADFC01C}" name="Column3024"/>
    <tableColumn id="3025" xr3:uid="{CC53CE1C-F543-4DA8-BDB0-66BBD87B1ACF}" name="Column3025"/>
    <tableColumn id="3026" xr3:uid="{0045220C-4962-423E-BA88-EF3DAD7E168E}" name="Column3026"/>
    <tableColumn id="3027" xr3:uid="{30537EE5-42CD-4F8F-B414-6FD5E13AF5CE}" name="Column3027"/>
    <tableColumn id="3028" xr3:uid="{DAFB1A6F-5611-42DC-8A99-E4EA41A55A9C}" name="Column3028"/>
    <tableColumn id="3029" xr3:uid="{15B9F0F6-42C0-4D5C-9A12-BBDC81942F52}" name="Column3029"/>
    <tableColumn id="3030" xr3:uid="{BE05641D-00BA-40E2-A248-ED6C919D28EA}" name="Column3030"/>
    <tableColumn id="3031" xr3:uid="{D6BF02E9-7586-4B6F-86F0-526F905609B0}" name="Column3031"/>
    <tableColumn id="3032" xr3:uid="{300F8A70-60C5-4EDD-937B-32E1B2579AD2}" name="Column3032"/>
    <tableColumn id="3033" xr3:uid="{9DE17937-CCEF-46A5-8ED3-FFF5A9676920}" name="Column3033"/>
    <tableColumn id="3034" xr3:uid="{72826B3D-1CF3-418F-BF8C-796F66816568}" name="Column3034"/>
    <tableColumn id="3035" xr3:uid="{F637721A-1AA1-4400-87C2-EB5E0EA03441}" name="Column3035"/>
    <tableColumn id="3036" xr3:uid="{239FA905-0F4C-429D-B50B-C5B4D4BEBAC2}" name="Column3036"/>
    <tableColumn id="3037" xr3:uid="{A77E85D8-6502-41A2-BF94-F7BA849E69A6}" name="Column3037"/>
    <tableColumn id="3038" xr3:uid="{67465FF6-3DAF-451C-8649-BEE1DBAED4E1}" name="Column3038"/>
    <tableColumn id="3039" xr3:uid="{31DD29A0-6D35-4662-89D5-BA8467CA92A3}" name="Column3039"/>
    <tableColumn id="3040" xr3:uid="{E0CED437-F83F-4204-AE3C-27B899F02F6C}" name="Column3040"/>
    <tableColumn id="3041" xr3:uid="{D2BE5307-44BE-4E9B-8440-396CF9D497DD}" name="Column3041"/>
    <tableColumn id="3042" xr3:uid="{75938EBD-0712-4F5A-ABA5-C86D18B10394}" name="Column3042"/>
    <tableColumn id="3043" xr3:uid="{7E0B36FF-6F63-465A-9105-16942DB0CD2C}" name="Column3043"/>
    <tableColumn id="3044" xr3:uid="{83F53156-143A-4357-BB36-3C6BFA193090}" name="Column3044"/>
    <tableColumn id="3045" xr3:uid="{13AEC7C9-1DB4-428B-B4AD-98D7EAEFD9EC}" name="Column3045"/>
    <tableColumn id="3046" xr3:uid="{6F152B20-B4EF-410A-9F00-D3340B120C4B}" name="Column3046"/>
    <tableColumn id="3047" xr3:uid="{04EBCB4D-C60C-42E5-9C5A-E4E5CFD0A909}" name="Column3047"/>
    <tableColumn id="3048" xr3:uid="{0948F545-59D8-44F5-8CBE-F777734656A4}" name="Column3048"/>
    <tableColumn id="3049" xr3:uid="{60E17713-4E1A-4B18-A2BF-91B4C1A2B261}" name="Column3049"/>
    <tableColumn id="3050" xr3:uid="{3EFDED57-AF9E-4358-86AC-0B6C91E92316}" name="Column3050"/>
    <tableColumn id="3051" xr3:uid="{6E948259-B617-4DE2-B29F-8750A2C4DD8D}" name="Column3051"/>
    <tableColumn id="3052" xr3:uid="{D8035838-F5E8-4C82-BC40-7AB4633014F7}" name="Column3052"/>
    <tableColumn id="3053" xr3:uid="{9EFCFBEA-D616-4A00-BD5E-90FDBE22D3BF}" name="Column3053"/>
    <tableColumn id="3054" xr3:uid="{9CAA2A7B-4222-42D6-A848-C1671EF3A7A5}" name="Column3054"/>
    <tableColumn id="3055" xr3:uid="{21251D02-3507-4F2C-9F57-B05B4793E5CD}" name="Column3055"/>
    <tableColumn id="3056" xr3:uid="{F270EF3D-E620-4ECF-8432-987149D0CF79}" name="Column3056"/>
    <tableColumn id="3057" xr3:uid="{289EF3E3-0EB8-456A-A848-3C8729527405}" name="Column3057"/>
    <tableColumn id="3058" xr3:uid="{52DE3806-60E1-4326-85F6-A0075C4F4184}" name="Column3058"/>
    <tableColumn id="3059" xr3:uid="{F207CFD4-C426-4B3F-BC02-7A71921F3E86}" name="Column3059"/>
    <tableColumn id="3060" xr3:uid="{FE7A3132-793F-40D8-96FE-65E6E2A83369}" name="Column3060"/>
    <tableColumn id="3061" xr3:uid="{AC7A5259-3294-421A-9426-E7BF4AC8EDFC}" name="Column3061"/>
    <tableColumn id="3062" xr3:uid="{678398E4-953D-4288-B186-37001415A895}" name="Column3062"/>
    <tableColumn id="3063" xr3:uid="{1B36BB79-2523-4609-93EB-EEBCCF6EB2E5}" name="Column3063"/>
    <tableColumn id="3064" xr3:uid="{FFDCA3C3-0E87-43CE-AC50-8266FCFEE6F5}" name="Column3064"/>
    <tableColumn id="3065" xr3:uid="{3CB12300-384B-4B33-AA64-9D9AF04692DB}" name="Column3065"/>
    <tableColumn id="3066" xr3:uid="{2F8A63DC-F6C0-4A5D-9E92-39EA3758E105}" name="Column3066"/>
    <tableColumn id="3067" xr3:uid="{60ADFD68-828E-4994-8593-EBBDDEEDCCC4}" name="Column3067"/>
    <tableColumn id="3068" xr3:uid="{D8E80E41-C470-4EEA-87A6-6CA4C456F054}" name="Column3068"/>
    <tableColumn id="3069" xr3:uid="{EF5B6618-E36E-41F4-8123-38AE0207EE6F}" name="Column3069"/>
    <tableColumn id="3070" xr3:uid="{A244C40A-171D-4ED7-A092-F5D2A7F06BFA}" name="Column3070"/>
    <tableColumn id="3071" xr3:uid="{A568C257-8988-48AE-81DE-7241C9405916}" name="Column3071"/>
    <tableColumn id="3072" xr3:uid="{3D06CB2C-D12A-4605-810A-09790C75DBA9}" name="Column3072"/>
    <tableColumn id="3073" xr3:uid="{4B631F8E-202C-4923-B873-AF1B7321C3D5}" name="Column3073"/>
    <tableColumn id="3074" xr3:uid="{9B7BA519-D718-41D2-8594-36E681CEE8E2}" name="Column3074"/>
    <tableColumn id="3075" xr3:uid="{F05C222C-AD6F-49E8-AF3B-440ABCA7BF01}" name="Column3075"/>
    <tableColumn id="3076" xr3:uid="{13CF78A3-1518-413A-840D-6503D6496191}" name="Column3076"/>
    <tableColumn id="3077" xr3:uid="{4174BD26-BB28-4BC2-A467-4CC87FA0929A}" name="Column3077"/>
    <tableColumn id="3078" xr3:uid="{E1E107E3-A4AE-4D80-B5E7-0E00C189C30D}" name="Column3078"/>
    <tableColumn id="3079" xr3:uid="{A6FE75AF-C32F-4C9A-BFD2-096FC6710C9E}" name="Column3079"/>
    <tableColumn id="3080" xr3:uid="{5B6B3809-DB67-48C7-AF25-094B395F1CFB}" name="Column3080"/>
    <tableColumn id="3081" xr3:uid="{B8E03A04-AD0B-4167-B8F8-68C1074F820A}" name="Column3081"/>
    <tableColumn id="3082" xr3:uid="{1761CC63-72CE-4CC5-B61D-B6A3B4CFEC54}" name="Column3082"/>
    <tableColumn id="3083" xr3:uid="{5EA1D268-A787-44F6-8558-7F5639B5E5F4}" name="Column3083"/>
    <tableColumn id="3084" xr3:uid="{B3BA7EC8-CB84-46A9-A191-1B66AC4F8D71}" name="Column3084"/>
    <tableColumn id="3085" xr3:uid="{9B792EF4-CFE7-4B23-9A2C-85F1206BFFDC}" name="Column3085"/>
    <tableColumn id="3086" xr3:uid="{052334E4-6752-4B3D-920F-5F495B67F18B}" name="Column3086"/>
    <tableColumn id="3087" xr3:uid="{87C075B8-6F56-4FE0-89ED-AF6192849063}" name="Column3087"/>
    <tableColumn id="3088" xr3:uid="{87198733-E35C-4A7A-B6AF-6510C4961434}" name="Column3088"/>
    <tableColumn id="3089" xr3:uid="{310333E8-E66E-42B4-B181-AA7ABB833416}" name="Column3089"/>
    <tableColumn id="3090" xr3:uid="{CAF73CD0-167C-4ED5-B798-38B64BCA9BD0}" name="Column3090"/>
    <tableColumn id="3091" xr3:uid="{98160DA1-F415-4690-BD07-B9CCC19E28D7}" name="Column3091"/>
    <tableColumn id="3092" xr3:uid="{7890ABEE-3F91-474A-9DAA-33EEA1BE97CD}" name="Column3092"/>
    <tableColumn id="3093" xr3:uid="{D308B70F-D555-4198-95AB-28825223729C}" name="Column3093"/>
    <tableColumn id="3094" xr3:uid="{51321458-397A-4BF8-A6F2-5F60DB09980C}" name="Column3094"/>
    <tableColumn id="3095" xr3:uid="{1E4FBE13-3DA7-474B-BFDE-B7051A49DC77}" name="Column3095"/>
    <tableColumn id="3096" xr3:uid="{03CDDE90-2FE5-42C3-BA9A-C2661067343F}" name="Column3096"/>
    <tableColumn id="3097" xr3:uid="{E5652E13-A3D6-42D6-A44C-89449263557C}" name="Column3097"/>
    <tableColumn id="3098" xr3:uid="{476269B4-B533-41AA-B17F-BF8731EA689C}" name="Column3098"/>
    <tableColumn id="3099" xr3:uid="{C0BFEE6A-08B2-49D6-AF9F-72000EA652C3}" name="Column3099"/>
    <tableColumn id="3100" xr3:uid="{881AFFFD-FEB7-46DD-9E81-8538A04D3530}" name="Column3100"/>
    <tableColumn id="3101" xr3:uid="{27FEB382-B455-4FF0-823A-6CFE47F4935F}" name="Column3101"/>
    <tableColumn id="3102" xr3:uid="{7F61D6A4-6F37-4D7A-884F-FD227E03FAC8}" name="Column3102"/>
    <tableColumn id="3103" xr3:uid="{BDD72352-D157-4BAA-B5F2-8D03AD48BB9F}" name="Column3103"/>
    <tableColumn id="3104" xr3:uid="{C609F67D-BA07-474F-8A39-079366FA6E6F}" name="Column3104"/>
    <tableColumn id="3105" xr3:uid="{33B67005-6615-48DE-A7DF-B67A12E4FF39}" name="Column3105"/>
    <tableColumn id="3106" xr3:uid="{379F1994-DD4D-4FB4-ABF7-F6DD92AF3FA4}" name="Column3106"/>
    <tableColumn id="3107" xr3:uid="{7884FF64-0BFD-47D0-95CC-E539B25CB7D8}" name="Column3107"/>
    <tableColumn id="3108" xr3:uid="{473FB718-3481-47F8-AC2F-1D2AC43137D4}" name="Column3108"/>
    <tableColumn id="3109" xr3:uid="{82FA3A3A-B912-4EAF-8B90-3D6CE27FE1A5}" name="Column3109"/>
    <tableColumn id="3110" xr3:uid="{49AF9A6A-CF59-4787-A943-42C9C18E8094}" name="Column3110"/>
    <tableColumn id="3111" xr3:uid="{0EAF4695-0BD4-459B-8AFD-6A905DFDA31F}" name="Column3111"/>
    <tableColumn id="3112" xr3:uid="{6C3F9BAF-0546-495E-855C-17EFAD250E59}" name="Column3112"/>
    <tableColumn id="3113" xr3:uid="{E29DA6E2-5695-468B-BE65-3D91A911B0BE}" name="Column3113"/>
    <tableColumn id="3114" xr3:uid="{A50C526E-0922-47BE-B2D7-C1803C77F49A}" name="Column3114"/>
    <tableColumn id="3115" xr3:uid="{252CA08D-D939-4116-A035-E723B9C91A25}" name="Column3115"/>
    <tableColumn id="3116" xr3:uid="{41694227-BC68-412F-875F-8DE2648D6796}" name="Column3116"/>
    <tableColumn id="3117" xr3:uid="{6AF458FB-B5A7-44FC-859C-0E2A64E90816}" name="Column3117"/>
    <tableColumn id="3118" xr3:uid="{32420CBB-3968-4DDE-94F9-88068E51EA6C}" name="Column3118"/>
    <tableColumn id="3119" xr3:uid="{932C8AEB-BB00-4507-AA4B-445309266939}" name="Column3119"/>
    <tableColumn id="3120" xr3:uid="{B0CC811D-1D25-4A3E-9CD0-5A6F8FF40AEF}" name="Column3120"/>
    <tableColumn id="3121" xr3:uid="{B1B0EF92-64CC-4EF7-B9AA-1ADD89677E7D}" name="Column3121"/>
    <tableColumn id="3122" xr3:uid="{69501D0B-F318-44FC-A549-182C3C6614CD}" name="Column3122"/>
    <tableColumn id="3123" xr3:uid="{28C4E05F-68B0-4A77-8994-3B8C933DE586}" name="Column3123"/>
    <tableColumn id="3124" xr3:uid="{1CA6B651-0951-4A59-94F7-30A81113505B}" name="Column3124"/>
    <tableColumn id="3125" xr3:uid="{54D2A937-8BA4-4226-AE92-5CA9CC3C54A3}" name="Column3125"/>
    <tableColumn id="3126" xr3:uid="{EA03C623-2CBB-4AD2-827B-8E10C96BC5CE}" name="Column3126"/>
    <tableColumn id="3127" xr3:uid="{69D3E330-BEE3-41EA-8628-FDE3C96660E7}" name="Column3127"/>
    <tableColumn id="3128" xr3:uid="{38821467-472A-4E40-9521-15B11E3A5AD6}" name="Column3128"/>
    <tableColumn id="3129" xr3:uid="{43518BC5-01B1-48D7-8F7C-09A64F5D8236}" name="Column3129"/>
    <tableColumn id="3130" xr3:uid="{C0E7CA36-0202-4F1E-BC47-3C50D789400F}" name="Column3130"/>
    <tableColumn id="3131" xr3:uid="{DCA60641-1496-44A2-9EFC-67171454A207}" name="Column3131"/>
    <tableColumn id="3132" xr3:uid="{5CB79F25-6D35-4A5F-9386-E84A51994B66}" name="Column3132"/>
    <tableColumn id="3133" xr3:uid="{F33C247F-3191-4E6F-81C2-21B49B610775}" name="Column3133"/>
    <tableColumn id="3134" xr3:uid="{4B75640B-0CFF-4C00-874D-7D42DEC388DD}" name="Column3134"/>
    <tableColumn id="3135" xr3:uid="{37E0A1EB-F6F0-4E3A-935D-2C2A42405A7A}" name="Column3135"/>
    <tableColumn id="3136" xr3:uid="{173AC52B-AB18-4E41-A8D7-60ED3C292BC2}" name="Column3136"/>
    <tableColumn id="3137" xr3:uid="{984C39A3-046F-41FC-9B97-21E3BC9DDDED}" name="Column3137"/>
    <tableColumn id="3138" xr3:uid="{D5E69CD1-8171-41AF-9AA0-4190F51B10E0}" name="Column3138"/>
    <tableColumn id="3139" xr3:uid="{9D1DE934-E7FE-4A9C-AA50-6FDCFF893329}" name="Column3139"/>
    <tableColumn id="3140" xr3:uid="{D5791967-9048-4447-8469-69A2FEE8847E}" name="Column3140"/>
    <tableColumn id="3141" xr3:uid="{E91B79F1-D3CA-459E-8500-E1F2672F77B1}" name="Column3141"/>
    <tableColumn id="3142" xr3:uid="{9A7F56AE-D270-4349-A3A8-6D06FF2B31FE}" name="Column3142"/>
    <tableColumn id="3143" xr3:uid="{C93ADF2F-F7E7-4110-9568-EE44D4D2CAE0}" name="Column3143"/>
    <tableColumn id="3144" xr3:uid="{1A96D2A1-477E-433F-9B5A-A19901AF382B}" name="Column3144"/>
    <tableColumn id="3145" xr3:uid="{0E7AB27E-C812-4336-B936-3B92C1C4B0BA}" name="Column3145"/>
    <tableColumn id="3146" xr3:uid="{C14DFB87-18F6-44F3-A5CC-BFA82D4B42D3}" name="Column3146"/>
    <tableColumn id="3147" xr3:uid="{7592DECA-09F7-41F4-B776-250F01E4139C}" name="Column3147"/>
    <tableColumn id="3148" xr3:uid="{16E387E8-05AA-4E53-9FF6-21CDF7637063}" name="Column3148"/>
    <tableColumn id="3149" xr3:uid="{83162C21-C09B-427D-9143-B1C3EE85BA5F}" name="Column3149"/>
    <tableColumn id="3150" xr3:uid="{44665922-0372-4BCC-B4E3-090A95DBB864}" name="Column3150"/>
    <tableColumn id="3151" xr3:uid="{FDABA5D3-CC40-4953-95DC-7770482084AF}" name="Column3151"/>
    <tableColumn id="3152" xr3:uid="{A8B95DFD-6CDA-4EEC-8A51-D8AFA981AA29}" name="Column3152"/>
    <tableColumn id="3153" xr3:uid="{D905FF8A-DE9C-4183-89AC-6F096D06830D}" name="Column3153"/>
    <tableColumn id="3154" xr3:uid="{A55C9120-CD41-4FF5-9AA4-13821880BC1E}" name="Column3154"/>
    <tableColumn id="3155" xr3:uid="{0DCF82E1-EE8C-4C49-8F56-95FE8C0AA213}" name="Column3155"/>
    <tableColumn id="3156" xr3:uid="{BC0C4642-DCDE-433D-8804-A0E4FB8F216A}" name="Column3156"/>
    <tableColumn id="3157" xr3:uid="{6EEF8DD3-A1EC-45C8-A0BF-32547E2FC2E5}" name="Column3157"/>
    <tableColumn id="3158" xr3:uid="{101E069A-20B0-41D0-88E1-FAD9E2CB9193}" name="Column3158"/>
    <tableColumn id="3159" xr3:uid="{45CD69BC-6C90-4B98-8820-A3D90BBCC93E}" name="Column3159"/>
    <tableColumn id="3160" xr3:uid="{AB7079C9-2D5E-4EF6-ACF1-4647DA8A5F34}" name="Column3160"/>
    <tableColumn id="3161" xr3:uid="{CE5109A9-6644-4513-BF9B-B5FF0960BCB1}" name="Column3161"/>
    <tableColumn id="3162" xr3:uid="{7141AD8F-2795-485A-803A-DB2319D4BF16}" name="Column3162"/>
    <tableColumn id="3163" xr3:uid="{FEE7F073-03F1-46B7-B7B3-D30673CD084E}" name="Column3163"/>
    <tableColumn id="3164" xr3:uid="{4D1C086F-A65F-43EA-A1EB-5F82D01811B7}" name="Column3164"/>
    <tableColumn id="3165" xr3:uid="{CFD1FD0B-CE3D-46E0-AFDB-CDA32F6B7FE8}" name="Column3165"/>
    <tableColumn id="3166" xr3:uid="{9B279DC0-E9CB-4AA9-864F-40CEC50E321F}" name="Column3166"/>
    <tableColumn id="3167" xr3:uid="{37EA3528-45DB-4C83-AC61-EA2B0DC7B0DD}" name="Column3167"/>
    <tableColumn id="3168" xr3:uid="{C6E8A1E8-5688-4A35-8F13-277A5E42D6F9}" name="Column3168"/>
    <tableColumn id="3169" xr3:uid="{3F188208-894A-45FC-A2CD-89191F805560}" name="Column3169"/>
    <tableColumn id="3170" xr3:uid="{F60EDC86-9400-4F3C-AD2F-8538EEDEC421}" name="Column3170"/>
    <tableColumn id="3171" xr3:uid="{D18F3160-F36D-4A90-A456-97A79BFC46FE}" name="Column3171"/>
    <tableColumn id="3172" xr3:uid="{531121C4-0E32-4459-802C-F69E9E9A9FDF}" name="Column3172"/>
    <tableColumn id="3173" xr3:uid="{5E2E5E36-ED1F-434E-A919-AE36142FE1BD}" name="Column3173"/>
    <tableColumn id="3174" xr3:uid="{826BBADA-509E-41E4-8BA6-63A1A222BAC8}" name="Column3174"/>
    <tableColumn id="3175" xr3:uid="{C50166EA-AFA0-4C28-963B-834790083CBB}" name="Column3175"/>
    <tableColumn id="3176" xr3:uid="{517A9503-9CB1-4BD5-B26E-CFA55B4297A6}" name="Column3176"/>
    <tableColumn id="3177" xr3:uid="{51C720E5-53FF-4601-9C1C-F20C475B6DCE}" name="Column3177"/>
    <tableColumn id="3178" xr3:uid="{D7A2507C-2C01-47E4-8FBE-792EA6B79E4D}" name="Column3178"/>
    <tableColumn id="3179" xr3:uid="{1AC64427-C58D-44DC-9CCD-F39A35088339}" name="Column3179"/>
    <tableColumn id="3180" xr3:uid="{C2CBD44E-CFBF-4707-AD53-7F0C1F44329C}" name="Column3180"/>
    <tableColumn id="3181" xr3:uid="{FB0F6F55-AA79-4FE2-B1D3-A1E7F2D31651}" name="Column3181"/>
    <tableColumn id="3182" xr3:uid="{EF16060C-AF68-4A57-9202-1EA8C6993FE7}" name="Column3182"/>
    <tableColumn id="3183" xr3:uid="{08FFD235-2588-41B0-9148-C882A1D5EFD8}" name="Column3183"/>
    <tableColumn id="3184" xr3:uid="{7F208821-95EC-4692-B674-4DCF427EB759}" name="Column3184"/>
    <tableColumn id="3185" xr3:uid="{F93EF95B-EB40-44E4-86E0-36B808AC0F5D}" name="Column3185"/>
    <tableColumn id="3186" xr3:uid="{3B5C9DBB-AEEF-4951-8707-D572455F5A48}" name="Column3186"/>
    <tableColumn id="3187" xr3:uid="{83C35BB0-E817-4A54-8BB4-7C94A6708B62}" name="Column3187"/>
    <tableColumn id="3188" xr3:uid="{E854D91A-C6EA-4846-971E-FCB3189B8750}" name="Column3188"/>
    <tableColumn id="3189" xr3:uid="{B62AEF17-BB51-450A-B5DF-692F0EB0B140}" name="Column3189"/>
    <tableColumn id="3190" xr3:uid="{14B1EE71-6084-46AE-B473-B1E59970AE5C}" name="Column3190"/>
    <tableColumn id="3191" xr3:uid="{43BEC93C-6A4A-4545-A6CE-3FB34B566614}" name="Column3191"/>
    <tableColumn id="3192" xr3:uid="{20E0BE49-5F4C-4B0F-8A59-FDD29908F025}" name="Column3192"/>
    <tableColumn id="3193" xr3:uid="{6FD05B4B-3BB2-4646-B096-CA034A77B44B}" name="Column3193"/>
    <tableColumn id="3194" xr3:uid="{638531CE-D4C1-4831-AB6B-08BAD1C8D0CA}" name="Column3194"/>
    <tableColumn id="3195" xr3:uid="{E9CDDB2F-68A1-4D96-867E-816A619A861A}" name="Column3195"/>
    <tableColumn id="3196" xr3:uid="{DC17D625-95CB-45D6-8040-31A9F02E073F}" name="Column3196"/>
    <tableColumn id="3197" xr3:uid="{066A7BE9-E4A0-4C71-B5C8-0724BCCA11FB}" name="Column3197"/>
    <tableColumn id="3198" xr3:uid="{29129822-B0D4-4EE4-A2DC-99F7736917B5}" name="Column3198"/>
    <tableColumn id="3199" xr3:uid="{06BD6CC2-D45F-412D-AB09-B48E0650F0FE}" name="Column3199"/>
    <tableColumn id="3200" xr3:uid="{F60EE348-9B5E-4637-8565-63BA49E9F2FF}" name="Column3200"/>
    <tableColumn id="3201" xr3:uid="{20DB78A0-F62F-431B-97AD-36E7A0884405}" name="Column3201"/>
    <tableColumn id="3202" xr3:uid="{6CF7FE0B-87E7-44A1-B700-F15151663198}" name="Column3202"/>
    <tableColumn id="3203" xr3:uid="{8812BFA7-ADA3-49FC-B206-C68AEECC5F10}" name="Column3203"/>
    <tableColumn id="3204" xr3:uid="{78FED909-3082-4C27-ADB8-2A84336B0A45}" name="Column3204"/>
    <tableColumn id="3205" xr3:uid="{43FD5284-B96E-4A82-BF57-3A48BF2282BD}" name="Column3205"/>
    <tableColumn id="3206" xr3:uid="{002B4C50-0202-40B4-8AED-7FDC90BF25C4}" name="Column3206"/>
    <tableColumn id="3207" xr3:uid="{C12EDE20-FFD7-4FF4-B429-A8BCE0DFEBEF}" name="Column3207"/>
    <tableColumn id="3208" xr3:uid="{A35B64A2-F1CE-495E-A2B2-362FD166DD35}" name="Column3208"/>
    <tableColumn id="3209" xr3:uid="{DFCB110A-F2FE-4830-918B-69DD6F16FB86}" name="Column3209"/>
    <tableColumn id="3210" xr3:uid="{7F581AD9-7C53-4536-A66C-D529BC909488}" name="Column3210"/>
    <tableColumn id="3211" xr3:uid="{F3880668-240E-4314-AE90-D6DE55C4FC28}" name="Column3211"/>
    <tableColumn id="3212" xr3:uid="{52ACD9A9-CDAC-4299-8638-FA2809D6D1CB}" name="Column3212"/>
    <tableColumn id="3213" xr3:uid="{074A4FDC-A6AF-4B74-8E50-189C86C24B30}" name="Column3213"/>
    <tableColumn id="3214" xr3:uid="{0B01D857-9CDD-41FE-9478-7701E1C64234}" name="Column3214"/>
    <tableColumn id="3215" xr3:uid="{4797ADD3-BB40-4F47-9300-DB337689A180}" name="Column3215"/>
    <tableColumn id="3216" xr3:uid="{0B1E5B93-77D9-42C0-8495-D8416F99D27E}" name="Column3216"/>
    <tableColumn id="3217" xr3:uid="{527EC43F-A931-4013-9A60-FAC16FB4787C}" name="Column3217"/>
    <tableColumn id="3218" xr3:uid="{8EADA4E6-65AF-429A-AB3C-52104ABDD1C1}" name="Column3218"/>
    <tableColumn id="3219" xr3:uid="{C4EED1EC-BE67-4E54-82F3-4B53CAE8D1A6}" name="Column3219"/>
    <tableColumn id="3220" xr3:uid="{5D556577-C9F5-40A8-B3DA-D96E784D5C26}" name="Column3220"/>
    <tableColumn id="3221" xr3:uid="{7ECDB799-11B9-4384-8F7E-79DE7E9076BF}" name="Column3221"/>
    <tableColumn id="3222" xr3:uid="{49E369D5-BB9F-457D-9385-40DDC4E6CA08}" name="Column3222"/>
    <tableColumn id="3223" xr3:uid="{CECACE10-D411-491D-824C-2BA29EA029AE}" name="Column3223"/>
    <tableColumn id="3224" xr3:uid="{05835CB0-6EEF-429A-B62B-864F68D16293}" name="Column3224"/>
    <tableColumn id="3225" xr3:uid="{20BAAF37-E991-4E37-AA9A-9683B62FBC8C}" name="Column3225"/>
    <tableColumn id="3226" xr3:uid="{1E4AEA0F-CD6E-472D-96D6-2B133D8C1983}" name="Column3226"/>
    <tableColumn id="3227" xr3:uid="{3F17A0F6-095C-411E-BE43-13DD83BBCA8E}" name="Column3227"/>
    <tableColumn id="3228" xr3:uid="{3D0CAD76-D11F-42CB-8541-15AAA93242CA}" name="Column3228"/>
    <tableColumn id="3229" xr3:uid="{A9DEFD98-B20C-4C90-92AD-7D51D1DC1274}" name="Column3229"/>
    <tableColumn id="3230" xr3:uid="{1E647D7C-85AF-48A7-8AA6-F6BC3D868AF3}" name="Column3230"/>
    <tableColumn id="3231" xr3:uid="{D9F85E0A-AC2D-4F58-9A1B-16558FBCB7DC}" name="Column3231"/>
    <tableColumn id="3232" xr3:uid="{CB61BDA4-008F-4647-8C08-22B2488B8EC9}" name="Column3232"/>
    <tableColumn id="3233" xr3:uid="{C0E38650-1C6C-4DC5-AA24-CB63742F5921}" name="Column3233"/>
    <tableColumn id="3234" xr3:uid="{58AA490F-16D9-4F8B-8D05-3290B78BE150}" name="Column3234"/>
    <tableColumn id="3235" xr3:uid="{763986B1-B70D-420E-BF71-92DB7C9ED429}" name="Column3235"/>
    <tableColumn id="3236" xr3:uid="{E78C3984-719B-415B-8014-48D6B542D3DA}" name="Column3236"/>
    <tableColumn id="3237" xr3:uid="{D0859069-4FBC-448F-A797-27353123CD96}" name="Column3237"/>
    <tableColumn id="3238" xr3:uid="{A91CE37A-62A2-4D24-B79A-A7ECCD36BE2D}" name="Column3238"/>
    <tableColumn id="3239" xr3:uid="{E7511FF7-7271-4344-B58F-3C5992BFC5EC}" name="Column3239"/>
    <tableColumn id="3240" xr3:uid="{CE28A885-0C9A-4E51-8347-2B8A0D757D35}" name="Column3240"/>
    <tableColumn id="3241" xr3:uid="{57C20635-93D4-4E9B-85DF-EF2E55C58E59}" name="Column3241"/>
    <tableColumn id="3242" xr3:uid="{4C2230EE-A405-4BC3-80F5-00F614E5955C}" name="Column3242"/>
    <tableColumn id="3243" xr3:uid="{8D09B817-551A-473B-81F3-3D290FD43D19}" name="Column3243"/>
    <tableColumn id="3244" xr3:uid="{988383E8-7005-4476-B557-328DC10172BD}" name="Column3244"/>
    <tableColumn id="3245" xr3:uid="{EEBA7724-66AA-4733-B7D2-1E4393360866}" name="Column3245"/>
    <tableColumn id="3246" xr3:uid="{F6FED4F9-8DE0-4D28-8827-43CD9B85E83B}" name="Column3246"/>
    <tableColumn id="3247" xr3:uid="{474B13E6-D774-4F80-95BD-2E302D304CD4}" name="Column3247"/>
    <tableColumn id="3248" xr3:uid="{4D6644B8-4191-4E68-848F-ED7A16FCD49B}" name="Column3248"/>
    <tableColumn id="3249" xr3:uid="{08F045AA-1066-49FF-A068-8E7C6F0B6BB6}" name="Column3249"/>
    <tableColumn id="3250" xr3:uid="{8A2E6325-30B8-40C5-B11B-453DAB4C2BA5}" name="Column3250"/>
    <tableColumn id="3251" xr3:uid="{F1372D3F-5829-495A-BC39-8DC154B9845A}" name="Column3251"/>
    <tableColumn id="3252" xr3:uid="{51EBCA27-26D8-4B83-90C0-A4C2BA773846}" name="Column3252"/>
    <tableColumn id="3253" xr3:uid="{9816BB40-4B31-424E-8BA4-68EAC2695CEA}" name="Column3253"/>
    <tableColumn id="3254" xr3:uid="{E03FD115-02B4-4C49-BF40-AD5C90E2B504}" name="Column3254"/>
    <tableColumn id="3255" xr3:uid="{F4B959CD-06D9-4710-86B1-04CA36F3E1D3}" name="Column3255"/>
    <tableColumn id="3256" xr3:uid="{033825F1-62C8-403D-9B51-6EFB40740424}" name="Column3256"/>
    <tableColumn id="3257" xr3:uid="{2EF07EFF-A769-4AE5-95B9-D7AACD4F6F4D}" name="Column3257"/>
    <tableColumn id="3258" xr3:uid="{46463AB4-F6AB-46FF-A28F-B6906652075A}" name="Column3258"/>
    <tableColumn id="3259" xr3:uid="{CD604CBC-5454-457E-8C58-13981A12A11A}" name="Column3259"/>
    <tableColumn id="3260" xr3:uid="{36A4E023-99EA-48FD-A275-96D1CB91D045}" name="Column3260"/>
    <tableColumn id="3261" xr3:uid="{554A0211-E9CE-4195-B8B0-61191C7416D9}" name="Column3261"/>
    <tableColumn id="3262" xr3:uid="{66E96B8A-459D-4991-A3E3-DC6E8ED2E1C1}" name="Column3262"/>
    <tableColumn id="3263" xr3:uid="{7D5EBC8B-A266-40FA-9ABB-08EB6EE646B7}" name="Column3263"/>
    <tableColumn id="3264" xr3:uid="{EC43E7A6-2260-49F0-8DD3-D7AE461C1CB2}" name="Column3264"/>
    <tableColumn id="3265" xr3:uid="{FC95361F-4436-4EA4-BB98-5B5B0DDCC068}" name="Column3265"/>
    <tableColumn id="3266" xr3:uid="{4F443613-3733-4219-9AD0-6E082C6852EB}" name="Column3266"/>
    <tableColumn id="3267" xr3:uid="{923BD89A-BB71-425A-ADC8-44447AF1E9D9}" name="Column3267"/>
    <tableColumn id="3268" xr3:uid="{E2C24B3B-EBCC-4248-AB3C-3017CEEFBAEE}" name="Column3268"/>
    <tableColumn id="3269" xr3:uid="{F7F2C4D8-FFD0-4B0C-A0C6-B641170EC446}" name="Column3269"/>
    <tableColumn id="3270" xr3:uid="{082292B8-9FA0-47EE-B5EB-73DF87DC1EA2}" name="Column3270"/>
    <tableColumn id="3271" xr3:uid="{46E8EB4C-8A03-4A0D-AFD0-5A95427FAAE4}" name="Column3271"/>
    <tableColumn id="3272" xr3:uid="{5DD1985D-A1C5-4CB9-BA83-92324124A034}" name="Column3272"/>
    <tableColumn id="3273" xr3:uid="{B1824A7F-3F32-47A6-AB67-3E292FFC38D3}" name="Column3273"/>
    <tableColumn id="3274" xr3:uid="{29ACD232-32F8-4D14-8AA0-2AACD846AC5E}" name="Column3274"/>
    <tableColumn id="3275" xr3:uid="{83C7710B-C749-42B2-ADDF-0D3B78FF7565}" name="Column3275"/>
    <tableColumn id="3276" xr3:uid="{391B25D0-BC8F-4B2A-9982-C977AAD55AB9}" name="Column3276"/>
    <tableColumn id="3277" xr3:uid="{C146B215-9428-4D53-BDEE-11C52728F0EA}" name="Column3277"/>
    <tableColumn id="3278" xr3:uid="{506820D2-3B04-4624-BD1B-29182E0FB739}" name="Column3278"/>
    <tableColumn id="3279" xr3:uid="{68950091-A91C-4E6A-ADF1-C31904095419}" name="Column3279"/>
    <tableColumn id="3280" xr3:uid="{DF217ADC-EBE5-4DF5-ABFD-0FAB3E914775}" name="Column3280"/>
    <tableColumn id="3281" xr3:uid="{3EC07F50-2429-4BD8-B594-44E87B89BF72}" name="Column3281"/>
    <tableColumn id="3282" xr3:uid="{6FFCB216-97C9-4F7C-B638-9B977C754E2E}" name="Column3282"/>
    <tableColumn id="3283" xr3:uid="{50B95B5C-5A80-4055-A44A-D8B66A477B07}" name="Column3283"/>
    <tableColumn id="3284" xr3:uid="{32329A1D-72C8-4630-AB3C-7E13B9945F75}" name="Column3284"/>
    <tableColumn id="3285" xr3:uid="{713E2E81-4CC4-45E3-9665-666999DE9A80}" name="Column3285"/>
    <tableColumn id="3286" xr3:uid="{60F92B56-0777-4379-A7AF-53326F8BC209}" name="Column3286"/>
    <tableColumn id="3287" xr3:uid="{5F32848A-2D53-4A15-8A68-620DC287A042}" name="Column3287"/>
    <tableColumn id="3288" xr3:uid="{8F0F9AE3-776F-4348-84DE-C696F0C0D42D}" name="Column3288"/>
    <tableColumn id="3289" xr3:uid="{8835BE07-CB98-40EA-80CB-160004EA5DB9}" name="Column3289"/>
    <tableColumn id="3290" xr3:uid="{3E8F4076-0DB5-4534-92D8-700652D95524}" name="Column3290"/>
    <tableColumn id="3291" xr3:uid="{5AC77A2F-2247-4BDF-A6B1-44BF9B922276}" name="Column3291"/>
    <tableColumn id="3292" xr3:uid="{431165AA-951A-4A3A-8DED-BB16C836A17E}" name="Column3292"/>
    <tableColumn id="3293" xr3:uid="{107AFB82-92AC-4560-8B91-65FB1EDC0A3D}" name="Column3293"/>
    <tableColumn id="3294" xr3:uid="{7C504CD0-E242-4DDE-B93A-9205547659EB}" name="Column3294"/>
    <tableColumn id="3295" xr3:uid="{6FB3203A-DCEE-46DE-BE29-7A69C583D847}" name="Column3295"/>
    <tableColumn id="3296" xr3:uid="{0E458A60-897A-48FD-95B9-987B50B9EEF8}" name="Column3296"/>
    <tableColumn id="3297" xr3:uid="{E342873D-7235-48F5-8608-41531AF32E63}" name="Column3297"/>
    <tableColumn id="3298" xr3:uid="{100CD255-5F62-4A28-BE19-EDF373414476}" name="Column3298"/>
    <tableColumn id="3299" xr3:uid="{D76C208F-2ECE-4F6F-B21C-03ADD6408469}" name="Column3299"/>
    <tableColumn id="3300" xr3:uid="{4D105C11-0B53-4999-B64A-95AD15D44778}" name="Column3300"/>
    <tableColumn id="3301" xr3:uid="{E3E21760-E94C-4193-B4C7-BB8B975F655F}" name="Column3301"/>
    <tableColumn id="3302" xr3:uid="{70DEEF06-11D8-43E4-85B2-3154B73601F7}" name="Column3302"/>
    <tableColumn id="3303" xr3:uid="{ABC66AFE-89FF-4333-B668-4C0A0C6E32CA}" name="Column3303"/>
    <tableColumn id="3304" xr3:uid="{DFDAE43F-4531-49EE-93BD-4E172D505ED8}" name="Column3304"/>
    <tableColumn id="3305" xr3:uid="{793E2DD5-0DCA-4380-830F-85E553F63AF2}" name="Column3305"/>
    <tableColumn id="3306" xr3:uid="{9801E18F-CFF3-40FD-87FE-B1AE6C245B9F}" name="Column3306"/>
    <tableColumn id="3307" xr3:uid="{BC992481-820A-4C92-8256-668D15FCF27B}" name="Column3307"/>
    <tableColumn id="3308" xr3:uid="{EBC665D8-CAAE-4BD3-8FF6-C42E570138A8}" name="Column3308"/>
    <tableColumn id="3309" xr3:uid="{A014F798-CD7E-4A84-B36E-68F6241F80D4}" name="Column3309"/>
    <tableColumn id="3310" xr3:uid="{767BBB06-097D-49A7-A383-BCDD2E891130}" name="Column3310"/>
    <tableColumn id="3311" xr3:uid="{26263E8B-DB72-4540-9A1A-01D9BE5F56EE}" name="Column3311"/>
    <tableColumn id="3312" xr3:uid="{F6D1F267-95DF-41DC-8BD6-DD22A884E8BB}" name="Column3312"/>
    <tableColumn id="3313" xr3:uid="{DCBE339B-0E9A-4B56-9C2F-D3F358636D0E}" name="Column3313"/>
    <tableColumn id="3314" xr3:uid="{C8065864-8F8A-4730-A835-4FD5DE62A46B}" name="Column3314"/>
    <tableColumn id="3315" xr3:uid="{A990E3F6-CBC1-4404-A328-B3872D04E110}" name="Column3315"/>
    <tableColumn id="3316" xr3:uid="{612728A9-88A0-412F-A1D3-B2C231BA72FA}" name="Column3316"/>
    <tableColumn id="3317" xr3:uid="{BA67A765-4753-42DB-BA03-FDD7C5478867}" name="Column3317"/>
    <tableColumn id="3318" xr3:uid="{9BEC8164-A7B2-41D0-ACEB-67EA4793B03B}" name="Column3318"/>
    <tableColumn id="3319" xr3:uid="{88FCC706-8190-4271-8B57-654517C8DB0E}" name="Column3319"/>
    <tableColumn id="3320" xr3:uid="{3DCF0644-4053-44A5-B4BA-A1E6F01CE15D}" name="Column3320"/>
    <tableColumn id="3321" xr3:uid="{87D7FAC4-6B30-442D-85C3-F177B97A9104}" name="Column3321"/>
    <tableColumn id="3322" xr3:uid="{CC9C332A-0203-487A-B578-10698D80F009}" name="Column3322"/>
    <tableColumn id="3323" xr3:uid="{15C4ECA7-96EE-45A1-BD27-247D3E10802B}" name="Column3323"/>
    <tableColumn id="3324" xr3:uid="{56D285C3-EE91-4458-A07D-EA4F2A99BEB2}" name="Column3324"/>
    <tableColumn id="3325" xr3:uid="{5CF6A8E7-3E99-4F8D-9FC1-D7249115EFDC}" name="Column3325"/>
    <tableColumn id="3326" xr3:uid="{B6B3C6CF-1A56-4DCD-9E57-D620D522F646}" name="Column3326"/>
    <tableColumn id="3327" xr3:uid="{1BB84818-E4F2-44D9-A663-4F5C8111C631}" name="Column3327"/>
    <tableColumn id="3328" xr3:uid="{77EAE8D6-CCE0-444A-B353-1D65AA445EA4}" name="Column3328"/>
    <tableColumn id="3329" xr3:uid="{23216A27-4C6A-4281-B094-BCCE7507DB13}" name="Column3329"/>
    <tableColumn id="3330" xr3:uid="{DA11D0AF-95B3-4CFF-9F05-8F04EE80D740}" name="Column3330"/>
    <tableColumn id="3331" xr3:uid="{8890AE1C-8421-440B-98B0-61591D1E03E7}" name="Column3331"/>
    <tableColumn id="3332" xr3:uid="{F2CE9A5E-59FC-4200-825B-0722D0C91196}" name="Column3332"/>
    <tableColumn id="3333" xr3:uid="{C801B8E1-11C7-4E32-A94A-1105A0A26C2D}" name="Column3333"/>
    <tableColumn id="3334" xr3:uid="{2B382D4C-02DF-4361-87E2-1D701E506A5B}" name="Column3334"/>
    <tableColumn id="3335" xr3:uid="{E6AE5452-3109-4278-96E3-3190F4A626C0}" name="Column3335"/>
    <tableColumn id="3336" xr3:uid="{20A22BD1-D58A-40B2-A47B-E728B0F5D995}" name="Column3336"/>
    <tableColumn id="3337" xr3:uid="{7581A70A-0653-4E28-B0A5-A26159709DD5}" name="Column3337"/>
    <tableColumn id="3338" xr3:uid="{1C41D6A3-8AB9-408C-90B1-AA0813DA07FD}" name="Column3338"/>
    <tableColumn id="3339" xr3:uid="{70B8BCD6-DBCE-4D67-B7DF-7C299B226BD5}" name="Column3339"/>
    <tableColumn id="3340" xr3:uid="{F34B7BAA-5243-4026-A777-B0902CE936E3}" name="Column3340"/>
    <tableColumn id="3341" xr3:uid="{2D0631A0-0EE4-4861-85F0-67E6294F3B08}" name="Column3341"/>
    <tableColumn id="3342" xr3:uid="{E5C60FA3-F718-4EFE-9BB4-D86BC474AEB9}" name="Column3342"/>
    <tableColumn id="3343" xr3:uid="{FDEF7AA7-30A7-47D7-B53A-AAD8640B2EBA}" name="Column3343"/>
    <tableColumn id="3344" xr3:uid="{87F1FA47-1A6B-42DF-BAF7-F7FEE3A491BF}" name="Column3344"/>
    <tableColumn id="3345" xr3:uid="{DE5EBF51-82B0-4CE0-9D88-0506A3A38B4F}" name="Column3345"/>
    <tableColumn id="3346" xr3:uid="{E1D988CD-3F12-4A3B-A7DC-CF9FC0F2139C}" name="Column3346"/>
    <tableColumn id="3347" xr3:uid="{F5DC4B58-2D5A-418E-A0F1-4F713B1ABDCF}" name="Column3347"/>
    <tableColumn id="3348" xr3:uid="{EB8C5BB2-E509-4356-9FB7-BBB26D2F9749}" name="Column3348"/>
    <tableColumn id="3349" xr3:uid="{541D5F56-2EFC-465E-9963-892873AD3BA7}" name="Column3349"/>
    <tableColumn id="3350" xr3:uid="{CF37ED81-E044-4D0A-A625-A87BBDD9AABF}" name="Column3350"/>
    <tableColumn id="3351" xr3:uid="{60424902-37C2-4C88-938B-7D3353EA1D06}" name="Column3351"/>
    <tableColumn id="3352" xr3:uid="{FD24FFF3-176D-4525-A168-324C2A958B3D}" name="Column3352"/>
    <tableColumn id="3353" xr3:uid="{AE6EFBC1-CB4F-4F78-95D3-F8C6990324A7}" name="Column3353"/>
    <tableColumn id="3354" xr3:uid="{0F75AB13-A02C-4A0E-BB43-4E05021CB9E2}" name="Column3354"/>
    <tableColumn id="3355" xr3:uid="{4EDE18CD-7254-4E4E-A1CD-CE2D9F16A4C8}" name="Column3355"/>
    <tableColumn id="3356" xr3:uid="{51518B6B-7B4D-489C-8C44-2EDE9EC6236F}" name="Column3356"/>
    <tableColumn id="3357" xr3:uid="{3665F28F-5733-4187-A0BE-398EFE358F5E}" name="Column3357"/>
    <tableColumn id="3358" xr3:uid="{2670D755-C401-48A6-8812-D1F455F263AB}" name="Column3358"/>
    <tableColumn id="3359" xr3:uid="{46988055-3481-450E-A92E-9C1AD7EE90AF}" name="Column3359"/>
    <tableColumn id="3360" xr3:uid="{78F3FC27-09C9-4326-9051-7F945C461CC5}" name="Column3360"/>
    <tableColumn id="3361" xr3:uid="{C610D0E1-409C-49BE-8F26-D8B8D57CF175}" name="Column3361"/>
    <tableColumn id="3362" xr3:uid="{4C2C6BAA-586E-43E6-B3DD-6DDB5E807226}" name="Column3362"/>
    <tableColumn id="3363" xr3:uid="{928413CE-7106-4BF5-9487-562D6E056AE7}" name="Column3363"/>
    <tableColumn id="3364" xr3:uid="{39955711-AD5E-498A-B8ED-F36C69D568FE}" name="Column3364"/>
    <tableColumn id="3365" xr3:uid="{914DEF0A-94CE-492E-A06D-2EE9608A1C31}" name="Column3365"/>
    <tableColumn id="3366" xr3:uid="{DE219572-3D3C-4B6B-91FF-27C15567FC7B}" name="Column3366"/>
    <tableColumn id="3367" xr3:uid="{74D7536C-E7C7-42A4-A059-FECD935D5D0A}" name="Column3367"/>
    <tableColumn id="3368" xr3:uid="{74D5E164-BF4F-49B2-9515-298C87E1EC0F}" name="Column3368"/>
    <tableColumn id="3369" xr3:uid="{DA02E98E-4D95-4373-B7D7-CEE19CF751CF}" name="Column3369"/>
    <tableColumn id="3370" xr3:uid="{F537D814-74D4-4286-A9C8-3185BC496C4F}" name="Column3370"/>
    <tableColumn id="3371" xr3:uid="{AB8AFD27-CA3F-485C-8BD1-4EABCEF2E3C2}" name="Column3371"/>
    <tableColumn id="3372" xr3:uid="{2509227E-F5F9-43B8-A845-8F44545E60C0}" name="Column3372"/>
    <tableColumn id="3373" xr3:uid="{72697A2A-EE6D-4A44-83CC-B83548513699}" name="Column3373"/>
    <tableColumn id="3374" xr3:uid="{05FE62D7-DB45-4D62-8386-36EFEBC5FD4E}" name="Column3374"/>
    <tableColumn id="3375" xr3:uid="{2D3EFB83-E8F3-4087-87F8-9553745BD27F}" name="Column3375"/>
    <tableColumn id="3376" xr3:uid="{AFEF3833-3B87-44CE-BD99-6E23F72A53AD}" name="Column3376"/>
    <tableColumn id="3377" xr3:uid="{14108EB2-D0A6-46B5-8B12-4CF9603B94AF}" name="Column3377"/>
    <tableColumn id="3378" xr3:uid="{A922F0AD-C5C8-4051-8055-C9B7AC1AEDA7}" name="Column3378"/>
    <tableColumn id="3379" xr3:uid="{4067F511-A8DD-4B6C-836C-6B977DDC917F}" name="Column3379"/>
    <tableColumn id="3380" xr3:uid="{4DFB1722-9F53-4C97-A8F2-1C81C59ABFB8}" name="Column3380"/>
    <tableColumn id="3381" xr3:uid="{83D585FD-0AC1-44B3-935A-90AF010AE011}" name="Column3381"/>
    <tableColumn id="3382" xr3:uid="{DF1A4E0D-1AF1-4302-BC5A-8395825482C5}" name="Column3382"/>
    <tableColumn id="3383" xr3:uid="{50F1114D-00AC-4E41-9D76-8EDE11A9D64C}" name="Column3383"/>
    <tableColumn id="3384" xr3:uid="{5AAF26DC-A5A6-4162-BC56-84FC053123A5}" name="Column3384"/>
    <tableColumn id="3385" xr3:uid="{83F8FF24-945C-4D89-9B65-4B9E2FF07A8F}" name="Column3385"/>
    <tableColumn id="3386" xr3:uid="{B6B559AD-0A9B-494C-8207-C70F4F85A20A}" name="Column3386"/>
    <tableColumn id="3387" xr3:uid="{33B9C507-AD96-4287-BD48-88A296853977}" name="Column3387"/>
    <tableColumn id="3388" xr3:uid="{4C838838-D674-4E09-BB0C-1FF3D3DA4298}" name="Column3388"/>
    <tableColumn id="3389" xr3:uid="{A3C6CA7F-A56A-4B2E-A4D0-806742B5E936}" name="Column3389"/>
    <tableColumn id="3390" xr3:uid="{73EA96EB-D604-42DD-8600-D0F6D3455CCC}" name="Column3390"/>
    <tableColumn id="3391" xr3:uid="{C75EA11B-B1B8-4E0E-B201-FC6C547AC93E}" name="Column3391"/>
    <tableColumn id="3392" xr3:uid="{581F9B70-63DC-4D8E-AB28-DDD96AF10881}" name="Column3392"/>
    <tableColumn id="3393" xr3:uid="{6E81A729-1C1D-4CF2-A0E2-FC4D233609CF}" name="Column3393"/>
    <tableColumn id="3394" xr3:uid="{E8621FEE-4ECF-4C40-B55E-3195DCC2076C}" name="Column3394"/>
    <tableColumn id="3395" xr3:uid="{BB5F69DC-6290-4D70-8C4C-44D2F02AFF6D}" name="Column3395"/>
    <tableColumn id="3396" xr3:uid="{3C42536E-016A-4C9E-BF9C-2FB988789592}" name="Column3396"/>
    <tableColumn id="3397" xr3:uid="{AC3FF93D-AEAE-49DB-86CC-E8E281F539CD}" name="Column3397"/>
    <tableColumn id="3398" xr3:uid="{DA6CB56E-5C06-46F2-BC80-A60D4FFE779F}" name="Column3398"/>
    <tableColumn id="3399" xr3:uid="{256F3684-9994-4315-A33D-21AF21E2FA22}" name="Column3399"/>
    <tableColumn id="3400" xr3:uid="{6B7D9EA5-0BBC-4599-A807-3B577EB7A4BE}" name="Column3400"/>
    <tableColumn id="3401" xr3:uid="{777BA44A-91B3-4BF4-B149-3D3019337580}" name="Column3401"/>
    <tableColumn id="3402" xr3:uid="{63E79EF1-67FD-4C3B-A306-8CD806E7E2DD}" name="Column3402"/>
    <tableColumn id="3403" xr3:uid="{F5F32277-84A2-4EAA-9EE0-163042B23C0F}" name="Column3403"/>
    <tableColumn id="3404" xr3:uid="{E5396AAC-2A50-4649-AFDE-8DD84074739B}" name="Column3404"/>
    <tableColumn id="3405" xr3:uid="{FDA6425A-BAC9-499D-9EA6-917F77ACAF0A}" name="Column3405"/>
    <tableColumn id="3406" xr3:uid="{FB8D641E-AE86-4451-A62C-0035EE77A2D8}" name="Column3406"/>
    <tableColumn id="3407" xr3:uid="{BC2F8A5E-37EE-4089-A22D-FA2A39C5322C}" name="Column3407"/>
    <tableColumn id="3408" xr3:uid="{1F3B9B6E-2ECD-468D-A73F-4A333AF11C16}" name="Column3408"/>
    <tableColumn id="3409" xr3:uid="{ECD5535A-9B6D-407E-B874-7ABAA65E9977}" name="Column3409"/>
    <tableColumn id="3410" xr3:uid="{CA30B518-AB5E-4006-936D-3A7A43247AB8}" name="Column3410"/>
    <tableColumn id="3411" xr3:uid="{91B2433A-97C9-48FA-B38A-73BE3272532C}" name="Column3411"/>
    <tableColumn id="3412" xr3:uid="{55B89DD1-257D-440D-9879-C5848A31F808}" name="Column3412"/>
    <tableColumn id="3413" xr3:uid="{140B1F6D-0195-47FF-9A6D-E6B3AE371D51}" name="Column3413"/>
    <tableColumn id="3414" xr3:uid="{8C69BEA1-18E7-47AF-BAD5-44EB2C024283}" name="Column3414"/>
    <tableColumn id="3415" xr3:uid="{99C9A6C5-98C6-4973-BD74-47AE7A8182DC}" name="Column3415"/>
    <tableColumn id="3416" xr3:uid="{F8609152-E9B3-4DD2-8942-45FF0AAAA088}" name="Column3416"/>
    <tableColumn id="3417" xr3:uid="{2FE78498-3F38-4031-B5BD-491169AFF19F}" name="Column3417"/>
    <tableColumn id="3418" xr3:uid="{3D85BCC9-E7BC-44D1-BC84-95FC429C5E20}" name="Column3418"/>
    <tableColumn id="3419" xr3:uid="{84F27B0A-A702-46E7-B223-3E652623E28C}" name="Column3419"/>
    <tableColumn id="3420" xr3:uid="{B8E39FE8-B666-4993-9906-17AA6F91942F}" name="Column3420"/>
    <tableColumn id="3421" xr3:uid="{DD6D99F0-307A-4AD6-AE99-19F363B7A7B8}" name="Column3421"/>
    <tableColumn id="3422" xr3:uid="{66B5051E-B78D-40DD-B41C-DAEDA11ECCC9}" name="Column3422"/>
    <tableColumn id="3423" xr3:uid="{4FB1067B-769D-4A30-B62B-833EC22BC6BB}" name="Column3423"/>
    <tableColumn id="3424" xr3:uid="{394478DE-6D88-442E-9F6A-DEE75E77C073}" name="Column3424"/>
    <tableColumn id="3425" xr3:uid="{08D2CBD5-A066-4012-8F4A-8CE8620F51FC}" name="Column3425"/>
    <tableColumn id="3426" xr3:uid="{42DABC52-F443-4342-BA6D-546A8AE522C7}" name="Column3426"/>
    <tableColumn id="3427" xr3:uid="{6BFF7731-B6A1-4382-AB04-11680F9DB671}" name="Column3427"/>
    <tableColumn id="3428" xr3:uid="{F81B42F3-A103-470F-AAAE-CCC78C0DEE13}" name="Column3428"/>
    <tableColumn id="3429" xr3:uid="{59C0E57E-E2B5-4643-B573-5297845EB939}" name="Column3429"/>
    <tableColumn id="3430" xr3:uid="{3DA06C45-9A70-4FDC-BFAB-13A5451B00D6}" name="Column3430"/>
    <tableColumn id="3431" xr3:uid="{21050596-21FE-4EE1-89E9-8A9DBAFB0BEB}" name="Column3431"/>
    <tableColumn id="3432" xr3:uid="{EDF6138D-63DA-47D6-86A3-00934DFA6003}" name="Column3432"/>
    <tableColumn id="3433" xr3:uid="{2A3CBFCC-84F1-4BB5-AEF6-350946AD8C15}" name="Column3433"/>
    <tableColumn id="3434" xr3:uid="{3200608C-1906-4288-88F8-F2DAE8635BE2}" name="Column3434"/>
    <tableColumn id="3435" xr3:uid="{287F9D3A-75C8-4148-A848-8B5F4CDB7331}" name="Column3435"/>
    <tableColumn id="3436" xr3:uid="{AC6DE6B8-03BA-45CD-A0F8-F7F8566F72DF}" name="Column3436"/>
    <tableColumn id="3437" xr3:uid="{CD07F162-CBC3-4460-872C-73CE6FEE7F3A}" name="Column3437"/>
    <tableColumn id="3438" xr3:uid="{7D128D88-9915-4DE9-8216-65D36C7FE1B9}" name="Column3438"/>
    <tableColumn id="3439" xr3:uid="{51560356-37F9-46BA-B050-845EBD3C0640}" name="Column3439"/>
    <tableColumn id="3440" xr3:uid="{060964EE-BA8A-4341-9981-7ED0B0049AD2}" name="Column3440"/>
    <tableColumn id="3441" xr3:uid="{5944EA58-C56B-4DD6-8798-F5C3805D8EC5}" name="Column3441"/>
    <tableColumn id="3442" xr3:uid="{76687231-2D38-4754-9F89-64D9988E4A50}" name="Column3442"/>
    <tableColumn id="3443" xr3:uid="{9258B985-510F-4C75-B5A7-12A3476A84C1}" name="Column3443"/>
    <tableColumn id="3444" xr3:uid="{E8AC406E-CE17-4536-8855-E1477706DF69}" name="Column3444"/>
    <tableColumn id="3445" xr3:uid="{20F3A631-DDA9-4650-B929-D7B91854637C}" name="Column3445"/>
    <tableColumn id="3446" xr3:uid="{EE59BFCE-3726-4ECB-A6F5-0DF16F161BBD}" name="Column3446"/>
    <tableColumn id="3447" xr3:uid="{6FD60A4D-2F51-4339-853A-5C8AC484B6A1}" name="Column3447"/>
    <tableColumn id="3448" xr3:uid="{D5D4B4EE-56D3-4C3C-B375-2F4218314E06}" name="Column3448"/>
    <tableColumn id="3449" xr3:uid="{8C149135-261A-4FD7-8D67-73A16B275CCA}" name="Column3449"/>
    <tableColumn id="3450" xr3:uid="{8489FC8E-4352-47E8-93E2-8EC5C410BAAD}" name="Column3450"/>
    <tableColumn id="3451" xr3:uid="{F4067847-5010-43F2-A6CF-D5EF02D0B925}" name="Column3451"/>
    <tableColumn id="3452" xr3:uid="{15F0E69D-FE33-4334-87A0-09F6319D83D9}" name="Column3452"/>
    <tableColumn id="3453" xr3:uid="{8AAD0BA4-28E7-4AE2-82AC-CD57EC289E12}" name="Column3453"/>
    <tableColumn id="3454" xr3:uid="{F4D9AE13-57AF-4D55-A07E-9E3E693C6CC7}" name="Column3454"/>
    <tableColumn id="3455" xr3:uid="{27BD5A3E-DDCA-47FA-AA96-40C1C3F3965C}" name="Column3455"/>
    <tableColumn id="3456" xr3:uid="{DEF4DF05-7D46-45AF-92AB-98D8D67E4F6A}" name="Column3456"/>
    <tableColumn id="3457" xr3:uid="{05B60594-245C-452E-B753-4218EE9D85F4}" name="Column3457"/>
    <tableColumn id="3458" xr3:uid="{2B84E774-8920-4ED6-B950-3A312A35DCDA}" name="Column3458"/>
    <tableColumn id="3459" xr3:uid="{4114B9B6-EDBB-4FEF-B38E-CBCF89B80C56}" name="Column3459"/>
    <tableColumn id="3460" xr3:uid="{08FDBF23-812C-498D-9BD0-918541E56620}" name="Column3460"/>
    <tableColumn id="3461" xr3:uid="{63735A8B-65ED-4B4F-94B7-6FBCDAD60832}" name="Column3461"/>
    <tableColumn id="3462" xr3:uid="{DE5EBF4E-8F24-4E43-9387-7991D68889B4}" name="Column3462"/>
    <tableColumn id="3463" xr3:uid="{330B2A94-DFF0-47A3-B1C1-8FCEFAF2C9AD}" name="Column3463"/>
    <tableColumn id="3464" xr3:uid="{96185D1A-FD24-4117-97D6-965D62BC0694}" name="Column3464"/>
    <tableColumn id="3465" xr3:uid="{A0F83233-5CD9-49E2-BE7C-A3E8E08E01EC}" name="Column3465"/>
    <tableColumn id="3466" xr3:uid="{EFF8A609-A09F-4908-8524-A6ABFBA01365}" name="Column3466"/>
    <tableColumn id="3467" xr3:uid="{FC928350-6456-4156-9DF4-63BCF2534D25}" name="Column3467"/>
    <tableColumn id="3468" xr3:uid="{9CAC54E1-4A68-48BB-9271-FBF8DE07551C}" name="Column3468"/>
    <tableColumn id="3469" xr3:uid="{51FF1A1A-1610-44F8-B913-2B990A6973FE}" name="Column3469"/>
    <tableColumn id="3470" xr3:uid="{793F8A66-5D0E-4FC2-BFF9-49A4F5163327}" name="Column3470"/>
    <tableColumn id="3471" xr3:uid="{038990DB-9771-49B8-BE66-FA8058B394A9}" name="Column3471"/>
    <tableColumn id="3472" xr3:uid="{883536F0-E6B0-496B-AD47-AF45E2B618A1}" name="Column3472"/>
    <tableColumn id="3473" xr3:uid="{A4AF852A-FB9E-4267-B8BD-5491B3D40A94}" name="Column3473"/>
    <tableColumn id="3474" xr3:uid="{CE2F2E93-7153-459B-A6FF-D814CE7C97BB}" name="Column3474"/>
    <tableColumn id="3475" xr3:uid="{A7339D90-A37F-40EF-BDEC-7F99C8A2C1EE}" name="Column3475"/>
    <tableColumn id="3476" xr3:uid="{29B05DF8-6210-4B4A-8F30-DCF94D26A5D1}" name="Column3476"/>
    <tableColumn id="3477" xr3:uid="{0B8FC74D-18E1-4308-85A1-2F8DB09C94EB}" name="Column3477"/>
    <tableColumn id="3478" xr3:uid="{2895ED88-171D-47AD-8789-1E27C616CC2D}" name="Column3478"/>
    <tableColumn id="3479" xr3:uid="{7A8102B9-4253-4113-8F8E-897EDAA542AF}" name="Column3479"/>
    <tableColumn id="3480" xr3:uid="{0CEC24B1-FD76-43E3-A9B5-A57F5D2F6376}" name="Column3480"/>
    <tableColumn id="3481" xr3:uid="{9112BED8-E9F4-4F91-BA58-01418A57E28F}" name="Column3481"/>
    <tableColumn id="3482" xr3:uid="{71D3FFFA-1EBF-4192-87E9-C49E89C6A1CE}" name="Column3482"/>
    <tableColumn id="3483" xr3:uid="{F12523E8-011D-439F-8D07-5C0716F599A1}" name="Column3483"/>
    <tableColumn id="3484" xr3:uid="{1D1EBFC8-F9AD-4B48-8770-3165F261464D}" name="Column3484"/>
    <tableColumn id="3485" xr3:uid="{FBE1E62C-BFF1-4461-BFAF-029C9A650E4C}" name="Column3485"/>
    <tableColumn id="3486" xr3:uid="{57A1B8EA-6013-446B-AA43-4BD3DD7132CC}" name="Column3486"/>
    <tableColumn id="3487" xr3:uid="{1FCE11E0-73B4-4716-848E-90EB45F07CDC}" name="Column3487"/>
    <tableColumn id="3488" xr3:uid="{919B5737-C8A7-4D8A-9680-F711E7CDD346}" name="Column3488"/>
    <tableColumn id="3489" xr3:uid="{50603715-2703-4098-A811-2AE5BFF4587B}" name="Column3489"/>
    <tableColumn id="3490" xr3:uid="{C5BD3BA7-CC04-4FAC-8D73-783BD211B0A7}" name="Column3490"/>
    <tableColumn id="3491" xr3:uid="{4F9BC9BF-B750-46BD-8DD2-BEE8778AE29D}" name="Column3491"/>
    <tableColumn id="3492" xr3:uid="{87C9D717-A29B-4E9E-AB25-B0D550B45C02}" name="Column3492"/>
    <tableColumn id="3493" xr3:uid="{9AA1391C-57DF-4219-A490-77FDCBDEAE17}" name="Column3493"/>
    <tableColumn id="3494" xr3:uid="{AF5A3DBD-382D-42A7-92F9-455568888E49}" name="Column3494"/>
    <tableColumn id="3495" xr3:uid="{4D216619-1217-487A-841A-DAAD84465B0E}" name="Column3495"/>
    <tableColumn id="3496" xr3:uid="{7D9C920D-4A26-4FF4-A80E-9E793BE000C7}" name="Column3496"/>
    <tableColumn id="3497" xr3:uid="{08B02B97-2FFA-4895-BA24-0A55266D53F5}" name="Column3497"/>
    <tableColumn id="3498" xr3:uid="{936B80A8-BAC3-44C4-9714-673F88ECFA57}" name="Column3498"/>
    <tableColumn id="3499" xr3:uid="{C334AE47-6BA3-4359-8C18-46F9921E35C0}" name="Column3499"/>
    <tableColumn id="3500" xr3:uid="{E3B5E248-9124-4AF1-A895-9B3F3235E009}" name="Column3500"/>
    <tableColumn id="3501" xr3:uid="{AE35FC12-3DFF-47F7-9B62-BE151197DBA1}" name="Column3501"/>
    <tableColumn id="3502" xr3:uid="{6DA96386-9468-4377-AE87-C499654A77EC}" name="Column3502"/>
    <tableColumn id="3503" xr3:uid="{44A117D7-DFC9-4882-9C40-6CDD3F190164}" name="Column3503"/>
    <tableColumn id="3504" xr3:uid="{6ADB0746-5110-43B7-9DB0-E1035D686B44}" name="Column3504"/>
    <tableColumn id="3505" xr3:uid="{F7D5A34B-A087-4E00-AB05-9A08DC2D35A7}" name="Column3505"/>
    <tableColumn id="3506" xr3:uid="{71B13B9C-13C8-457F-A0FD-2580C1349C1D}" name="Column3506"/>
    <tableColumn id="3507" xr3:uid="{6B312D30-755C-437F-8A34-4901C5488118}" name="Column3507"/>
    <tableColumn id="3508" xr3:uid="{8D998AF5-E975-4951-B56A-C76580343828}" name="Column3508"/>
    <tableColumn id="3509" xr3:uid="{14F8ECE1-68AD-4127-B153-71886F847823}" name="Column3509"/>
    <tableColumn id="3510" xr3:uid="{BEBF5194-2BB8-4308-A329-C0AC253DA7D7}" name="Column3510"/>
    <tableColumn id="3511" xr3:uid="{D8C2723D-4CB1-4B20-A26D-39A86F569F12}" name="Column3511"/>
    <tableColumn id="3512" xr3:uid="{4843ABDF-73E9-4112-B5D5-E811EE1CDE9D}" name="Column3512"/>
    <tableColumn id="3513" xr3:uid="{1D3FCBEF-A62F-4E54-AE2C-7BF882C36A1B}" name="Column3513"/>
    <tableColumn id="3514" xr3:uid="{ED0028F6-D759-4ED3-A2B7-88AC6788DE0E}" name="Column3514"/>
    <tableColumn id="3515" xr3:uid="{10BA90C0-4C86-4C2D-A66F-D47A490A8444}" name="Column3515"/>
    <tableColumn id="3516" xr3:uid="{F587C14D-575B-4A99-B17B-72FE48D9C5BE}" name="Column3516"/>
    <tableColumn id="3517" xr3:uid="{CFE89AAE-3F4C-4D89-89C8-D698F435F3A4}" name="Column3517"/>
    <tableColumn id="3518" xr3:uid="{D7E5CBD6-DED8-4B07-A085-E7D3B598100E}" name="Column3518"/>
    <tableColumn id="3519" xr3:uid="{8A959D5A-A25C-4170-BB1A-8B9D0A2005C1}" name="Column3519"/>
    <tableColumn id="3520" xr3:uid="{7BF81618-D24F-4B60-94CF-06E3AFB2B7CE}" name="Column3520"/>
    <tableColumn id="3521" xr3:uid="{6B93C48A-E417-42CA-8496-831416C695DF}" name="Column3521"/>
    <tableColumn id="3522" xr3:uid="{292893B1-48C4-4B89-9294-A69810B55FDF}" name="Column3522"/>
    <tableColumn id="3523" xr3:uid="{940354FA-14EB-40DE-BDA0-6F3075E2F474}" name="Column3523"/>
    <tableColumn id="3524" xr3:uid="{350A2AFD-1F41-4D61-A037-7200DB3C8A63}" name="Column3524"/>
    <tableColumn id="3525" xr3:uid="{032BDA8E-6944-4C38-BC15-CAFE36286122}" name="Column3525"/>
    <tableColumn id="3526" xr3:uid="{4E852B7B-E444-4CAC-A2C5-CA900FB29640}" name="Column3526"/>
    <tableColumn id="3527" xr3:uid="{E5E506B0-EE8A-4C86-A193-EC6089EB6BBE}" name="Column3527"/>
    <tableColumn id="3528" xr3:uid="{2F2394F2-8730-44FB-BEF4-0D7C5910DEFE}" name="Column3528"/>
    <tableColumn id="3529" xr3:uid="{27B310DB-A69B-46A5-9902-B76F2F153562}" name="Column3529"/>
    <tableColumn id="3530" xr3:uid="{7C5C08FC-9A52-432C-9EA6-1FE53DD48E9D}" name="Column3530"/>
    <tableColumn id="3531" xr3:uid="{9FD3471C-5C49-429A-A12B-3B79F05A4368}" name="Column3531"/>
    <tableColumn id="3532" xr3:uid="{1362FE42-C494-410A-BB5E-79A401C0E42F}" name="Column3532"/>
    <tableColumn id="3533" xr3:uid="{EDF758C6-50B7-482A-A6BD-1EBE9CD0FD2E}" name="Column3533"/>
    <tableColumn id="3534" xr3:uid="{3E3698C7-DA30-4E4A-A735-11F135B1A090}" name="Column3534"/>
    <tableColumn id="3535" xr3:uid="{64283BEB-39EE-4D5C-AF8F-CF7EF3DEB075}" name="Column3535"/>
    <tableColumn id="3536" xr3:uid="{9CFB03B9-9008-4C08-B775-5AEBD233CDB5}" name="Column3536"/>
    <tableColumn id="3537" xr3:uid="{DAB6D51F-8855-4B54-8898-15EE7D82B9B2}" name="Column3537"/>
    <tableColumn id="3538" xr3:uid="{69B15460-1AA1-4781-96D7-0B471B31AF46}" name="Column3538"/>
    <tableColumn id="3539" xr3:uid="{AE3D80D1-4E00-4992-B0A7-710000A93B09}" name="Column3539"/>
    <tableColumn id="3540" xr3:uid="{195E9AD6-7A93-49E2-B380-89E458E350F8}" name="Column3540"/>
    <tableColumn id="3541" xr3:uid="{3E2C5F2F-C64B-4CE0-A14F-86FA76B65909}" name="Column3541"/>
    <tableColumn id="3542" xr3:uid="{34A6C722-3A53-473D-9D2A-9EA612C727AA}" name="Column3542"/>
    <tableColumn id="3543" xr3:uid="{C5205727-273C-4154-8251-D75166901957}" name="Column3543"/>
    <tableColumn id="3544" xr3:uid="{4B288020-9555-4C40-A44B-899E3C028D2D}" name="Column3544"/>
    <tableColumn id="3545" xr3:uid="{961279FB-DD62-4B86-9BD7-ECFBA1A3CBAC}" name="Column3545"/>
    <tableColumn id="3546" xr3:uid="{3BD784C3-60E5-4888-8E4A-D11CE68BDE44}" name="Column3546"/>
    <tableColumn id="3547" xr3:uid="{44EC6D21-A534-45D0-9279-73F8921856A4}" name="Column3547"/>
    <tableColumn id="3548" xr3:uid="{5E0DEE22-A64A-428B-BF0F-BBAF05203455}" name="Column3548"/>
    <tableColumn id="3549" xr3:uid="{EA91479F-64AE-4CD3-92D5-08B96840ED4F}" name="Column3549"/>
    <tableColumn id="3550" xr3:uid="{329F9734-E67D-4D7B-9841-BD744D3F525E}" name="Column3550"/>
    <tableColumn id="3551" xr3:uid="{F8A2A270-BF5C-4F93-A829-B9CBB1E51DDF}" name="Column3551"/>
    <tableColumn id="3552" xr3:uid="{6EED2DAB-BB72-49C4-A11B-4E6E1BE6CA27}" name="Column3552"/>
    <tableColumn id="3553" xr3:uid="{7FF9006B-5D00-4801-93CA-7B729095D31B}" name="Column3553"/>
    <tableColumn id="3554" xr3:uid="{23A47CF3-44CA-4906-8BB8-0AB00A0EF0AE}" name="Column3554"/>
    <tableColumn id="3555" xr3:uid="{0079723A-3FD2-41E6-BADB-7DAE301D7B16}" name="Column3555"/>
    <tableColumn id="3556" xr3:uid="{83A0EB5A-D7D0-46A2-9895-80ABB0B64834}" name="Column3556"/>
    <tableColumn id="3557" xr3:uid="{A49491D5-4903-46A1-935C-28C81CAF057A}" name="Column3557"/>
    <tableColumn id="3558" xr3:uid="{4C0E30A9-2496-4962-8952-1ED8DEE39680}" name="Column3558"/>
    <tableColumn id="3559" xr3:uid="{1DCF1299-FBE4-4ED5-B37C-C3C6DDAA025C}" name="Column3559"/>
    <tableColumn id="3560" xr3:uid="{F114BB7A-BECC-42C8-AC66-1EE8A3961469}" name="Column3560"/>
    <tableColumn id="3561" xr3:uid="{48437909-0B72-4D54-9743-CF7E68014F63}" name="Column3561"/>
    <tableColumn id="3562" xr3:uid="{74982AD7-6FE8-4BF2-96E4-095D066AA46C}" name="Column3562"/>
    <tableColumn id="3563" xr3:uid="{EC4680D0-AEBA-43D0-9205-A84208AF609D}" name="Column3563"/>
    <tableColumn id="3564" xr3:uid="{39EB9749-B53C-49F5-B4AF-82774EE551E7}" name="Column3564"/>
    <tableColumn id="3565" xr3:uid="{80A64928-AD7D-45E0-8A25-6CDB0B1FB9F3}" name="Column3565"/>
    <tableColumn id="3566" xr3:uid="{1A1A97E8-4092-47C9-BDF7-228E6DC13857}" name="Column3566"/>
    <tableColumn id="3567" xr3:uid="{273A5B09-E046-49C2-A0F9-8DCE89D641AE}" name="Column3567"/>
    <tableColumn id="3568" xr3:uid="{91E96956-FC65-47F9-AF67-82E5EE49B953}" name="Column3568"/>
    <tableColumn id="3569" xr3:uid="{D7086B5E-86C1-485A-9F41-791832898367}" name="Column3569"/>
    <tableColumn id="3570" xr3:uid="{8013959A-1159-42AB-95E8-0D0AD638690C}" name="Column3570"/>
    <tableColumn id="3571" xr3:uid="{AE076322-A1A6-40B2-93FF-DBA78CF7A969}" name="Column3571"/>
    <tableColumn id="3572" xr3:uid="{FD54B3EE-2F81-45EC-A23E-97AAA685D359}" name="Column3572"/>
    <tableColumn id="3573" xr3:uid="{01CBAF55-00C5-400C-B1AB-3FAD1F2C1EC6}" name="Column3573"/>
    <tableColumn id="3574" xr3:uid="{4300CA4F-DCD3-4D34-BB5F-F822DB9AEB4C}" name="Column3574"/>
    <tableColumn id="3575" xr3:uid="{6B9571F5-E512-4B0E-9CFD-BC83FAB8114F}" name="Column3575"/>
    <tableColumn id="3576" xr3:uid="{A84C8DF5-0503-4AAE-B699-E388F04ABF31}" name="Column3576"/>
    <tableColumn id="3577" xr3:uid="{D0BA8F5B-CCA0-4BB1-9B5F-7DD4846B3CED}" name="Column3577"/>
    <tableColumn id="3578" xr3:uid="{EE6C1326-89CF-4E59-A0EA-E9A88D6C3702}" name="Column3578"/>
    <tableColumn id="3579" xr3:uid="{33D9EB37-67D5-4C66-8355-A8D18A4B1236}" name="Column3579"/>
    <tableColumn id="3580" xr3:uid="{484A2362-B25F-4CD2-9152-748A71D147C9}" name="Column3580"/>
    <tableColumn id="3581" xr3:uid="{4039A938-06E0-417B-A199-829496983C08}" name="Column3581"/>
    <tableColumn id="3582" xr3:uid="{551847F6-AD5A-4CD9-8E53-22A8089390CD}" name="Column3582"/>
    <tableColumn id="3583" xr3:uid="{B066D51E-8F38-4D74-A2DE-23502D59AE29}" name="Column3583"/>
    <tableColumn id="3584" xr3:uid="{FC764172-2090-4272-972C-E4D0D8364095}" name="Column3584"/>
    <tableColumn id="3585" xr3:uid="{CC3BF88D-3325-48F1-AABB-891E72C6E8C8}" name="Column3585"/>
    <tableColumn id="3586" xr3:uid="{F748A740-D9F7-4360-BA50-07A1182759DE}" name="Column3586"/>
    <tableColumn id="3587" xr3:uid="{F79CDC83-2038-45D6-95BF-6D2F8BF4F91C}" name="Column3587"/>
    <tableColumn id="3588" xr3:uid="{A9A5701D-BD38-4E7E-AD40-97D1183DC7EF}" name="Column3588"/>
    <tableColumn id="3589" xr3:uid="{60678A61-DE4A-4919-9A74-C7EEE16D24E3}" name="Column3589"/>
    <tableColumn id="3590" xr3:uid="{89C8738D-4543-47ED-80B7-D815CAD5A625}" name="Column3590"/>
    <tableColumn id="3591" xr3:uid="{C5AFD87D-7A62-4777-A546-B713D81654AA}" name="Column3591"/>
    <tableColumn id="3592" xr3:uid="{C3CCD637-9EBE-4A83-984B-AF453136E791}" name="Column3592"/>
    <tableColumn id="3593" xr3:uid="{EAE11F54-9BB3-4065-ACCF-AB49B528B87A}" name="Column3593"/>
    <tableColumn id="3594" xr3:uid="{1AE28873-C589-499F-9D62-7440AD3786A9}" name="Column3594"/>
    <tableColumn id="3595" xr3:uid="{F1075E2C-6B9B-4E1C-93D1-26B5F3574108}" name="Column3595"/>
    <tableColumn id="3596" xr3:uid="{9FF524E4-3FA6-4E23-BE43-72DA351CD351}" name="Column3596"/>
    <tableColumn id="3597" xr3:uid="{93E42BF5-E87E-4CF9-A7D2-640F49DAAC88}" name="Column3597"/>
    <tableColumn id="3598" xr3:uid="{5D8F81FD-B442-43AE-9DFF-21590BE5DAD7}" name="Column3598"/>
    <tableColumn id="3599" xr3:uid="{DAC7C9EB-CA5C-41E7-AFED-85D5171D80E0}" name="Column3599"/>
    <tableColumn id="3600" xr3:uid="{EACD50AF-6259-4F0B-AAFD-E254BC25AB3E}" name="Column3600"/>
    <tableColumn id="3601" xr3:uid="{7B664C3E-1DE1-41C2-9771-6793B22E92BF}" name="Column3601"/>
    <tableColumn id="3602" xr3:uid="{055B35F5-7198-4416-BA9C-D9371C6747B4}" name="Column3602"/>
    <tableColumn id="3603" xr3:uid="{67B66667-C4FF-4FE9-B700-B8E64249334A}" name="Column3603"/>
    <tableColumn id="3604" xr3:uid="{401F0151-34C4-4508-A75E-AD82662FC6BE}" name="Column3604"/>
    <tableColumn id="3605" xr3:uid="{6D1D39A3-E6AE-4163-B628-BC33C121B404}" name="Column3605"/>
    <tableColumn id="3606" xr3:uid="{A1F4D16E-63FC-4F0F-B463-3BD65AA99361}" name="Column3606"/>
    <tableColumn id="3607" xr3:uid="{A81B873F-D4A2-4029-B970-E1C6A4776DE2}" name="Column3607"/>
    <tableColumn id="3608" xr3:uid="{B1EC9846-1CA8-44C4-9C9C-92E85620BCC6}" name="Column3608"/>
    <tableColumn id="3609" xr3:uid="{9B5951E2-A728-4439-9A3F-29F6DFD54558}" name="Column3609"/>
    <tableColumn id="3610" xr3:uid="{13A6CEAD-608F-4B69-8FE2-9DB4EC5F3A8E}" name="Column3610"/>
    <tableColumn id="3611" xr3:uid="{702060C0-6480-4F6F-BBFF-F9CAE4C02058}" name="Column3611"/>
    <tableColumn id="3612" xr3:uid="{473B1C88-0B02-43B2-9829-7EC60265F41A}" name="Column3612"/>
    <tableColumn id="3613" xr3:uid="{D9EA1B2D-019C-467C-B9A0-D3276F78DFDB}" name="Column3613"/>
    <tableColumn id="3614" xr3:uid="{27FC2FC7-FFCD-402B-8F7F-388CED0C5616}" name="Column3614"/>
    <tableColumn id="3615" xr3:uid="{DCE1A952-6277-42F1-AAD8-A4E729124520}" name="Column3615"/>
    <tableColumn id="3616" xr3:uid="{CF804765-46A0-431A-9147-9DDAD2120959}" name="Column3616"/>
    <tableColumn id="3617" xr3:uid="{696A3A39-AF51-4D8A-95EA-6A9FFAB35B27}" name="Column3617"/>
    <tableColumn id="3618" xr3:uid="{9AAF5C1C-7347-4642-AB03-9EF19E05FD6B}" name="Column3618"/>
    <tableColumn id="3619" xr3:uid="{F596CFCE-DBAD-4C5F-B30A-464E62756E94}" name="Column3619"/>
    <tableColumn id="3620" xr3:uid="{FFA4CE8E-C4EA-4D08-A699-88B92FFC0470}" name="Column3620"/>
    <tableColumn id="3621" xr3:uid="{A387F415-B944-4D13-B33E-CF0B74B695B3}" name="Column3621"/>
    <tableColumn id="3622" xr3:uid="{C96AB4AE-02E4-43FD-9B2D-8730187008AF}" name="Column3622"/>
    <tableColumn id="3623" xr3:uid="{ED6290CB-DD8A-4535-B4DE-B2464A4B3290}" name="Column3623"/>
    <tableColumn id="3624" xr3:uid="{1EDD7806-7493-48F2-AD20-A911A45154CB}" name="Column3624"/>
    <tableColumn id="3625" xr3:uid="{94826451-FEDD-4E55-8729-5D0DB70643DB}" name="Column3625"/>
    <tableColumn id="3626" xr3:uid="{087DA824-7EA0-4CB2-BBB5-F9F8B039377F}" name="Column3626"/>
    <tableColumn id="3627" xr3:uid="{77B1EC3B-695A-4A07-B21C-87561A7C3D6D}" name="Column3627"/>
    <tableColumn id="3628" xr3:uid="{02702A69-B76D-4FCD-9FD1-555DD616CDA9}" name="Column3628"/>
    <tableColumn id="3629" xr3:uid="{D3C04484-7E4D-4747-A84F-F6546AC96D21}" name="Column3629"/>
    <tableColumn id="3630" xr3:uid="{F14915DF-170F-4A8D-B083-4F0CC5C0938D}" name="Column3630"/>
    <tableColumn id="3631" xr3:uid="{E71BDFA7-99F1-48EC-BE20-D599A3AA3BE5}" name="Column3631"/>
    <tableColumn id="3632" xr3:uid="{1F6EC10A-C21B-4510-A639-35079507416B}" name="Column3632"/>
    <tableColumn id="3633" xr3:uid="{DB7BE6E5-CA27-476A-9E03-562452E54C7A}" name="Column3633"/>
    <tableColumn id="3634" xr3:uid="{B92E41BE-FD90-4722-9235-D5ECB1B48236}" name="Column3634"/>
    <tableColumn id="3635" xr3:uid="{3F35038D-6678-40D0-8EA7-49E50E16C9DF}" name="Column3635"/>
    <tableColumn id="3636" xr3:uid="{4C145B62-B2B6-49B9-B6E1-9252864F2B1B}" name="Column3636"/>
    <tableColumn id="3637" xr3:uid="{85ACF1F8-9BFE-4D6D-9569-47CC20FA9DD4}" name="Column3637"/>
    <tableColumn id="3638" xr3:uid="{C448ED80-33EB-4C11-BAF6-BC3BBDB65EAD}" name="Column3638"/>
    <tableColumn id="3639" xr3:uid="{972066D2-D02E-4A0A-A317-074A49125DC7}" name="Column3639"/>
    <tableColumn id="3640" xr3:uid="{CB41AE31-B1B4-48F4-A7E5-B0B4DA7010AD}" name="Column3640"/>
    <tableColumn id="3641" xr3:uid="{260261C7-475D-44A7-A1AD-92E67A6F0AEA}" name="Column3641"/>
    <tableColumn id="3642" xr3:uid="{4EB1E08C-B637-43DE-92AA-868338159852}" name="Column3642"/>
    <tableColumn id="3643" xr3:uid="{153FDE5E-AF1E-4DB1-8F68-59AEBC96AC5B}" name="Column3643"/>
    <tableColumn id="3644" xr3:uid="{17B59D51-B708-4AF4-955E-F96B87E94DB4}" name="Column3644"/>
    <tableColumn id="3645" xr3:uid="{BD939C8C-3580-4F45-96E1-F816E855BB00}" name="Column3645"/>
    <tableColumn id="3646" xr3:uid="{786E71FA-8F81-47F4-B8D1-DE216C38E792}" name="Column3646"/>
    <tableColumn id="3647" xr3:uid="{6749805B-E8DC-4CAE-B966-60E47F7DD9FD}" name="Column3647"/>
    <tableColumn id="3648" xr3:uid="{51C6B22E-D790-45BB-8383-14CB06EE8AF4}" name="Column3648"/>
    <tableColumn id="3649" xr3:uid="{74F988CD-1E87-4350-B8F8-BA61F12F5FC2}" name="Column3649"/>
    <tableColumn id="3650" xr3:uid="{27478C27-079B-4BF8-8E67-0F76360B9ECB}" name="Column3650"/>
    <tableColumn id="3651" xr3:uid="{61DED437-42FC-4220-AEF6-3763F0A1322D}" name="Column3651"/>
    <tableColumn id="3652" xr3:uid="{FA3EC8B1-FBE5-421A-99C4-F3C141685BAA}" name="Column3652"/>
    <tableColumn id="3653" xr3:uid="{7885B6E8-8979-43F7-B9CC-A4015415C5C2}" name="Column3653"/>
    <tableColumn id="3654" xr3:uid="{B686CC6E-EE00-484B-955A-90E6F5D87E7C}" name="Column3654"/>
    <tableColumn id="3655" xr3:uid="{AB3FE4CC-1B86-4BB7-9591-C4FE84AEC9CE}" name="Column3655"/>
    <tableColumn id="3656" xr3:uid="{8C7A4F01-9CEB-4615-BDBC-3AF18E305BFB}" name="Column3656"/>
    <tableColumn id="3657" xr3:uid="{970F7D73-F64D-47FC-9BEE-53A928E03EBC}" name="Column3657"/>
    <tableColumn id="3658" xr3:uid="{4CA7DD77-F657-4809-A184-914F5B10A7D2}" name="Column3658"/>
    <tableColumn id="3659" xr3:uid="{BC2FE497-7871-47BE-8583-CB346F97251E}" name="Column3659"/>
    <tableColumn id="3660" xr3:uid="{9F2FAE68-4976-4119-A418-D2A6560EE682}" name="Column3660"/>
    <tableColumn id="3661" xr3:uid="{F0123B20-8F52-442F-985F-D893FFEDC5C6}" name="Column3661"/>
    <tableColumn id="3662" xr3:uid="{C61C0B42-8703-4204-9099-814E781B6FCA}" name="Column3662"/>
    <tableColumn id="3663" xr3:uid="{DC640301-6CAB-4B36-B7FC-2991B65FA845}" name="Column3663"/>
    <tableColumn id="3664" xr3:uid="{082798A1-2ACA-4C26-9A47-D286087DEB81}" name="Column3664"/>
    <tableColumn id="3665" xr3:uid="{9C2A5C51-75A8-4FC8-B9B8-50E9220C9F76}" name="Column3665"/>
    <tableColumn id="3666" xr3:uid="{A30BC1A6-60D3-4BE1-8143-40A3E83B1DCC}" name="Column3666"/>
    <tableColumn id="3667" xr3:uid="{3095E460-5AEE-481B-A361-27CA8CBD784D}" name="Column3667"/>
    <tableColumn id="3668" xr3:uid="{D8B5450E-C65C-44B1-B635-96DF02CA316C}" name="Column3668"/>
    <tableColumn id="3669" xr3:uid="{228EF1F5-0CA8-4130-8CA5-333047334BA6}" name="Column3669"/>
    <tableColumn id="3670" xr3:uid="{C17D1D3B-AF02-448F-B6F0-8C0BDCEE3C83}" name="Column3670"/>
    <tableColumn id="3671" xr3:uid="{78840E12-AC32-4F34-BC8D-715975F735B9}" name="Column3671"/>
    <tableColumn id="3672" xr3:uid="{2F6C199A-8F71-4793-96BA-39DA9C94F419}" name="Column3672"/>
    <tableColumn id="3673" xr3:uid="{1DD63186-8D02-46E1-9C2C-8986BE7C07D9}" name="Column3673"/>
    <tableColumn id="3674" xr3:uid="{A705EB37-D707-4864-9139-980D94F1A7B5}" name="Column3674"/>
    <tableColumn id="3675" xr3:uid="{B49612D8-3F1A-4F28-84FB-89B9D05584F2}" name="Column3675"/>
    <tableColumn id="3676" xr3:uid="{CA174802-24CE-4571-B4D5-1261B97D30F1}" name="Column3676"/>
    <tableColumn id="3677" xr3:uid="{B820263A-B9E0-43AC-AFEF-A4A4CE44E8B5}" name="Column3677"/>
    <tableColumn id="3678" xr3:uid="{4684099B-25F3-4E82-8FF9-32310052BC2C}" name="Column3678"/>
    <tableColumn id="3679" xr3:uid="{B056E365-EB11-44D1-86EA-C9281D72BDFD}" name="Column3679"/>
    <tableColumn id="3680" xr3:uid="{E7F39F74-3D0E-42BF-B6BF-D124E8CDDA79}" name="Column3680"/>
    <tableColumn id="3681" xr3:uid="{E7741819-2516-476E-A4A8-BC3616A3B020}" name="Column3681"/>
    <tableColumn id="3682" xr3:uid="{3387A295-1F5C-4EFB-8343-4D27D3F51DF9}" name="Column3682"/>
    <tableColumn id="3683" xr3:uid="{046816DD-635D-42EF-95FC-DB69A5C9C6BF}" name="Column3683"/>
    <tableColumn id="3684" xr3:uid="{859E5BE5-FE06-49F6-B075-EDFF5B86E4F3}" name="Column3684"/>
    <tableColumn id="3685" xr3:uid="{6DB4ED7D-7DDD-437C-9A2F-CAAB49A7DADA}" name="Column3685"/>
    <tableColumn id="3686" xr3:uid="{704B487E-C51A-471F-8A95-57977F4D401A}" name="Column3686"/>
    <tableColumn id="3687" xr3:uid="{359722DF-C0BA-439C-A1B3-419FB7569461}" name="Column3687"/>
    <tableColumn id="3688" xr3:uid="{BEA11002-5700-4840-ACCA-D6A172AC4D84}" name="Column3688"/>
    <tableColumn id="3689" xr3:uid="{9341B17C-1194-4CBE-A2A1-70A331F3B0C3}" name="Column3689"/>
    <tableColumn id="3690" xr3:uid="{3FE2BC9E-DACF-42AE-914C-43BC7891CDF3}" name="Column3690"/>
    <tableColumn id="3691" xr3:uid="{FD11B3B2-C8E3-4B3F-8BF9-BAC930EF1C82}" name="Column3691"/>
    <tableColumn id="3692" xr3:uid="{D4B6FB13-FB06-44F0-9F37-4A5743097947}" name="Column3692"/>
    <tableColumn id="3693" xr3:uid="{730B1BB9-3790-4B75-8BB9-1711E86DB9EA}" name="Column3693"/>
    <tableColumn id="3694" xr3:uid="{26377402-4154-48BC-9AAA-C211D9353AC2}" name="Column3694"/>
    <tableColumn id="3695" xr3:uid="{C1AB0647-FFC9-43B0-8ECF-F3CE65377741}" name="Column3695"/>
    <tableColumn id="3696" xr3:uid="{2B2F7123-716E-4DEE-8A1B-68BBD3DAE429}" name="Column3696"/>
    <tableColumn id="3697" xr3:uid="{15F0C592-F7B8-474E-94C3-F97DE429784A}" name="Column3697"/>
    <tableColumn id="3698" xr3:uid="{7B92201A-8B4E-445B-811D-9B7C82A008B8}" name="Column3698"/>
    <tableColumn id="3699" xr3:uid="{020BEE62-E1FA-4823-B5C8-5B6365DEEE96}" name="Column3699"/>
    <tableColumn id="3700" xr3:uid="{55881B3A-319E-4223-A370-C4DAB8333BD7}" name="Column3700"/>
    <tableColumn id="3701" xr3:uid="{F652FFFE-B26C-4352-BC47-2D6E497D2DF9}" name="Column3701"/>
    <tableColumn id="3702" xr3:uid="{BB312425-3173-4E42-8F0B-861EF3D15A79}" name="Column3702"/>
    <tableColumn id="3703" xr3:uid="{1D1CE223-D25F-47C0-AF6F-2B1A2565F7F4}" name="Column3703"/>
    <tableColumn id="3704" xr3:uid="{847BD658-6050-4732-9415-6BE9209FDAC2}" name="Column3704"/>
    <tableColumn id="3705" xr3:uid="{DD2F5C92-ABBD-4AC5-BBFA-B4951C0E3584}" name="Column3705"/>
    <tableColumn id="3706" xr3:uid="{07341A65-0439-4981-B3FC-305DA5DED194}" name="Column3706"/>
    <tableColumn id="3707" xr3:uid="{1C2BF48A-0316-4E63-AD94-749D14E4A2FF}" name="Column3707"/>
    <tableColumn id="3708" xr3:uid="{529E0B94-FBF0-4CD6-9429-2D5843AE36D9}" name="Column3708"/>
    <tableColumn id="3709" xr3:uid="{DAE76BFC-A9D1-41C1-B6BE-B559C6E9F058}" name="Column3709"/>
    <tableColumn id="3710" xr3:uid="{FFEAC8A6-B245-419F-A599-F8069FE2DAC2}" name="Column3710"/>
    <tableColumn id="3711" xr3:uid="{0D931984-C19E-48CA-A4CE-A1485817ACD7}" name="Column3711"/>
    <tableColumn id="3712" xr3:uid="{C2E4DDBB-21C3-4090-8431-D015D8FBEAAF}" name="Column3712"/>
    <tableColumn id="3713" xr3:uid="{10894873-C1E1-4A03-B1CC-7DC4DA05E79A}" name="Column3713"/>
    <tableColumn id="3714" xr3:uid="{A13C8D2D-02C1-496D-8DA1-52EDCF2A5678}" name="Column3714"/>
    <tableColumn id="3715" xr3:uid="{A6C40062-667D-4897-8593-164C8EC77C2F}" name="Column3715"/>
    <tableColumn id="3716" xr3:uid="{25DB9DE2-A21D-4755-8E47-F1E95BA63A0F}" name="Column3716"/>
    <tableColumn id="3717" xr3:uid="{1967A742-0CF2-4AEF-A48B-2878CED30514}" name="Column3717"/>
    <tableColumn id="3718" xr3:uid="{8A897375-B9C9-4A58-952D-257AF7AC7E1B}" name="Column3718"/>
    <tableColumn id="3719" xr3:uid="{45473DC9-CFE7-4534-A1D7-1C9E0FC0E183}" name="Column3719"/>
    <tableColumn id="3720" xr3:uid="{C4B7B5A8-11E8-41CE-B894-DF087C6EFCC6}" name="Column3720"/>
    <tableColumn id="3721" xr3:uid="{3283B736-D598-4519-BBC7-96E84DB6D963}" name="Column3721"/>
    <tableColumn id="3722" xr3:uid="{5D1236FB-B0F7-410A-86E6-D07817256437}" name="Column3722"/>
    <tableColumn id="3723" xr3:uid="{F17C1AD2-1852-414D-A4F5-5367AD795B1D}" name="Column3723"/>
    <tableColumn id="3724" xr3:uid="{824CF583-D582-4B80-BAED-937262057E74}" name="Column3724"/>
    <tableColumn id="3725" xr3:uid="{46A42CDA-9F5F-4EDB-BFDB-1D44CA60311B}" name="Column3725"/>
    <tableColumn id="3726" xr3:uid="{EE62C09D-5EBB-48C2-829B-CC2BCE7AE4CA}" name="Column3726"/>
    <tableColumn id="3727" xr3:uid="{00A96378-DA76-46E3-B22A-0CB8F393C454}" name="Column3727"/>
    <tableColumn id="3728" xr3:uid="{77676110-1598-409F-8F08-70F32B7BDEDA}" name="Column3728"/>
    <tableColumn id="3729" xr3:uid="{41F63966-3B39-4656-9517-6DA35F86982C}" name="Column3729"/>
    <tableColumn id="3730" xr3:uid="{4ECAD4D9-E264-4831-84CB-61D4A56CE76C}" name="Column3730"/>
    <tableColumn id="3731" xr3:uid="{7D65EF6E-F407-4ED9-8893-21BDBE7A2978}" name="Column3731"/>
    <tableColumn id="3732" xr3:uid="{30231B4B-5546-4EDC-9760-D59AFFAB5AE9}" name="Column3732"/>
    <tableColumn id="3733" xr3:uid="{3A43972C-03EF-4D2A-A212-EA531EA67E6A}" name="Column3733"/>
    <tableColumn id="3734" xr3:uid="{E883DC1A-529E-4977-A856-AE0C3F354934}" name="Column3734"/>
    <tableColumn id="3735" xr3:uid="{E9F45E23-BFE1-4F0A-B946-4585EA2DF181}" name="Column3735"/>
    <tableColumn id="3736" xr3:uid="{BDB2D96C-4E6F-4A23-8309-1EA4C1CC1B21}" name="Column3736"/>
    <tableColumn id="3737" xr3:uid="{E0B7850E-1890-4151-B233-7D856FD0BD1B}" name="Column3737"/>
    <tableColumn id="3738" xr3:uid="{C70206E5-A480-4D24-BFF7-F4E1A121EC82}" name="Column3738"/>
    <tableColumn id="3739" xr3:uid="{FC973BF1-73D1-4782-BF7F-470F8530600B}" name="Column3739"/>
    <tableColumn id="3740" xr3:uid="{AC750487-463A-453A-A1B5-3A180C3F8905}" name="Column3740"/>
    <tableColumn id="3741" xr3:uid="{64C81A58-7CFE-4F87-9736-2A5602B306C2}" name="Column3741"/>
    <tableColumn id="3742" xr3:uid="{28D916CB-5062-4266-9B9E-753F4EF3F6DE}" name="Column3742"/>
    <tableColumn id="3743" xr3:uid="{C94E423E-836A-476C-8F1B-DF7773BC3874}" name="Column3743"/>
    <tableColumn id="3744" xr3:uid="{7AC09C93-234B-4624-9093-F0ECC3BDF171}" name="Column3744"/>
    <tableColumn id="3745" xr3:uid="{C4E0FA65-33C9-4F2F-96F9-4015F60F5616}" name="Column3745"/>
    <tableColumn id="3746" xr3:uid="{CFBD8B9D-79F8-4B51-8008-BDE4713C0F4A}" name="Column3746"/>
    <tableColumn id="3747" xr3:uid="{9BC2F6AD-4E71-4AD1-85DB-12ACB83D05B1}" name="Column3747"/>
    <tableColumn id="3748" xr3:uid="{8CE69318-1AA0-4D34-8DD9-DB27CF9EF8C4}" name="Column3748"/>
    <tableColumn id="3749" xr3:uid="{0C325CD6-CDF6-4B2F-9CC3-A33D066B944D}" name="Column3749"/>
    <tableColumn id="3750" xr3:uid="{FECC801A-74BA-497E-9025-F107919934AB}" name="Column3750"/>
    <tableColumn id="3751" xr3:uid="{49ABA9ED-D10B-4C8F-8025-1651EFF1D3E5}" name="Column3751"/>
    <tableColumn id="3752" xr3:uid="{1ABB8B52-7A02-4A37-9297-BC02E9D9C59F}" name="Column3752"/>
    <tableColumn id="3753" xr3:uid="{29CF0276-33F5-4C40-872D-7493A8395CC4}" name="Column3753"/>
    <tableColumn id="3754" xr3:uid="{23B4F0A7-158A-450D-80B7-E3DCEB9EDD0E}" name="Column3754"/>
    <tableColumn id="3755" xr3:uid="{573DA42C-BD8C-4BCE-8544-11777A685214}" name="Column3755"/>
    <tableColumn id="3756" xr3:uid="{5CBDBAB7-9FAF-45C0-A447-0486A8534787}" name="Column3756"/>
    <tableColumn id="3757" xr3:uid="{F03375E7-9070-45FF-8893-A39A6D7830C4}" name="Column3757"/>
    <tableColumn id="3758" xr3:uid="{A5BA0212-6637-4239-AEF9-DA68D095CC38}" name="Column3758"/>
    <tableColumn id="3759" xr3:uid="{3BC19AF4-A83C-4349-A6AF-0E2EEA8A29AF}" name="Column3759"/>
    <tableColumn id="3760" xr3:uid="{CDFEDDB6-2BEF-4104-A442-18B1B70C4918}" name="Column3760"/>
    <tableColumn id="3761" xr3:uid="{FEDE3E72-84B4-4CF5-8966-F186FB460F5F}" name="Column3761"/>
    <tableColumn id="3762" xr3:uid="{82A89CBC-CB1B-4C9B-8131-1EDF5E1B219E}" name="Column3762"/>
    <tableColumn id="3763" xr3:uid="{DD24684E-3158-4D0D-8FBB-56C3FADACA7B}" name="Column3763"/>
    <tableColumn id="3764" xr3:uid="{669D709B-F095-45D0-B5EB-A8C56B87A21E}" name="Column3764"/>
    <tableColumn id="3765" xr3:uid="{4856709A-07EB-4541-9E40-71B6CC16896E}" name="Column3765"/>
    <tableColumn id="3766" xr3:uid="{32C5868C-D8AB-4100-9D34-8C0C6B853075}" name="Column3766"/>
    <tableColumn id="3767" xr3:uid="{36C3DBFC-FD16-435F-9A2C-8115A83A48AE}" name="Column3767"/>
    <tableColumn id="3768" xr3:uid="{0E728F3D-2031-46A5-AFE1-E52E66062213}" name="Column3768"/>
    <tableColumn id="3769" xr3:uid="{54B8B602-0D58-4D9B-8239-B8782DB67007}" name="Column3769"/>
    <tableColumn id="3770" xr3:uid="{8DC89075-62C8-473D-A256-A3FD22A7DC75}" name="Column3770"/>
    <tableColumn id="3771" xr3:uid="{EF916171-2D5E-4AF3-9CC9-BE2E7DCE0242}" name="Column3771"/>
    <tableColumn id="3772" xr3:uid="{795BFF9F-0FB4-4AFF-ABFE-7131C81028C7}" name="Column3772"/>
    <tableColumn id="3773" xr3:uid="{B86B9B13-18F4-495F-991B-68CC0B8410A2}" name="Column3773"/>
    <tableColumn id="3774" xr3:uid="{13E7BE2C-29D4-4568-B758-D268E95B6AE1}" name="Column3774"/>
    <tableColumn id="3775" xr3:uid="{F5AC38C1-9175-407D-B20D-ED39A6C9A6DC}" name="Column3775"/>
    <tableColumn id="3776" xr3:uid="{D37FC177-46A6-4359-B303-576A973D34D6}" name="Column3776"/>
    <tableColumn id="3777" xr3:uid="{AD633390-9611-41DF-84D6-F1B18E9A5613}" name="Column3777"/>
    <tableColumn id="3778" xr3:uid="{93B07AC2-AC1C-4943-A4BE-385FB7C17D11}" name="Column3778"/>
    <tableColumn id="3779" xr3:uid="{1F6C3804-C974-4C9E-B676-C11AFD70C075}" name="Column3779"/>
    <tableColumn id="3780" xr3:uid="{421BF4D1-0DFF-4246-9681-849D91C416B1}" name="Column3780"/>
    <tableColumn id="3781" xr3:uid="{B1EF40EF-871A-4A91-9B4F-1D2CE1D7C19A}" name="Column3781"/>
    <tableColumn id="3782" xr3:uid="{AC96CAE5-C7F0-4DAD-8D13-C15A3A11599A}" name="Column3782"/>
    <tableColumn id="3783" xr3:uid="{BCFF527B-FADD-4C88-84FC-9CDD1D28E175}" name="Column3783"/>
    <tableColumn id="3784" xr3:uid="{E6CFA5EE-176C-4F80-91D4-3AE01BB3DBEB}" name="Column3784"/>
    <tableColumn id="3785" xr3:uid="{618717C1-6659-490B-90F7-DD6C0C488B2C}" name="Column3785"/>
    <tableColumn id="3786" xr3:uid="{7BBA060A-996E-46A8-B386-7BF46F59DE0F}" name="Column3786"/>
    <tableColumn id="3787" xr3:uid="{EB821DE5-31D1-41C1-AB58-22ED1BA3A245}" name="Column3787"/>
    <tableColumn id="3788" xr3:uid="{DC605BD6-CC88-4ED4-8282-CD16A387D0A8}" name="Column3788"/>
    <tableColumn id="3789" xr3:uid="{55065163-FA5D-43C2-A40B-F80D4F3DAB54}" name="Column3789"/>
    <tableColumn id="3790" xr3:uid="{38CD7FDE-5F40-480B-9475-4FB0EE492949}" name="Column3790"/>
    <tableColumn id="3791" xr3:uid="{0E6F0A68-280B-47E7-B810-79D82F23C37E}" name="Column3791"/>
    <tableColumn id="3792" xr3:uid="{B7553348-C4C8-45E2-9C18-2EC4D739106E}" name="Column3792"/>
    <tableColumn id="3793" xr3:uid="{08B4FB9C-5AF3-4B39-AA1A-F4B8F81AA1A6}" name="Column3793"/>
    <tableColumn id="3794" xr3:uid="{17D13140-D8B0-4CBF-A3EB-8ED2EF4AA271}" name="Column3794"/>
    <tableColumn id="3795" xr3:uid="{A9E44927-1838-4801-8DAB-EE54C1D0A601}" name="Column3795"/>
    <tableColumn id="3796" xr3:uid="{79D212C2-B09A-4C46-B6C6-F1A3C7FCF4B0}" name="Column3796"/>
    <tableColumn id="3797" xr3:uid="{AD52C342-293A-4C69-89FB-6F86C0CB4652}" name="Column3797"/>
    <tableColumn id="3798" xr3:uid="{1B681BA8-97A2-44D9-8993-66B8942B2115}" name="Column3798"/>
    <tableColumn id="3799" xr3:uid="{E4D06757-AD81-41D9-964E-7C5594765111}" name="Column3799"/>
    <tableColumn id="3800" xr3:uid="{634F6275-C0FC-46DF-951F-9C79EEF03F10}" name="Column3800"/>
    <tableColumn id="3801" xr3:uid="{28A1994E-6261-41E2-9845-F95B7423E577}" name="Column3801"/>
    <tableColumn id="3802" xr3:uid="{E1BDF924-78E3-4BBC-9C68-F410E50AB600}" name="Column3802"/>
    <tableColumn id="3803" xr3:uid="{1481F166-F9E6-493A-A953-9E622DA40347}" name="Column3803"/>
    <tableColumn id="3804" xr3:uid="{17AD227C-0252-47A1-B291-A9BFB2A80DA4}" name="Column3804"/>
    <tableColumn id="3805" xr3:uid="{8C358766-69EE-4EB1-BB2C-3926F23B0943}" name="Column3805"/>
    <tableColumn id="3806" xr3:uid="{1AEF6D0C-C164-40C1-BE69-8118079A17C3}" name="Column3806"/>
    <tableColumn id="3807" xr3:uid="{DDADE960-3CC5-4E63-98B6-AC2AEE0AD80E}" name="Column3807"/>
    <tableColumn id="3808" xr3:uid="{33570A06-779B-4FCB-955D-290294062F87}" name="Column3808"/>
    <tableColumn id="3809" xr3:uid="{36B490DB-14DE-452F-BB8F-6BE59A6DF777}" name="Column3809"/>
    <tableColumn id="3810" xr3:uid="{C1F91DA7-637A-432A-B1F7-23E43D02D2C0}" name="Column3810"/>
    <tableColumn id="3811" xr3:uid="{D31297FC-DD24-428F-8ACA-E61345E81307}" name="Column3811"/>
    <tableColumn id="3812" xr3:uid="{12F93EE6-6B0B-4E2E-95EA-C17F21E4D36B}" name="Column3812"/>
    <tableColumn id="3813" xr3:uid="{933A7DBC-4FFC-4A4E-911B-CA31DCBE1C2B}" name="Column3813"/>
    <tableColumn id="3814" xr3:uid="{9680215D-70D1-48F0-B726-DA077F2394AF}" name="Column3814"/>
    <tableColumn id="3815" xr3:uid="{C764C9A0-DA4F-4CA9-BF3C-DDBC55A29A3F}" name="Column3815"/>
    <tableColumn id="3816" xr3:uid="{3EF84D0A-567D-4968-B5DF-33A919F8C1C4}" name="Column3816"/>
    <tableColumn id="3817" xr3:uid="{78BFC2E8-5E70-4505-9506-82EAC62A3323}" name="Column3817"/>
    <tableColumn id="3818" xr3:uid="{1D3CF13F-FD23-4470-839B-CF0901D96A01}" name="Column3818"/>
    <tableColumn id="3819" xr3:uid="{26DD7A01-37C2-4722-9F73-3DB7DE90EA02}" name="Column3819"/>
    <tableColumn id="3820" xr3:uid="{36744D87-3881-4459-8F0A-BD8EC4C77A40}" name="Column3820"/>
    <tableColumn id="3821" xr3:uid="{0FBDFC35-681D-40E6-A312-60B43D85E550}" name="Column3821"/>
    <tableColumn id="3822" xr3:uid="{8EDA3650-93F1-4397-B1F9-565CD95EF26B}" name="Column3822"/>
    <tableColumn id="3823" xr3:uid="{ECD704D5-F576-41C7-BB22-064FF55FDCA4}" name="Column3823"/>
    <tableColumn id="3824" xr3:uid="{AB5A8FF1-37F8-4296-B1BE-A007EAA918DF}" name="Column3824"/>
    <tableColumn id="3825" xr3:uid="{28569DF9-7A91-41EC-AD35-257A8AC2A8E4}" name="Column3825"/>
    <tableColumn id="3826" xr3:uid="{3D21B3B3-199A-4F32-93C8-B3490B0330A3}" name="Column3826"/>
    <tableColumn id="3827" xr3:uid="{09C6253C-54AD-4B56-BABD-A2A4ED7BAF85}" name="Column3827"/>
    <tableColumn id="3828" xr3:uid="{CA33DB97-F5AD-46EC-BD84-89E0363C39D0}" name="Column3828"/>
    <tableColumn id="3829" xr3:uid="{F53D1EB1-B594-46ED-B432-7EC75ECE9C5B}" name="Column3829"/>
    <tableColumn id="3830" xr3:uid="{04441776-0F35-4633-B526-53CB6AF22151}" name="Column3830"/>
    <tableColumn id="3831" xr3:uid="{7EA4E7E4-26B0-45B3-8F59-17A9CFA66AB1}" name="Column3831"/>
    <tableColumn id="3832" xr3:uid="{A1B033BE-D8BC-453D-AC39-B5A27BD7BCD9}" name="Column3832"/>
    <tableColumn id="3833" xr3:uid="{892B36F7-CEDA-420E-BDF3-83571E1F0C3E}" name="Column3833"/>
    <tableColumn id="3834" xr3:uid="{308EA081-A59B-4CF7-8616-C70B659F0456}" name="Column3834"/>
    <tableColumn id="3835" xr3:uid="{ABAB520B-EDA7-4157-B8B7-D68BFAE97AD9}" name="Column3835"/>
    <tableColumn id="3836" xr3:uid="{4ABB4144-A8ED-40D2-B828-10FD8A9FCAA0}" name="Column3836"/>
    <tableColumn id="3837" xr3:uid="{70A5DDFC-799F-4848-9457-66820A14E2B4}" name="Column3837"/>
    <tableColumn id="3838" xr3:uid="{1C6F6018-3BF7-4A3D-ABF6-C73FDD6184EC}" name="Column3838"/>
    <tableColumn id="3839" xr3:uid="{606CFCEA-B97B-480B-9A78-3BFF7BD34456}" name="Column3839"/>
    <tableColumn id="3840" xr3:uid="{7FF0CA66-1639-4D5A-83C8-C2C9A73125D1}" name="Column3840"/>
    <tableColumn id="3841" xr3:uid="{FDFCC38C-FF2E-4D2B-96AF-3C7F1A9446AD}" name="Column3841"/>
    <tableColumn id="3842" xr3:uid="{8EB8C3E4-2E7B-4C06-AA5D-70DDC146AAD3}" name="Column3842"/>
    <tableColumn id="3843" xr3:uid="{0C4AF065-0838-42BD-AB8D-3FD2C86D6472}" name="Column3843"/>
    <tableColumn id="3844" xr3:uid="{330C7D14-23FD-48DF-B74E-DA05B31E0153}" name="Column3844"/>
    <tableColumn id="3845" xr3:uid="{8A5F45DC-8CEE-4C2F-A0A9-E686F38243C1}" name="Column3845"/>
    <tableColumn id="3846" xr3:uid="{66841DDC-95E8-4B84-A4C8-8A8AF08358E3}" name="Column3846"/>
    <tableColumn id="3847" xr3:uid="{ACE7E0DF-0F12-41D5-9E53-D9D471D14BE1}" name="Column3847"/>
    <tableColumn id="3848" xr3:uid="{C2E6D13B-3559-42B1-A305-DA2612235D60}" name="Column3848"/>
    <tableColumn id="3849" xr3:uid="{EBF75C66-58FF-438D-A105-85D97B4019CA}" name="Column3849"/>
    <tableColumn id="3850" xr3:uid="{86164012-73DC-4CD6-A298-ABE9A5C66CD3}" name="Column3850"/>
    <tableColumn id="3851" xr3:uid="{785F1AB6-386F-4086-98AB-A44397A09F8D}" name="Column3851"/>
    <tableColumn id="3852" xr3:uid="{3DC78C25-1446-4E64-9C53-70CCBBB6B45B}" name="Column3852"/>
    <tableColumn id="3853" xr3:uid="{2A6A90C8-61C2-496A-A1CB-241EEE8F71EE}" name="Column3853"/>
    <tableColumn id="3854" xr3:uid="{53E6440C-01EA-497A-81E0-78C60D5B2E01}" name="Column3854"/>
    <tableColumn id="3855" xr3:uid="{BCAFB71C-A7D6-4A83-BBEC-0EE4154951B0}" name="Column3855"/>
    <tableColumn id="3856" xr3:uid="{B2DA69FE-BC6E-4314-9BC1-80C43827246D}" name="Column3856"/>
    <tableColumn id="3857" xr3:uid="{C4BA8A29-4AB8-436C-B18C-86FA4DB61428}" name="Column3857"/>
    <tableColumn id="3858" xr3:uid="{A4952B14-CAE4-47D9-BFE3-8B089D8FC6EC}" name="Column3858"/>
    <tableColumn id="3859" xr3:uid="{2187A99F-976C-45D6-8E80-1676D208041A}" name="Column3859"/>
    <tableColumn id="3860" xr3:uid="{52DE648B-671B-49FA-A83B-82BD287424C9}" name="Column3860"/>
    <tableColumn id="3861" xr3:uid="{F3B77E51-3416-46CD-A796-54989B88A41A}" name="Column3861"/>
    <tableColumn id="3862" xr3:uid="{12349D98-D305-43C2-9AC2-46DDBBBA41EC}" name="Column3862"/>
    <tableColumn id="3863" xr3:uid="{FD9AA6DD-E964-4FDA-A35C-58FAA966975B}" name="Column3863"/>
    <tableColumn id="3864" xr3:uid="{722FC9C0-BAC8-4364-838B-AA6F89C9AFBE}" name="Column3864"/>
    <tableColumn id="3865" xr3:uid="{8521E1B4-8B6C-4E61-95ED-33B2B4E3E8EE}" name="Column3865"/>
    <tableColumn id="3866" xr3:uid="{75FABD89-7360-4A56-9AF5-F52F3135E39F}" name="Column3866"/>
    <tableColumn id="3867" xr3:uid="{75703632-1AC2-4A84-A558-A2A6BA3D3C0B}" name="Column3867"/>
    <tableColumn id="3868" xr3:uid="{E97807FF-5FDA-4A07-AD90-66CA332BB880}" name="Column3868"/>
    <tableColumn id="3869" xr3:uid="{B463D710-921C-45BC-BD8F-58DAA61679B0}" name="Column3869"/>
    <tableColumn id="3870" xr3:uid="{3C6CB9F7-9285-4F99-93AF-F6EC96C0FDE9}" name="Column3870"/>
    <tableColumn id="3871" xr3:uid="{FF4B0F5F-1569-4027-A5EA-B99CEDD29002}" name="Column3871"/>
    <tableColumn id="3872" xr3:uid="{1C5816E2-544D-4A71-8C05-B8E948BA7A26}" name="Column3872"/>
    <tableColumn id="3873" xr3:uid="{9572A9C7-1AE6-4EA3-AD24-7BE495AF41EB}" name="Column3873"/>
    <tableColumn id="3874" xr3:uid="{C3AFDBF8-404C-4AAD-B059-08B97008655F}" name="Column3874"/>
    <tableColumn id="3875" xr3:uid="{0867E63E-01B4-476C-8B68-43714F3B6259}" name="Column3875"/>
    <tableColumn id="3876" xr3:uid="{3D66723B-4D27-4693-8512-28A1C6620987}" name="Column3876"/>
    <tableColumn id="3877" xr3:uid="{54E267AC-1BC6-4661-8E70-07B9305CD96E}" name="Column3877"/>
    <tableColumn id="3878" xr3:uid="{60BB0B96-7431-4A57-8BEA-DDF2AD5E246D}" name="Column3878"/>
    <tableColumn id="3879" xr3:uid="{18A23263-FD32-41C2-B454-59FE4F682198}" name="Column3879"/>
    <tableColumn id="3880" xr3:uid="{281C9D24-2566-46AF-A896-1C84D3D5B1BD}" name="Column3880"/>
    <tableColumn id="3881" xr3:uid="{83F816FC-EFD8-4617-ADE1-1D038A28D28C}" name="Column3881"/>
    <tableColumn id="3882" xr3:uid="{10768CB2-26AF-4A2A-BB20-8BD59915E38A}" name="Column3882"/>
    <tableColumn id="3883" xr3:uid="{0F33C7DB-D3B6-455B-BB68-8439BFB019D8}" name="Column3883"/>
    <tableColumn id="3884" xr3:uid="{71C6D209-A361-43D6-9E9F-128B10080802}" name="Column3884"/>
    <tableColumn id="3885" xr3:uid="{9A2CEAE3-143C-4BA4-8C19-AFC3079BEF6E}" name="Column3885"/>
    <tableColumn id="3886" xr3:uid="{F2A017DD-0085-4E7C-990F-8485B111FEB3}" name="Column3886"/>
    <tableColumn id="3887" xr3:uid="{66DDF348-29D6-4BED-9EBE-367ECFDEE813}" name="Column3887"/>
    <tableColumn id="3888" xr3:uid="{B5DA5C08-B131-48F3-B544-0D8F668BC5AE}" name="Column3888"/>
    <tableColumn id="3889" xr3:uid="{CF187EEB-7AE7-4547-900A-0CEB0EEF51B8}" name="Column3889"/>
    <tableColumn id="3890" xr3:uid="{CFDD80E9-BDF8-4249-A734-924741674E32}" name="Column3890"/>
    <tableColumn id="3891" xr3:uid="{5EE0987D-5A44-40AC-A820-A65DFAFA2FCD}" name="Column3891"/>
    <tableColumn id="3892" xr3:uid="{7879543E-B229-4E95-95D7-0E8FDDC54465}" name="Column3892"/>
    <tableColumn id="3893" xr3:uid="{009E6D0F-4BBF-4E32-B3F1-8290BCB1404B}" name="Column3893"/>
    <tableColumn id="3894" xr3:uid="{EB849C8A-09DE-4F2E-8EEB-D8C30419489D}" name="Column3894"/>
    <tableColumn id="3895" xr3:uid="{B7600C56-4B67-496B-AC05-C6C9F21DBCD7}" name="Column3895"/>
    <tableColumn id="3896" xr3:uid="{5187C3A7-CB02-4E18-A336-4ADA312458A8}" name="Column3896"/>
    <tableColumn id="3897" xr3:uid="{D2E48CF8-C568-4A56-BD23-4DD9FC957350}" name="Column3897"/>
    <tableColumn id="3898" xr3:uid="{18873FF7-93BB-4862-A158-46B48C3371B6}" name="Column3898"/>
    <tableColumn id="3899" xr3:uid="{E541FD70-9F24-46D4-B6F4-29E81504B6C0}" name="Column3899"/>
    <tableColumn id="3900" xr3:uid="{2E411F66-AE2C-45BE-BAB5-D911788818B0}" name="Column3900"/>
    <tableColumn id="3901" xr3:uid="{89B79855-00F3-4544-863D-2686DAD77D50}" name="Column3901"/>
    <tableColumn id="3902" xr3:uid="{5424830D-1FCC-4976-B7BE-B336DA486F98}" name="Column3902"/>
    <tableColumn id="3903" xr3:uid="{90D90160-45B4-49CB-B74E-0DE4359D2723}" name="Column3903"/>
    <tableColumn id="3904" xr3:uid="{71D9DF99-D99B-4A0B-B749-06978CD9F93F}" name="Column3904"/>
    <tableColumn id="3905" xr3:uid="{09D4ABE9-D872-43E9-BE4D-DD792851006B}" name="Column3905"/>
    <tableColumn id="3906" xr3:uid="{DCA6FD6C-EFFB-43B6-B1D9-693514CCCC66}" name="Column3906"/>
    <tableColumn id="3907" xr3:uid="{3936F558-7DEB-4C6B-BD40-F2E803653063}" name="Column3907"/>
    <tableColumn id="3908" xr3:uid="{5CA49EAB-C7D7-4B77-B3F8-EC99D8AEB4CB}" name="Column3908"/>
    <tableColumn id="3909" xr3:uid="{6786D1D3-8296-4B9D-99FA-B4E7D8BD2B19}" name="Column3909"/>
    <tableColumn id="3910" xr3:uid="{AA931547-169D-4885-BD23-F83D682C6C1C}" name="Column3910"/>
    <tableColumn id="3911" xr3:uid="{E5B4BECC-8BB0-4923-85E8-5AE38BB01796}" name="Column3911"/>
    <tableColumn id="3912" xr3:uid="{5D40BAAA-7F0B-4CEB-82EE-2F4046010FDC}" name="Column3912"/>
    <tableColumn id="3913" xr3:uid="{6626E51D-FF93-458C-92AE-7A85ED8E224E}" name="Column3913"/>
    <tableColumn id="3914" xr3:uid="{A5B8F693-AB3A-49A0-AED6-102462E2C152}" name="Column3914"/>
    <tableColumn id="3915" xr3:uid="{EAA71684-3468-4A63-B2D8-F8CDFF1AEE1A}" name="Column3915"/>
    <tableColumn id="3916" xr3:uid="{77682525-BFBA-4A86-A5F7-81C54B4CAC19}" name="Column3916"/>
    <tableColumn id="3917" xr3:uid="{BCC8D9F4-2D21-4D23-93EC-1D6D6510725A}" name="Column3917"/>
    <tableColumn id="3918" xr3:uid="{1F2ABBEE-43ED-4D41-8372-2AE83091ED36}" name="Column3918"/>
    <tableColumn id="3919" xr3:uid="{A46EB0A3-5042-45BF-A3E1-0676C04468F7}" name="Column3919"/>
    <tableColumn id="3920" xr3:uid="{E32C4A7B-4B62-44B3-BB90-820A1F0F3E15}" name="Column3920"/>
    <tableColumn id="3921" xr3:uid="{3B74ADE7-5EA0-4672-BAEB-DDCE013897BF}" name="Column3921"/>
    <tableColumn id="3922" xr3:uid="{A631004B-B8EC-4C78-93BC-6DE72D19D6F9}" name="Column3922"/>
    <tableColumn id="3923" xr3:uid="{CEAAC7E8-1BC1-499C-A026-A89600F09E59}" name="Column3923"/>
    <tableColumn id="3924" xr3:uid="{D382E8CE-DAD5-4766-94E7-AB2B8B0884A9}" name="Column3924"/>
    <tableColumn id="3925" xr3:uid="{F9DE5885-27A1-409A-B47F-DCD21CAAE6C3}" name="Column3925"/>
    <tableColumn id="3926" xr3:uid="{30B6B10E-DEF2-4E42-8BAB-A173BE7353F3}" name="Column3926"/>
    <tableColumn id="3927" xr3:uid="{FB38EA72-A475-47F0-9929-3029DB99B2A2}" name="Column3927"/>
    <tableColumn id="3928" xr3:uid="{45FBB360-C930-4466-AC8B-FE6F1428E811}" name="Column3928"/>
    <tableColumn id="3929" xr3:uid="{6A062EBE-E9E8-4DFF-B2A2-EC39C92C6B24}" name="Column3929"/>
    <tableColumn id="3930" xr3:uid="{F4F7235C-E6C1-4352-B32E-8373D4CA1B3A}" name="Column3930"/>
    <tableColumn id="3931" xr3:uid="{40E24EAA-A414-4D31-A942-38FBEDA01008}" name="Column3931"/>
    <tableColumn id="3932" xr3:uid="{DA6CFD6A-D101-4536-A31D-A731932CDE81}" name="Column3932"/>
    <tableColumn id="3933" xr3:uid="{4F61E20F-AD88-43CA-83B4-C187DA93C355}" name="Column3933"/>
    <tableColumn id="3934" xr3:uid="{E07AD4C1-0E51-4412-AD87-3752579D5B3A}" name="Column3934"/>
    <tableColumn id="3935" xr3:uid="{84BE1687-195A-4197-A254-93ADAEBC5640}" name="Column3935"/>
    <tableColumn id="3936" xr3:uid="{753E91AF-ACB0-4E98-A5C6-6CA538FDD251}" name="Column3936"/>
    <tableColumn id="3937" xr3:uid="{4EF720AF-156C-4B8F-8CBF-568D8D76A700}" name="Column3937"/>
    <tableColumn id="3938" xr3:uid="{4A0F43B7-AE55-4365-9979-C0B541C91A63}" name="Column3938"/>
    <tableColumn id="3939" xr3:uid="{E305B25E-7526-4866-BEC3-7199493FF03B}" name="Column3939"/>
    <tableColumn id="3940" xr3:uid="{2F4D1249-835B-46FB-928C-701853CE80F5}" name="Column3940"/>
    <tableColumn id="3941" xr3:uid="{CED5C211-A074-4175-9B68-051DB35A2E87}" name="Column3941"/>
    <tableColumn id="3942" xr3:uid="{37328526-04B0-43D7-8F35-D22328CA0D71}" name="Column3942"/>
    <tableColumn id="3943" xr3:uid="{F1CDBEEF-E3E3-4911-AB15-975BC38C4FB6}" name="Column3943"/>
    <tableColumn id="3944" xr3:uid="{DEEB93FA-0063-47AF-9BA5-24047E4F5760}" name="Column3944"/>
    <tableColumn id="3945" xr3:uid="{5C3C393B-CE2B-400B-BD51-AA64CA98F90E}" name="Column3945"/>
    <tableColumn id="3946" xr3:uid="{4804AE02-2D06-48C0-8134-78C8B08F551F}" name="Column3946"/>
    <tableColumn id="3947" xr3:uid="{10CEF421-78E6-4ABD-98B9-B3F3B2E0CFE5}" name="Column3947"/>
    <tableColumn id="3948" xr3:uid="{A9A49966-8917-4522-8BFB-95EF5B246FCF}" name="Column3948"/>
    <tableColumn id="3949" xr3:uid="{2DAFBA26-D70E-4AC1-B451-F7C212372A1E}" name="Column3949"/>
    <tableColumn id="3950" xr3:uid="{0C4916D7-9F2C-4F04-9764-1B7B9B840867}" name="Column3950"/>
    <tableColumn id="3951" xr3:uid="{F3184FA0-337B-4CFE-8405-2AFC0CDBFA59}" name="Column3951"/>
    <tableColumn id="3952" xr3:uid="{0BF148E5-E2C1-4B8C-B309-C9729A9023BC}" name="Column3952"/>
    <tableColumn id="3953" xr3:uid="{B240BA09-14BA-492B-B7F8-266FA326DC01}" name="Column3953"/>
    <tableColumn id="3954" xr3:uid="{1E743D9F-723E-4FA4-ADD7-71F960C229E6}" name="Column3954"/>
    <tableColumn id="3955" xr3:uid="{F5FA39B2-4EDB-4D11-AF96-CB8159EF5E8A}" name="Column3955"/>
    <tableColumn id="3956" xr3:uid="{5AC9E6C1-5004-48D4-9177-EB400B089C93}" name="Column3956"/>
    <tableColumn id="3957" xr3:uid="{444E4A6C-6E40-46E8-A5C4-5DB70DFBD9BC}" name="Column3957"/>
    <tableColumn id="3958" xr3:uid="{B7D9074C-26F2-4B60-8653-724F941C7076}" name="Column3958"/>
    <tableColumn id="3959" xr3:uid="{05DEFDDF-2494-4CBC-A7AB-C7C6CFB4A95A}" name="Column3959"/>
    <tableColumn id="3960" xr3:uid="{76ADEC36-BAE7-4CD0-B038-D57B78E1FF74}" name="Column3960"/>
    <tableColumn id="3961" xr3:uid="{8DE61A01-21A2-4025-88D4-5730ADB5B24B}" name="Column3961"/>
    <tableColumn id="3962" xr3:uid="{C62002C7-CC05-4FC2-8ADB-2C044CA49896}" name="Column3962"/>
    <tableColumn id="3963" xr3:uid="{09BCBD0F-1C73-40E9-928A-1F8D9BF2C728}" name="Column3963"/>
    <tableColumn id="3964" xr3:uid="{719C534C-636F-4463-BF62-7F81453ED5C3}" name="Column3964"/>
    <tableColumn id="3965" xr3:uid="{F084B32E-8752-4EAC-8565-14B1F5DB2CB5}" name="Column3965"/>
    <tableColumn id="3966" xr3:uid="{9DC8E336-3084-4F3E-B3F2-4DBDA4DF0AE4}" name="Column3966"/>
    <tableColumn id="3967" xr3:uid="{F897F984-60D0-4DFC-833B-81B193669C03}" name="Column3967"/>
    <tableColumn id="3968" xr3:uid="{4DB5DBE4-F742-4B08-8CEB-ABDD8E4E69C6}" name="Column3968"/>
    <tableColumn id="3969" xr3:uid="{812F3E2D-3666-4FEF-B579-10C696EDEA5C}" name="Column3969"/>
    <tableColumn id="3970" xr3:uid="{DC7EF1A7-D090-4059-B925-57EDE2888A1F}" name="Column3970"/>
    <tableColumn id="3971" xr3:uid="{4913E246-9F19-475F-9CC0-4A2B4E711317}" name="Column3971"/>
    <tableColumn id="3972" xr3:uid="{BDA13A81-DA38-47D8-8AE4-D7436FDBAAC6}" name="Column3972"/>
    <tableColumn id="3973" xr3:uid="{8EDDD4C2-5EBA-486A-80A1-F552DDF61F96}" name="Column3973"/>
    <tableColumn id="3974" xr3:uid="{57E4CB19-7CF2-4049-BFDA-7907BAF77F82}" name="Column3974"/>
    <tableColumn id="3975" xr3:uid="{41827F4A-B296-455E-8EDA-10A4F2D71048}" name="Column3975"/>
    <tableColumn id="3976" xr3:uid="{6FD6F8EC-4628-433D-B448-ACCB13651B8D}" name="Column3976"/>
    <tableColumn id="3977" xr3:uid="{51F2D73D-6921-4008-AAF7-82F27AEC39CD}" name="Column3977"/>
    <tableColumn id="3978" xr3:uid="{5EC5CA98-A6AE-4777-BC07-07F1D6A56751}" name="Column3978"/>
    <tableColumn id="3979" xr3:uid="{72873EFB-8AED-40A4-88D5-CCC896869D3E}" name="Column3979"/>
    <tableColumn id="3980" xr3:uid="{0916EC28-2BE2-4F30-A09D-3B3D2BBF30BC}" name="Column3980"/>
    <tableColumn id="3981" xr3:uid="{369D834E-17CE-400B-BFA9-A6BB228540DE}" name="Column3981"/>
    <tableColumn id="3982" xr3:uid="{E89156B0-D364-4286-9213-11E9C192CA58}" name="Column3982"/>
    <tableColumn id="3983" xr3:uid="{E5752552-73C7-4B3B-8757-083E632CB1CC}" name="Column3983"/>
    <tableColumn id="3984" xr3:uid="{8D102085-C4ED-496F-963A-91908A0F3A40}" name="Column3984"/>
    <tableColumn id="3985" xr3:uid="{6A9D1C87-EBE5-4DFE-B090-3241B2FD0758}" name="Column3985"/>
    <tableColumn id="3986" xr3:uid="{11BEB839-066C-45F3-AD9A-33C0B45180D4}" name="Column3986"/>
    <tableColumn id="3987" xr3:uid="{65BD2655-978F-4AD0-A22B-BB0DA7E557A1}" name="Column3987"/>
    <tableColumn id="3988" xr3:uid="{F7DA0D0E-5578-4B45-8CE0-E1FC2EC9B062}" name="Column3988"/>
    <tableColumn id="3989" xr3:uid="{AAEBF284-03F0-4C79-86B9-D6580B15A841}" name="Column3989"/>
    <tableColumn id="3990" xr3:uid="{E31022D3-AD0D-4ACC-99A5-89898A555678}" name="Column3990"/>
    <tableColumn id="3991" xr3:uid="{331F5FBF-B9E6-49C3-AEA8-D7A162045C18}" name="Column3991"/>
    <tableColumn id="3992" xr3:uid="{A4BB4F6B-6CB1-4006-B133-B7009EEBD3D9}" name="Column3992"/>
    <tableColumn id="3993" xr3:uid="{D83867A0-542E-48C1-9ED0-D113C6E7BB0B}" name="Column3993"/>
    <tableColumn id="3994" xr3:uid="{5CEC1DA6-EF39-44D3-8BA7-9AEF50462371}" name="Column3994"/>
    <tableColumn id="3995" xr3:uid="{1983564C-4FB3-423F-B022-5FC6336BB0EF}" name="Column3995"/>
    <tableColumn id="3996" xr3:uid="{8CB82E44-3CAD-4561-ABE6-0B5E4B0D4AA2}" name="Column3996"/>
    <tableColumn id="3997" xr3:uid="{12DCFDC0-8C42-4BBC-977C-AFCB55CEFC09}" name="Column3997"/>
    <tableColumn id="3998" xr3:uid="{79C2AADF-317A-4966-B468-A4716D5383C9}" name="Column3998"/>
    <tableColumn id="3999" xr3:uid="{5AD7746D-76DE-4372-92DC-57EB87BD3255}" name="Column3999"/>
    <tableColumn id="4000" xr3:uid="{DF3A163A-E367-4062-AD6F-0CF37D36110E}" name="Column4000"/>
    <tableColumn id="4001" xr3:uid="{137716FC-465A-4CC5-83F7-D27DC58A243C}" name="Column4001"/>
    <tableColumn id="4002" xr3:uid="{8ADB796E-85EB-44F4-A9E4-9A145CB78B53}" name="Column4002"/>
    <tableColumn id="4003" xr3:uid="{A50FA00E-EED2-4C9D-8BD1-70C83E9D3CD3}" name="Column4003"/>
    <tableColumn id="4004" xr3:uid="{544260D1-2547-4D79-B43A-D1D9AC637F3D}" name="Column4004"/>
    <tableColumn id="4005" xr3:uid="{9FD7C0B5-FA34-402E-B9FA-4F3ABCE939B5}" name="Column4005"/>
    <tableColumn id="4006" xr3:uid="{BBEB08E1-AF66-4ADE-B53D-0E199F76711F}" name="Column4006"/>
    <tableColumn id="4007" xr3:uid="{1F060DC7-FFCC-4BBF-A2E6-E304B17EC64C}" name="Column4007"/>
    <tableColumn id="4008" xr3:uid="{61994974-D056-47A8-B68C-D2FA8F588187}" name="Column4008"/>
    <tableColumn id="4009" xr3:uid="{2F592016-6183-4AA1-9255-19F57BDE45B8}" name="Column4009"/>
    <tableColumn id="4010" xr3:uid="{04DD9465-0FB5-4F7F-B672-CF8DB6523721}" name="Column4010"/>
    <tableColumn id="4011" xr3:uid="{9E9078EA-D3C4-41AE-9CB9-7D5F5959B7FB}" name="Column4011"/>
    <tableColumn id="4012" xr3:uid="{96B928DF-0EA4-49D5-B105-DD783A80A049}" name="Column4012"/>
    <tableColumn id="4013" xr3:uid="{2944CFD7-C193-43EA-B245-E8C9A50E5100}" name="Column4013"/>
    <tableColumn id="4014" xr3:uid="{6D969DC5-B958-4005-92BF-FE46CACC5918}" name="Column4014"/>
    <tableColumn id="4015" xr3:uid="{FDCA5E3A-D0DA-45A9-B7AB-446426C3490B}" name="Column4015"/>
    <tableColumn id="4016" xr3:uid="{605F359D-61FA-4FD2-9B47-2C86D8802E7D}" name="Column4016"/>
    <tableColumn id="4017" xr3:uid="{E2A51938-33CE-47CE-911D-9CB66AC8C57A}" name="Column4017"/>
    <tableColumn id="4018" xr3:uid="{D92D379F-7245-4FAB-98C9-81A15C5AEC02}" name="Column4018"/>
    <tableColumn id="4019" xr3:uid="{77F6F747-5B24-4538-A3C9-17AD9687FDDA}" name="Column4019"/>
    <tableColumn id="4020" xr3:uid="{920DFD66-C8AD-4043-8392-33E082E0D2E6}" name="Column4020"/>
    <tableColumn id="4021" xr3:uid="{D55E0A56-B3EC-4DEC-AED1-174F644DFE04}" name="Column4021"/>
    <tableColumn id="4022" xr3:uid="{21C9FF47-640A-4432-80EE-7CB9825C54A8}" name="Column4022"/>
    <tableColumn id="4023" xr3:uid="{529B9687-915D-4ED7-A793-661FDBD5FF2A}" name="Column4023"/>
    <tableColumn id="4024" xr3:uid="{AB9E81EE-2F8B-488A-B91C-0985C4044C30}" name="Column4024"/>
    <tableColumn id="4025" xr3:uid="{4B6B764D-0A27-46D4-9329-6F9325AACDB9}" name="Column4025"/>
    <tableColumn id="4026" xr3:uid="{EFFBE80E-DF17-4093-BBDD-C1CB62223AE9}" name="Column4026"/>
    <tableColumn id="4027" xr3:uid="{49D9266B-F0A3-4097-B61B-EBA35D9B9DFB}" name="Column4027"/>
    <tableColumn id="4028" xr3:uid="{5E9BD4C0-7B9D-41FD-8EF2-50A8ACB79ADE}" name="Column4028"/>
    <tableColumn id="4029" xr3:uid="{8767ACC1-0A95-4528-B25D-EF2B7B238DC7}" name="Column4029"/>
    <tableColumn id="4030" xr3:uid="{9071EC7F-EAFF-4B80-878A-97F0589EBC3E}" name="Column4030"/>
    <tableColumn id="4031" xr3:uid="{75E20E37-0C79-4E7F-A514-0A3983E8AE20}" name="Column4031"/>
    <tableColumn id="4032" xr3:uid="{0E2F8964-6966-44C3-8228-021D340B8872}" name="Column4032"/>
    <tableColumn id="4033" xr3:uid="{B1ED5E37-AB3C-4B75-AA3F-41590D067276}" name="Column4033"/>
    <tableColumn id="4034" xr3:uid="{A15957DE-47BA-4638-86F3-E1AB7964B050}" name="Column4034"/>
    <tableColumn id="4035" xr3:uid="{CD44E7BC-586D-4F79-988F-196D44470891}" name="Column4035"/>
    <tableColumn id="4036" xr3:uid="{7D096225-7D86-4423-8310-3978C1D02F8B}" name="Column4036"/>
    <tableColumn id="4037" xr3:uid="{66563DD0-905E-480C-8D21-3D2DF5B4F245}" name="Column4037"/>
    <tableColumn id="4038" xr3:uid="{0A83CDF3-7288-4239-B6A1-A885536C0432}" name="Column4038"/>
    <tableColumn id="4039" xr3:uid="{0691BB54-D9FF-4C60-81AB-8D5702DF8195}" name="Column4039"/>
    <tableColumn id="4040" xr3:uid="{C1F5A03A-7BD9-4120-A4CA-767A8C024353}" name="Column4040"/>
    <tableColumn id="4041" xr3:uid="{D655AFBB-CD0F-431A-9FF2-8C248FD10880}" name="Column4041"/>
    <tableColumn id="4042" xr3:uid="{2037DDBD-1890-4570-9CF0-1622BA96C4EF}" name="Column4042"/>
    <tableColumn id="4043" xr3:uid="{2B8D1C8C-BEE0-4695-8C04-511AFBA27B5C}" name="Column4043"/>
    <tableColumn id="4044" xr3:uid="{BE617D01-B264-4506-8971-3359A64C7940}" name="Column4044"/>
    <tableColumn id="4045" xr3:uid="{D043E709-3E7A-4CBD-AACB-3198949B793B}" name="Column4045"/>
    <tableColumn id="4046" xr3:uid="{979B3BE2-C47D-4E1C-94EC-50D457C1E55E}" name="Column4046"/>
    <tableColumn id="4047" xr3:uid="{3B803BBE-FD91-40D9-8D92-E02F6105957A}" name="Column4047"/>
    <tableColumn id="4048" xr3:uid="{31FC5733-10D8-4623-BAF8-29F565F70DF9}" name="Column4048"/>
    <tableColumn id="4049" xr3:uid="{213C38D9-6E05-4F8B-952D-9E92F51D49D8}" name="Column4049"/>
    <tableColumn id="4050" xr3:uid="{1191B82B-961D-4B3B-AA42-06269AEAA9BF}" name="Column4050"/>
    <tableColumn id="4051" xr3:uid="{E3330299-08DE-4FE4-BEE8-8D55A126CC41}" name="Column4051"/>
    <tableColumn id="4052" xr3:uid="{6DD314F1-DFE2-4A81-B288-65CA718AD2B3}" name="Column4052"/>
    <tableColumn id="4053" xr3:uid="{2D41B312-4A87-4868-B98B-44F78A5DF7C5}" name="Column4053"/>
    <tableColumn id="4054" xr3:uid="{8CD37A67-8310-4ECD-9C2F-F313B4E105D0}" name="Column4054"/>
    <tableColumn id="4055" xr3:uid="{1ACA0E17-6873-4093-9B75-83328BEFF9F0}" name="Column4055"/>
    <tableColumn id="4056" xr3:uid="{F475AF36-E82F-40F8-B08D-EA01474D1340}" name="Column4056"/>
    <tableColumn id="4057" xr3:uid="{F70AB35B-27C9-4AF7-88E9-C573772771CA}" name="Column4057"/>
    <tableColumn id="4058" xr3:uid="{BE21001E-086D-4D3B-8C95-4D01576CF531}" name="Column4058"/>
    <tableColumn id="4059" xr3:uid="{98CB38E3-2B92-473F-96A4-ED5A108FBFF6}" name="Column4059"/>
    <tableColumn id="4060" xr3:uid="{A72B4AA1-A568-49BB-973A-EB1EAE4C4245}" name="Column4060"/>
    <tableColumn id="4061" xr3:uid="{35DD3DEC-19B9-46D2-946E-15331BF9BF8F}" name="Column4061"/>
    <tableColumn id="4062" xr3:uid="{E2CA7DDF-8483-4D5C-895B-99D6A5B743F5}" name="Column4062"/>
    <tableColumn id="4063" xr3:uid="{15D2C3B4-90E7-4F11-A4D5-D810A1F6B452}" name="Column4063"/>
    <tableColumn id="4064" xr3:uid="{53E5400A-B8A6-4A34-A332-F132B88137D8}" name="Column4064"/>
    <tableColumn id="4065" xr3:uid="{EF66D144-BE77-449C-B3EF-10B69EFF3ED0}" name="Column4065"/>
    <tableColumn id="4066" xr3:uid="{E901E435-6B9C-4A77-81C8-B4AB55BD332C}" name="Column4066"/>
    <tableColumn id="4067" xr3:uid="{712E0096-D4F0-41C7-AE3D-E60A15FAA7F8}" name="Column4067"/>
    <tableColumn id="4068" xr3:uid="{7BCF2C03-92AE-4BD5-A3E0-E3CBCC13E05B}" name="Column4068"/>
    <tableColumn id="4069" xr3:uid="{505543A5-7696-4367-8F3E-0AD7289CD913}" name="Column4069"/>
    <tableColumn id="4070" xr3:uid="{3C374C73-572F-438F-9F55-06814154C5C3}" name="Column4070"/>
    <tableColumn id="4071" xr3:uid="{358790A3-506E-415D-AB16-EFD53FC2D670}" name="Column4071"/>
    <tableColumn id="4072" xr3:uid="{1F380E3A-8EF4-464A-8AED-459E92AE0201}" name="Column4072"/>
    <tableColumn id="4073" xr3:uid="{FE05806C-0D82-4618-AD18-12A3B7BE12D3}" name="Column4073"/>
    <tableColumn id="4074" xr3:uid="{A8427BCD-C84A-46CC-83F3-541C96D1EC4C}" name="Column4074"/>
    <tableColumn id="4075" xr3:uid="{19D6E254-71DB-4062-9851-94DD38138C6E}" name="Column4075"/>
    <tableColumn id="4076" xr3:uid="{80C69E5D-7ECA-4022-A45C-F7B7DCDA7172}" name="Column4076"/>
    <tableColumn id="4077" xr3:uid="{31BC6FD3-6C7B-4FEC-94FA-39DBDAA4530C}" name="Column4077"/>
    <tableColumn id="4078" xr3:uid="{48164B03-4ECF-499E-BBBF-9367F12AE3D0}" name="Column4078"/>
    <tableColumn id="4079" xr3:uid="{177FB84F-34DD-40EB-8E7E-44F48A0B9CC7}" name="Column4079"/>
    <tableColumn id="4080" xr3:uid="{034E0931-6133-485C-83F8-03B3A447BF12}" name="Column4080"/>
    <tableColumn id="4081" xr3:uid="{EAB93A1A-2229-4F3F-A447-267121417C4D}" name="Column4081"/>
    <tableColumn id="4082" xr3:uid="{24BC8B9B-C624-44FF-93CC-1173C873BBA6}" name="Column4082"/>
    <tableColumn id="4083" xr3:uid="{CA9F5D42-F839-4366-8B97-944E7D8CD342}" name="Column4083"/>
    <tableColumn id="4084" xr3:uid="{9DD97521-C56E-4AF5-8829-1DECDF06A0F3}" name="Column4084"/>
    <tableColumn id="4085" xr3:uid="{9AD3CBE5-1B3E-43A9-8D9D-C121E0DE1557}" name="Column4085"/>
    <tableColumn id="4086" xr3:uid="{74276386-B239-46A8-B9A9-74F8267A3119}" name="Column4086"/>
    <tableColumn id="4087" xr3:uid="{2BCF5D3B-BDF2-4892-A724-7FD958C1B3E7}" name="Column4087"/>
    <tableColumn id="4088" xr3:uid="{69A25F17-C126-478B-B926-4267A507002E}" name="Column4088"/>
    <tableColumn id="4089" xr3:uid="{FC449CF9-3AA0-4EF0-973E-024CA16C3EDA}" name="Column4089"/>
    <tableColumn id="4090" xr3:uid="{0D70CAE8-0343-4608-A4AD-000FA70FC43E}" name="Column4090"/>
    <tableColumn id="4091" xr3:uid="{A57BCCAA-CCF1-4F53-B5D0-C7974A3A3E45}" name="Column4091"/>
    <tableColumn id="4092" xr3:uid="{075A3E0C-1B9D-47B1-9BB7-5F1D8F1D6949}" name="Column4092"/>
    <tableColumn id="4093" xr3:uid="{9CB210DC-A208-4CA4-BFEA-3D32A7BB3A59}" name="Column4093"/>
    <tableColumn id="4094" xr3:uid="{85C78F40-D0FB-4175-90FD-F3EA9D44BA38}" name="Column4094"/>
    <tableColumn id="4095" xr3:uid="{BC5F67FA-CEA2-4F63-9075-5BE3895F4F1D}" name="Column4095"/>
    <tableColumn id="4096" xr3:uid="{131F466B-FCA6-4F89-9A6A-29A15B77E0B7}" name="Column4096"/>
    <tableColumn id="4097" xr3:uid="{B08D1352-9917-425F-827D-D410D8C19AFF}" name="Column4097"/>
    <tableColumn id="4098" xr3:uid="{24F4CF82-1974-4590-8F89-CA9873B44804}" name="Column4098"/>
    <tableColumn id="4099" xr3:uid="{AFA6E82F-6782-4073-ABF7-9552653A1F97}" name="Column4099"/>
    <tableColumn id="4100" xr3:uid="{A106483C-7D21-45D2-BBF1-7551845587C3}" name="Column4100"/>
    <tableColumn id="4101" xr3:uid="{281A5A23-8F6A-41B4-A7ED-034FD6C97E4E}" name="Column4101"/>
    <tableColumn id="4102" xr3:uid="{6C3E1A01-BDDE-47FA-9ED6-210A5FA76670}" name="Column4102"/>
    <tableColumn id="4103" xr3:uid="{92AFC849-132E-419C-9918-4AE9CDE73594}" name="Column4103"/>
    <tableColumn id="4104" xr3:uid="{913CAEF6-6C13-4536-BEA6-DEF6DCF7272C}" name="Column4104"/>
    <tableColumn id="4105" xr3:uid="{A7F3CB32-AE01-4AD9-89E5-12C6CCF52DD9}" name="Column4105"/>
    <tableColumn id="4106" xr3:uid="{B7FA81F2-7F54-4B08-9900-33827B9A9910}" name="Column4106"/>
    <tableColumn id="4107" xr3:uid="{D7FB21FF-9671-4759-BA6B-241BB12BB43F}" name="Column4107"/>
    <tableColumn id="4108" xr3:uid="{444D82E8-F1E7-4BF9-9C85-835C70FF6715}" name="Column4108"/>
    <tableColumn id="4109" xr3:uid="{BC57C77D-CE75-407A-9FA8-DDFF40555120}" name="Column4109"/>
    <tableColumn id="4110" xr3:uid="{5066E10E-075C-41C4-83DA-DD2DB11AD39C}" name="Column4110"/>
    <tableColumn id="4111" xr3:uid="{18D251DC-8168-4F76-99D2-4C336877BC22}" name="Column4111"/>
    <tableColumn id="4112" xr3:uid="{BECEBD30-0F49-4297-A7ED-8F3E9C576720}" name="Column4112"/>
    <tableColumn id="4113" xr3:uid="{2F10CD20-8F50-4B7F-AC52-9CED0A1E95B9}" name="Column4113"/>
    <tableColumn id="4114" xr3:uid="{5AACF90B-43BD-4E74-85D5-592DD8B4A95D}" name="Column4114"/>
    <tableColumn id="4115" xr3:uid="{DD3E6865-9891-46C2-9D20-FE407976DBF9}" name="Column4115"/>
    <tableColumn id="4116" xr3:uid="{0DDF285D-DAE6-4577-A0A5-967D9A99F804}" name="Column4116"/>
    <tableColumn id="4117" xr3:uid="{817CEFA9-EDF4-46F8-A027-9EA6C8BA7185}" name="Column4117"/>
    <tableColumn id="4118" xr3:uid="{3226A16E-B873-41D8-B647-5D40B0D80BBA}" name="Column4118"/>
    <tableColumn id="4119" xr3:uid="{5DC5CE18-4F23-4757-9C7C-1158A5C39F51}" name="Column4119"/>
    <tableColumn id="4120" xr3:uid="{A3E5B89C-06D7-44B0-95A1-DAEAD9C00452}" name="Column4120"/>
    <tableColumn id="4121" xr3:uid="{2010B38A-ACB7-4AAB-9586-C4BD013494A3}" name="Column4121"/>
    <tableColumn id="4122" xr3:uid="{AE45B825-190E-4EB1-8EC9-3517369EB69E}" name="Column4122"/>
    <tableColumn id="4123" xr3:uid="{62B63DE1-BD2D-4047-8DEB-549B9089242D}" name="Column4123"/>
    <tableColumn id="4124" xr3:uid="{6556935A-C1C8-4FF4-8A7B-A4F8733FDD5C}" name="Column4124"/>
    <tableColumn id="4125" xr3:uid="{C45DF24F-1AD4-48B6-871D-DC8A58306C65}" name="Column4125"/>
    <tableColumn id="4126" xr3:uid="{D85EE27A-7095-40EF-8C5A-248CC71263EC}" name="Column4126"/>
    <tableColumn id="4127" xr3:uid="{D1DD5C8B-CD78-4F8F-862B-0A54BBE9201B}" name="Column4127"/>
    <tableColumn id="4128" xr3:uid="{F977EAA5-5282-445E-8BF8-1D96CBDEDB39}" name="Column4128"/>
    <tableColumn id="4129" xr3:uid="{AF64ECD2-5DF8-454F-8CC8-7D67F0904B55}" name="Column4129"/>
    <tableColumn id="4130" xr3:uid="{85B46B13-C54E-4F8F-AD92-E06A4A89FEAF}" name="Column4130"/>
    <tableColumn id="4131" xr3:uid="{82AB47EF-647C-4C28-93E7-76F9AD9836CD}" name="Column4131"/>
    <tableColumn id="4132" xr3:uid="{9CF1DC46-3922-4C83-BF76-3ABF6C6272B1}" name="Column4132"/>
    <tableColumn id="4133" xr3:uid="{6128316B-016F-444F-9D3A-522BEA2E68F9}" name="Column4133"/>
    <tableColumn id="4134" xr3:uid="{C4E15027-6A7E-42EB-94D1-FDD2120CCFF4}" name="Column4134"/>
    <tableColumn id="4135" xr3:uid="{EA5C8D1A-73C3-4E0D-91B7-48143307F699}" name="Column4135"/>
    <tableColumn id="4136" xr3:uid="{F37A3C57-70A0-41EA-AA4C-0620F636B688}" name="Column4136"/>
    <tableColumn id="4137" xr3:uid="{2BF12A1D-EC09-4078-A602-00F66369C380}" name="Column4137"/>
    <tableColumn id="4138" xr3:uid="{905A581C-D597-48CF-8136-2E969477D839}" name="Column4138"/>
    <tableColumn id="4139" xr3:uid="{B1378F37-ABFD-4B3B-916D-0B4573EAEB39}" name="Column4139"/>
    <tableColumn id="4140" xr3:uid="{6C5D41C6-FCF3-4156-AE8D-8783B87BD8E2}" name="Column4140"/>
    <tableColumn id="4141" xr3:uid="{4DE07C1C-0235-4E63-B0A1-E70FA5B208CC}" name="Column4141"/>
    <tableColumn id="4142" xr3:uid="{1FE371A9-7ED7-4AD0-85A0-A1E3868DBA78}" name="Column4142"/>
    <tableColumn id="4143" xr3:uid="{D5D59700-6709-4616-9309-4C195B907797}" name="Column4143"/>
    <tableColumn id="4144" xr3:uid="{61DE15FF-BB5B-4092-ABDA-5DC7FF98375E}" name="Column4144"/>
    <tableColumn id="4145" xr3:uid="{4FF313BF-7FD5-4C1F-BC6B-970E1FF06D5E}" name="Column4145"/>
    <tableColumn id="4146" xr3:uid="{85752AF1-2EFA-47BE-8AAE-7C70F8B85A3E}" name="Column4146"/>
    <tableColumn id="4147" xr3:uid="{F2948B9F-65CE-4386-8A3D-3EFA73903BF4}" name="Column4147"/>
    <tableColumn id="4148" xr3:uid="{82FC3679-7E5B-48E9-B3AE-8B43951158D3}" name="Column4148"/>
    <tableColumn id="4149" xr3:uid="{E79FB4E4-43D8-4EB3-AC05-90DD3EB943B8}" name="Column4149"/>
    <tableColumn id="4150" xr3:uid="{9D22B1BE-DDC7-4057-B4E1-C9C6B2394355}" name="Column4150"/>
    <tableColumn id="4151" xr3:uid="{EDD080D1-FCBD-4A30-8976-BDB8FF4E5752}" name="Column4151"/>
    <tableColumn id="4152" xr3:uid="{C28E4476-23BB-4E1D-927F-6EAA84B6DACE}" name="Column4152"/>
    <tableColumn id="4153" xr3:uid="{62479CB4-2F6F-4600-A701-E5835C63FDF5}" name="Column4153"/>
    <tableColumn id="4154" xr3:uid="{D02CF081-4BE5-4553-A344-D1D75C2E558B}" name="Column4154"/>
    <tableColumn id="4155" xr3:uid="{3C07CFF8-0E26-417B-B0AB-B270D8CFBE20}" name="Column4155"/>
    <tableColumn id="4156" xr3:uid="{49F5A40A-D038-42C0-A6DB-DF7D3F19E78F}" name="Column4156"/>
    <tableColumn id="4157" xr3:uid="{7BBE9917-5484-43F3-A5D2-5E92B0839023}" name="Column4157"/>
    <tableColumn id="4158" xr3:uid="{853D92B9-B2E0-45F5-A111-A748584200DA}" name="Column4158"/>
    <tableColumn id="4159" xr3:uid="{22EA6C91-DE0E-4A50-9C15-EDCA606A7213}" name="Column4159"/>
    <tableColumn id="4160" xr3:uid="{1E3F0192-3724-4028-8F65-FB43625EF4C2}" name="Column4160"/>
    <tableColumn id="4161" xr3:uid="{5AE0E53D-7F80-4A14-B49B-33BCB5F2F063}" name="Column4161"/>
    <tableColumn id="4162" xr3:uid="{D2F3F69B-2411-417B-B2D9-1F6C0DDE8D1B}" name="Column4162"/>
    <tableColumn id="4163" xr3:uid="{B5D557EF-B52C-4C0D-8953-B313202B9306}" name="Column4163"/>
    <tableColumn id="4164" xr3:uid="{0E7BA45A-3783-4D24-A36D-CA38BBE7F54E}" name="Column4164"/>
    <tableColumn id="4165" xr3:uid="{5748E87B-85A6-476C-9786-1A57EDB81960}" name="Column4165"/>
    <tableColumn id="4166" xr3:uid="{34516B9A-0184-4C62-B3C2-4ACD0E08BD01}" name="Column4166"/>
    <tableColumn id="4167" xr3:uid="{9083F304-D64B-4A13-A043-49E4BF29D4CD}" name="Column4167"/>
    <tableColumn id="4168" xr3:uid="{028B8582-EFF7-4B66-B7A8-2531FA42D4BB}" name="Column4168"/>
    <tableColumn id="4169" xr3:uid="{8C79757F-0661-486C-AB27-C297655177AB}" name="Column4169"/>
    <tableColumn id="4170" xr3:uid="{AC65677F-3051-4156-BA55-B6D334D1AB72}" name="Column4170"/>
    <tableColumn id="4171" xr3:uid="{FFDA8272-DA6D-4E8B-AE79-B8AA78C09954}" name="Column4171"/>
    <tableColumn id="4172" xr3:uid="{3D93A603-377C-4B5B-AAC6-A78795D98C43}" name="Column4172"/>
    <tableColumn id="4173" xr3:uid="{0D27AEB2-A078-4CFD-8D20-F43CC619D703}" name="Column4173"/>
    <tableColumn id="4174" xr3:uid="{BF5E2BA9-71A1-44C3-AAAC-6076EFF2960E}" name="Column4174"/>
    <tableColumn id="4175" xr3:uid="{71372C0E-B7B8-4E1B-8D4C-FF3DA85746F9}" name="Column4175"/>
    <tableColumn id="4176" xr3:uid="{5BEDB1B4-BCB3-4D5C-BAC4-0DA16105992F}" name="Column4176"/>
    <tableColumn id="4177" xr3:uid="{7E6EFC86-707B-411B-A0A4-4D77AC459D20}" name="Column4177"/>
    <tableColumn id="4178" xr3:uid="{0FF23437-7C58-43E7-9FF2-C9C3553D626F}" name="Column4178"/>
    <tableColumn id="4179" xr3:uid="{CA9F94B4-278E-489B-B36F-F0589E637F95}" name="Column4179"/>
    <tableColumn id="4180" xr3:uid="{1EF0B49A-B043-43A2-92B3-BCE63E18C48D}" name="Column4180"/>
    <tableColumn id="4181" xr3:uid="{1C83F430-C48D-46E8-A75E-64B117619B4C}" name="Column4181"/>
    <tableColumn id="4182" xr3:uid="{AFB03355-DAAD-4420-B6AE-4B6E423D22EA}" name="Column4182"/>
    <tableColumn id="4183" xr3:uid="{D1659277-F3F4-441B-81F7-2E9A76C1BF3C}" name="Column4183"/>
    <tableColumn id="4184" xr3:uid="{F36CA3DB-26DC-47E5-88CA-F9ACBAAA3445}" name="Column4184"/>
    <tableColumn id="4185" xr3:uid="{3237B56E-C922-411E-B2F0-52A20D2EA472}" name="Column4185"/>
    <tableColumn id="4186" xr3:uid="{7F80357A-5805-480B-BBA5-4A34A386B033}" name="Column4186"/>
    <tableColumn id="4187" xr3:uid="{DB9B76B9-E59D-449D-9BBB-58A4295C8218}" name="Column4187"/>
    <tableColumn id="4188" xr3:uid="{8752675E-9430-4D69-984D-57750E20D527}" name="Column4188"/>
    <tableColumn id="4189" xr3:uid="{9CBD8833-32EE-4237-9BE7-E83E6B2CAE1F}" name="Column4189"/>
    <tableColumn id="4190" xr3:uid="{276B8DB9-4074-443C-A46B-2600BACF35D0}" name="Column4190"/>
    <tableColumn id="4191" xr3:uid="{71B8E022-C63F-4E83-B01D-65A2530479D0}" name="Column4191"/>
    <tableColumn id="4192" xr3:uid="{DFD898EF-5C9C-44B5-AF1B-79AE3AF3B6A8}" name="Column4192"/>
    <tableColumn id="4193" xr3:uid="{612BFDC0-826F-4CC8-84A3-166E3B1054A3}" name="Column4193"/>
    <tableColumn id="4194" xr3:uid="{527B7698-82B5-4101-96C6-DBDC28BD3D79}" name="Column4194"/>
    <tableColumn id="4195" xr3:uid="{AF715EB8-F386-49D1-9A36-6427551715DA}" name="Column4195"/>
    <tableColumn id="4196" xr3:uid="{3DF4BE13-BBCB-42DC-A09E-098E7D8DD70C}" name="Column4196"/>
    <tableColumn id="4197" xr3:uid="{1251732D-09E9-4939-A89B-8E7CFEAD5019}" name="Column4197"/>
    <tableColumn id="4198" xr3:uid="{100FF9D9-C3BC-491C-8C74-6FC37E4FF16E}" name="Column4198"/>
    <tableColumn id="4199" xr3:uid="{B72C82C2-EDAD-4EA1-ABC1-FA441EF53463}" name="Column4199"/>
    <tableColumn id="4200" xr3:uid="{8E5BBF14-9554-4193-9FAB-4D2F0B877D52}" name="Column4200"/>
    <tableColumn id="4201" xr3:uid="{965C9308-9D1F-4066-AB3A-48C7705BF3FA}" name="Column4201"/>
    <tableColumn id="4202" xr3:uid="{18EA8B3E-8D94-465B-9837-2E59404548EE}" name="Column4202"/>
    <tableColumn id="4203" xr3:uid="{A4C1B908-010D-45B8-A25E-DA6B7ED9AEFF}" name="Column4203"/>
    <tableColumn id="4204" xr3:uid="{860C770E-3E7D-445F-B58E-9B0C607B5A80}" name="Column4204"/>
    <tableColumn id="4205" xr3:uid="{82C86BB0-0104-45B3-AD1D-AFBF119C8034}" name="Column4205"/>
    <tableColumn id="4206" xr3:uid="{F9D16439-28D4-4A0B-B0A1-29C74406F692}" name="Column4206"/>
    <tableColumn id="4207" xr3:uid="{5FB6B6D4-EC72-4092-BCB6-4ECA09015424}" name="Column4207"/>
    <tableColumn id="4208" xr3:uid="{5EE66E89-D036-47CD-8292-5963F768667F}" name="Column4208"/>
    <tableColumn id="4209" xr3:uid="{3FA9D442-0053-4827-8040-3EC01844FA3F}" name="Column4209"/>
    <tableColumn id="4210" xr3:uid="{8C1AD585-1F0B-4812-B503-ACB7E8F27096}" name="Column4210"/>
    <tableColumn id="4211" xr3:uid="{678056C2-76B5-48E9-B163-FF20FDE49DD7}" name="Column4211"/>
    <tableColumn id="4212" xr3:uid="{3D5E53C9-C8F5-4C6B-82DE-BC8F706AD27A}" name="Column4212"/>
    <tableColumn id="4213" xr3:uid="{2E1D3B8F-B137-43FC-BEBC-01E67CB89B8E}" name="Column4213"/>
    <tableColumn id="4214" xr3:uid="{9DE5C358-1AB6-486F-A382-CB51795ABCEF}" name="Column4214"/>
    <tableColumn id="4215" xr3:uid="{C5A2E30A-2065-4FE7-B635-97176B530D52}" name="Column4215"/>
    <tableColumn id="4216" xr3:uid="{CC8A2AE1-D8F0-421E-94B6-6A4F4ABF441D}" name="Column4216"/>
    <tableColumn id="4217" xr3:uid="{D142F676-BF43-4563-BD15-97FB58403D26}" name="Column4217"/>
    <tableColumn id="4218" xr3:uid="{6F5A2D95-C627-4C2D-8296-0818E2B115A7}" name="Column4218"/>
    <tableColumn id="4219" xr3:uid="{5D436C58-C6C4-46E8-A8F5-096E25182C78}" name="Column4219"/>
    <tableColumn id="4220" xr3:uid="{05B700EA-AD20-4B90-8E72-C7CA4C182313}" name="Column4220"/>
    <tableColumn id="4221" xr3:uid="{E1CF2965-62EA-48A3-91E8-46A8C7273030}" name="Column4221"/>
    <tableColumn id="4222" xr3:uid="{591465BF-0AB5-4CD0-87E4-3E006085B407}" name="Column4222"/>
    <tableColumn id="4223" xr3:uid="{FABF8F87-DF2C-40F9-BC0E-16E0D0E67FF8}" name="Column4223"/>
    <tableColumn id="4224" xr3:uid="{B3A81850-D503-4C00-B880-63A7D0A06A36}" name="Column4224"/>
    <tableColumn id="4225" xr3:uid="{D14EB036-0577-464E-874F-FC2D3F831165}" name="Column4225"/>
    <tableColumn id="4226" xr3:uid="{B6C33754-474D-48CB-B392-C1388BEFA528}" name="Column4226"/>
    <tableColumn id="4227" xr3:uid="{18C89067-8981-4D7A-9F8C-1584A2B5858A}" name="Column4227"/>
    <tableColumn id="4228" xr3:uid="{404A6CB7-C7B0-4B15-95D9-16BD800F073B}" name="Column4228"/>
    <tableColumn id="4229" xr3:uid="{E216E140-C310-43EC-A3DA-109A02EC70AF}" name="Column4229"/>
    <tableColumn id="4230" xr3:uid="{6AC9150B-A161-46AC-B0FA-18759A93CB83}" name="Column4230"/>
    <tableColumn id="4231" xr3:uid="{6A974DD9-3D0D-4EE3-A568-B1782FFBF680}" name="Column4231"/>
    <tableColumn id="4232" xr3:uid="{168A1051-61E5-4E81-A5E2-921909ECF943}" name="Column4232"/>
    <tableColumn id="4233" xr3:uid="{961D1A40-0946-49FA-9F25-509E7A58EEC8}" name="Column4233"/>
    <tableColumn id="4234" xr3:uid="{9B5D97BF-5E80-481C-9CE0-DEDF5B3AB5F9}" name="Column4234"/>
    <tableColumn id="4235" xr3:uid="{25FDFEBA-663F-439E-AC91-FBE4E93B43B6}" name="Column4235"/>
    <tableColumn id="4236" xr3:uid="{B6F51422-EB94-482D-BA13-EB96A4F23C6E}" name="Column4236"/>
    <tableColumn id="4237" xr3:uid="{D8373A15-3864-49DC-9846-C72747D4E65D}" name="Column4237"/>
    <tableColumn id="4238" xr3:uid="{F3A47BA8-4178-435C-9A38-CA3FBCDE9435}" name="Column4238"/>
    <tableColumn id="4239" xr3:uid="{87C91721-36EE-4557-A8AD-23728E415B01}" name="Column4239"/>
    <tableColumn id="4240" xr3:uid="{36D434BE-DD4B-49B8-9A43-6F05299C5414}" name="Column4240"/>
    <tableColumn id="4241" xr3:uid="{4916AD6D-98BC-4978-B0CD-99491BD176C6}" name="Column4241"/>
    <tableColumn id="4242" xr3:uid="{908E268B-B844-44AF-B7AC-C4E651BD7D7A}" name="Column4242"/>
    <tableColumn id="4243" xr3:uid="{98F557C4-1F10-4948-8B3C-A1D1B92909AF}" name="Column4243"/>
    <tableColumn id="4244" xr3:uid="{18E49012-1AF2-4FFF-85CB-7427E968F65F}" name="Column4244"/>
    <tableColumn id="4245" xr3:uid="{559F135F-1302-4B2F-8C9E-0D63CCF85696}" name="Column4245"/>
    <tableColumn id="4246" xr3:uid="{E62FD15E-54AC-41E7-A232-B1A6B8D904CC}" name="Column4246"/>
    <tableColumn id="4247" xr3:uid="{B9FAB94E-A61C-4A16-A399-CE6B1D1B3DA3}" name="Column4247"/>
    <tableColumn id="4248" xr3:uid="{13B05D09-6CEB-47F6-BBBA-8A9CEE8D1FF8}" name="Column4248"/>
    <tableColumn id="4249" xr3:uid="{30F1A508-A8B5-42D4-B5D7-141201D4BE8C}" name="Column4249"/>
    <tableColumn id="4250" xr3:uid="{5F5038D7-B9C6-46B9-870E-A2812112976E}" name="Column4250"/>
    <tableColumn id="4251" xr3:uid="{4EA66CD9-6362-4967-AD59-1CDA11E24BBE}" name="Column4251"/>
    <tableColumn id="4252" xr3:uid="{552C461F-83E2-45E3-9D3A-F0E63F2B2C0A}" name="Column4252"/>
    <tableColumn id="4253" xr3:uid="{4CC37D39-160C-41A1-B0DB-B5213B7AD217}" name="Column4253"/>
    <tableColumn id="4254" xr3:uid="{E6DA806E-0F38-4EC0-B6F4-833669FE5791}" name="Column4254"/>
    <tableColumn id="4255" xr3:uid="{355F3241-2231-4E4C-AF23-44654A51AFD8}" name="Column4255"/>
    <tableColumn id="4256" xr3:uid="{617237F7-AF3D-4E9A-AD06-A17334437B21}" name="Column4256"/>
    <tableColumn id="4257" xr3:uid="{8228D6FC-A1CF-437A-80E5-864A742C1D44}" name="Column4257"/>
    <tableColumn id="4258" xr3:uid="{B8586C21-784A-4DBF-9049-D0E006A45D87}" name="Column4258"/>
    <tableColumn id="4259" xr3:uid="{5F8EF4C8-0E29-4E7C-AF9D-3BB09142A5D2}" name="Column4259"/>
    <tableColumn id="4260" xr3:uid="{A99AEDB5-DBC7-45B6-B7EA-6E4CCC0E677C}" name="Column4260"/>
    <tableColumn id="4261" xr3:uid="{B992CB67-EEAC-43D3-A65A-22A0FACDAF51}" name="Column4261"/>
    <tableColumn id="4262" xr3:uid="{353B9EED-7A47-4575-B456-93D39EFEA7B6}" name="Column4262"/>
    <tableColumn id="4263" xr3:uid="{C22FF368-128E-41CB-9819-366CDD0C4E63}" name="Column4263"/>
    <tableColumn id="4264" xr3:uid="{171C54E7-2034-440C-9120-C2E1302185A8}" name="Column4264"/>
    <tableColumn id="4265" xr3:uid="{68A1C13D-D835-41DE-994D-F3673676E32F}" name="Column4265"/>
    <tableColumn id="4266" xr3:uid="{9CD66394-3F37-492F-9442-206720031301}" name="Column4266"/>
    <tableColumn id="4267" xr3:uid="{F6A1C307-6C65-4104-9A0E-CE68F5EF6ADE}" name="Column4267"/>
    <tableColumn id="4268" xr3:uid="{33B5E374-F3F5-4E64-B81B-0B1923044E32}" name="Column4268"/>
    <tableColumn id="4269" xr3:uid="{0A1CBFB0-FD88-4AC3-89E3-AD5E019CC029}" name="Column4269"/>
    <tableColumn id="4270" xr3:uid="{5F96A7B2-83E4-438F-92D9-6EAF6AD50740}" name="Column4270"/>
    <tableColumn id="4271" xr3:uid="{BBA957C0-9F3D-42C9-88EC-DC174340DED7}" name="Column4271"/>
    <tableColumn id="4272" xr3:uid="{9CA99F4B-C6E8-4F5A-A38E-ABDE65D40171}" name="Column4272"/>
    <tableColumn id="4273" xr3:uid="{5D394F9A-2B21-4EB8-AA50-AF3E0AFAB5D7}" name="Column4273"/>
    <tableColumn id="4274" xr3:uid="{6DD4F63E-1D9A-4C44-AA4F-5395A4CAEF04}" name="Column4274"/>
    <tableColumn id="4275" xr3:uid="{2D2E99C1-EEA4-4157-91A4-E9BD3D73DDD1}" name="Column4275"/>
    <tableColumn id="4276" xr3:uid="{BF5D60E2-9C47-46FB-8F70-0FC31D113691}" name="Column4276"/>
    <tableColumn id="4277" xr3:uid="{EAFAB4BE-5FD5-4BCC-B1FC-E58CE1AAE6E8}" name="Column4277"/>
    <tableColumn id="4278" xr3:uid="{B03EA13C-21B0-43B3-A318-70E7FCBD6C53}" name="Column4278"/>
    <tableColumn id="4279" xr3:uid="{E8132371-C3BA-42D7-A0FC-067B80D8A63F}" name="Column4279"/>
    <tableColumn id="4280" xr3:uid="{1FAD0C0D-25AD-4AF1-855D-0D9056C7DA23}" name="Column4280"/>
    <tableColumn id="4281" xr3:uid="{E469E119-F1C3-4219-B34F-A307F5B4507E}" name="Column4281"/>
    <tableColumn id="4282" xr3:uid="{04EA7C8B-47D5-41E0-81B5-80F27A97C998}" name="Column4282"/>
    <tableColumn id="4283" xr3:uid="{55DEDCB7-175F-43B1-B6AA-3487E66A33A4}" name="Column4283"/>
    <tableColumn id="4284" xr3:uid="{3ADEE74C-8161-4F91-A922-7317992A3BAC}" name="Column4284"/>
    <tableColumn id="4285" xr3:uid="{99FDC0B3-25F6-4E2C-8D5E-865C02BF1134}" name="Column4285"/>
    <tableColumn id="4286" xr3:uid="{FBB61401-402E-4427-8565-192F942A7EB1}" name="Column4286"/>
    <tableColumn id="4287" xr3:uid="{4528F3F0-8B52-4B6A-952A-B39759877009}" name="Column4287"/>
    <tableColumn id="4288" xr3:uid="{9E5F6F6E-B165-41E8-9F71-04E36BB30BF9}" name="Column4288"/>
    <tableColumn id="4289" xr3:uid="{D7642176-A228-4CE0-9633-F771D94AA014}" name="Column4289"/>
    <tableColumn id="4290" xr3:uid="{612A0733-D622-44AF-B259-D9EBF8FFA7D6}" name="Column4290"/>
    <tableColumn id="4291" xr3:uid="{083DBFBB-5CCA-435E-9F2C-9062934A9AFA}" name="Column4291"/>
    <tableColumn id="4292" xr3:uid="{DFC9DA25-FA99-437A-8373-B276E4E1E0CD}" name="Column4292"/>
    <tableColumn id="4293" xr3:uid="{62D1970C-2868-4808-BF3A-9BEB5B2AECFC}" name="Column4293"/>
    <tableColumn id="4294" xr3:uid="{3BC78494-672B-4B23-AA94-A5C4A8CDA1F3}" name="Column4294"/>
    <tableColumn id="4295" xr3:uid="{337E8ADC-D767-4C45-AB7B-AB80DE5EC427}" name="Column4295"/>
    <tableColumn id="4296" xr3:uid="{7088D6D7-AA6A-432C-BB97-C6355D6AA11C}" name="Column4296"/>
    <tableColumn id="4297" xr3:uid="{C9C6A02B-E6A7-4E1D-965C-D9371D364A62}" name="Column4297"/>
    <tableColumn id="4298" xr3:uid="{D1E08580-F888-4CDE-A180-D406F5239BED}" name="Column4298"/>
    <tableColumn id="4299" xr3:uid="{E3FFF344-54D6-40FB-A037-E249875796EC}" name="Column4299"/>
    <tableColumn id="4300" xr3:uid="{4B2E9865-CFD7-46E6-8255-144ABD79C3DD}" name="Column4300"/>
    <tableColumn id="4301" xr3:uid="{74EA925D-17E1-4F35-B309-6A2F53C3E05E}" name="Column4301"/>
    <tableColumn id="4302" xr3:uid="{989F2D87-D88C-4D14-811D-FC1450DCDBCA}" name="Column4302"/>
    <tableColumn id="4303" xr3:uid="{5F14D9E0-22A3-4C69-BE52-C505546FDC5A}" name="Column4303"/>
    <tableColumn id="4304" xr3:uid="{5CB8747C-B6F7-4816-A5A2-7E8DED4B9B8B}" name="Column4304"/>
    <tableColumn id="4305" xr3:uid="{E90489DD-FDFC-43C3-9214-F40CD2DA3B61}" name="Column4305"/>
    <tableColumn id="4306" xr3:uid="{1C9E82B6-D8DC-49AD-BBCD-FCD3ED1F1D15}" name="Column4306"/>
    <tableColumn id="4307" xr3:uid="{F5200368-F9A7-44C0-9270-028A24A1E056}" name="Column4307"/>
    <tableColumn id="4308" xr3:uid="{70F09CC2-CD6A-4DC7-90C1-11EEA3F9EE1E}" name="Column4308"/>
    <tableColumn id="4309" xr3:uid="{3922D823-CD8C-43B9-93FE-AD355724367C}" name="Column4309"/>
    <tableColumn id="4310" xr3:uid="{5663858E-2A70-46F3-BF4E-8486CF28150F}" name="Column4310"/>
    <tableColumn id="4311" xr3:uid="{E651C5EF-E8A5-4E65-87A6-890467F9051F}" name="Column4311"/>
    <tableColumn id="4312" xr3:uid="{5691138D-3B63-43EB-B452-B03C2BEF3DA2}" name="Column4312"/>
    <tableColumn id="4313" xr3:uid="{197D9DB3-975A-452E-8F90-0846DF8FB1A2}" name="Column4313"/>
    <tableColumn id="4314" xr3:uid="{48D996E9-7A03-431D-84DC-14410505EEBC}" name="Column4314"/>
    <tableColumn id="4315" xr3:uid="{FE081EB2-B8F9-4AD2-8B57-239307F212C6}" name="Column4315"/>
    <tableColumn id="4316" xr3:uid="{F95E12A8-680F-4783-9246-773A5B6B58FC}" name="Column4316"/>
    <tableColumn id="4317" xr3:uid="{9B54DDDF-8E5F-4798-AD6E-8A4A28E7C61F}" name="Column4317"/>
    <tableColumn id="4318" xr3:uid="{0142B9EE-C7F8-45F6-8A49-DE9074F1F1F4}" name="Column4318"/>
    <tableColumn id="4319" xr3:uid="{64F0B351-767C-41A1-B831-5F0A6D1DC24E}" name="Column4319"/>
    <tableColumn id="4320" xr3:uid="{45E89096-61C3-49D9-BB8B-089EDBF8A507}" name="Column4320"/>
    <tableColumn id="4321" xr3:uid="{6276842C-8C3C-483E-BDA7-4673C340CD74}" name="Column4321"/>
    <tableColumn id="4322" xr3:uid="{6BC0485D-F0D0-47A5-8AE0-416F4098AB52}" name="Column4322"/>
    <tableColumn id="4323" xr3:uid="{0CE9C7B6-448D-4829-9586-AFACEEE3CB0F}" name="Column4323"/>
    <tableColumn id="4324" xr3:uid="{C76A9C8E-0C1F-44D1-B1F2-81434533CBF8}" name="Column4324"/>
    <tableColumn id="4325" xr3:uid="{33681D22-F217-47E5-9AAC-6800F7063404}" name="Column4325"/>
    <tableColumn id="4326" xr3:uid="{51E1B30A-C27E-41FF-9C2B-AED9727410FD}" name="Column4326"/>
    <tableColumn id="4327" xr3:uid="{195F65A3-1E4B-4B4C-9380-2C3D650DBCC4}" name="Column4327"/>
    <tableColumn id="4328" xr3:uid="{39B35175-E7D0-4A13-A924-BE286FF133FA}" name="Column4328"/>
    <tableColumn id="4329" xr3:uid="{025DB16F-B9CD-4BA3-852E-B2EAB0D44565}" name="Column4329"/>
    <tableColumn id="4330" xr3:uid="{06BB5C09-5D33-4F86-B447-585C9AC3EDE4}" name="Column4330"/>
    <tableColumn id="4331" xr3:uid="{473B8E1F-2A1C-41D3-BCF1-C811BC6668F5}" name="Column4331"/>
    <tableColumn id="4332" xr3:uid="{1923EF5F-8746-40E8-98E4-27296509DC30}" name="Column4332"/>
    <tableColumn id="4333" xr3:uid="{99E09015-782E-495D-9826-4630C496B08D}" name="Column4333"/>
    <tableColumn id="4334" xr3:uid="{5364F1C6-649A-4594-B1CF-E4EA2E781C6F}" name="Column4334"/>
    <tableColumn id="4335" xr3:uid="{3D9EB588-EED1-4A1B-8AF6-2FB41A2EDDF0}" name="Column4335"/>
    <tableColumn id="4336" xr3:uid="{59588CCE-D8E0-48CD-9BA9-CDD1CA437B9F}" name="Column4336"/>
    <tableColumn id="4337" xr3:uid="{B049340D-E73F-4F37-9C01-F4A4A320FD47}" name="Column4337"/>
    <tableColumn id="4338" xr3:uid="{3BD6548B-BD1E-45F0-A6CD-B7EE84EF51F4}" name="Column4338"/>
    <tableColumn id="4339" xr3:uid="{6B4CCFB9-1B75-4C39-8AD0-0A3234987375}" name="Column4339"/>
    <tableColumn id="4340" xr3:uid="{4EF5E85E-CAAB-481A-8C40-97DF6BD8A6FA}" name="Column4340"/>
    <tableColumn id="4341" xr3:uid="{303520EA-3E83-4F4F-A14E-58FEBFC26E05}" name="Column4341"/>
    <tableColumn id="4342" xr3:uid="{2CAE023E-674C-41D7-84FA-6A4FBD64A6D2}" name="Column4342"/>
    <tableColumn id="4343" xr3:uid="{3AC653C1-0B42-4E29-A3F2-5DF065BE887D}" name="Column4343"/>
    <tableColumn id="4344" xr3:uid="{F4F35DFB-2997-4FF9-98F3-7761434565D5}" name="Column4344"/>
    <tableColumn id="4345" xr3:uid="{FF404023-54F7-4B44-81FC-FCEA4C23F281}" name="Column4345"/>
    <tableColumn id="4346" xr3:uid="{073D86C7-003B-47A5-B51E-968505EB6E1B}" name="Column4346"/>
    <tableColumn id="4347" xr3:uid="{B39164A7-56C6-430E-BF7B-C2948E5F3FFE}" name="Column4347"/>
    <tableColumn id="4348" xr3:uid="{5A6E139C-3FEA-429F-8164-9CE2048D28E9}" name="Column4348"/>
    <tableColumn id="4349" xr3:uid="{A94D5679-6532-4A4F-94F1-4F73B6ACD49B}" name="Column4349"/>
    <tableColumn id="4350" xr3:uid="{44B87A0A-897C-4A7D-87D7-F5FA18F708F5}" name="Column4350"/>
    <tableColumn id="4351" xr3:uid="{BC89C6BC-9442-415D-BD53-0076CBBDBD20}" name="Column4351"/>
    <tableColumn id="4352" xr3:uid="{721FD709-5760-4045-AA73-FF0BB35A199D}" name="Column4352"/>
    <tableColumn id="4353" xr3:uid="{BF5A5E9E-681D-4D4D-9006-27B48562FFFB}" name="Column4353"/>
    <tableColumn id="4354" xr3:uid="{4E9ADAD3-7259-495D-87DD-E82652476BF0}" name="Column4354"/>
    <tableColumn id="4355" xr3:uid="{DDBD2EF8-2696-4C5A-A041-257E72744ECE}" name="Column4355"/>
    <tableColumn id="4356" xr3:uid="{994079DB-CC0A-45B0-ABD5-0E7E81F3F20E}" name="Column4356"/>
    <tableColumn id="4357" xr3:uid="{73E70447-9BF7-4CBA-9D8C-760438A0D8E4}" name="Column4357"/>
    <tableColumn id="4358" xr3:uid="{4622090D-7F06-4AA3-9AD4-66C4858B3B0E}" name="Column4358"/>
    <tableColumn id="4359" xr3:uid="{A5E16A96-A197-4166-A461-CDF044822857}" name="Column4359"/>
    <tableColumn id="4360" xr3:uid="{E892E987-E945-4328-9ECF-323A24472BE9}" name="Column4360"/>
    <tableColumn id="4361" xr3:uid="{09650C7C-E8DB-4675-9B33-49D2CDED630D}" name="Column4361"/>
    <tableColumn id="4362" xr3:uid="{F12D6508-D275-4486-A8EE-2B4F2F5090F7}" name="Column4362"/>
    <tableColumn id="4363" xr3:uid="{9B871866-0126-4B76-8746-1B0CF6470E8E}" name="Column4363"/>
    <tableColumn id="4364" xr3:uid="{39EF11A6-71DC-470C-A392-FA00748E259C}" name="Column4364"/>
    <tableColumn id="4365" xr3:uid="{578B8193-D3C5-433E-943A-A375A13708A0}" name="Column4365"/>
    <tableColumn id="4366" xr3:uid="{ABD6494B-F8F8-429A-870D-4D2B9B44E652}" name="Column4366"/>
    <tableColumn id="4367" xr3:uid="{0674E589-93B0-4F38-80E4-8B11E4AF1E88}" name="Column4367"/>
    <tableColumn id="4368" xr3:uid="{4939749D-BA9F-4498-BCE7-8D34A5757C7F}" name="Column4368"/>
    <tableColumn id="4369" xr3:uid="{B4E4E089-DF25-4751-9A1E-5D1C7DB8BB31}" name="Column4369"/>
    <tableColumn id="4370" xr3:uid="{9C1BC7A7-491C-4C0A-A9A3-06E0E8D11F91}" name="Column4370"/>
    <tableColumn id="4371" xr3:uid="{BBB63597-948B-411E-B8BA-1FC5AE73D234}" name="Column4371"/>
    <tableColumn id="4372" xr3:uid="{C342079E-B3E8-4D03-8EAD-5CCA8C049715}" name="Column4372"/>
    <tableColumn id="4373" xr3:uid="{C5911D25-0D28-40E4-9B83-19E6E959A10C}" name="Column4373"/>
    <tableColumn id="4374" xr3:uid="{0F5AB0FA-6366-4437-AE5E-6C6587571005}" name="Column4374"/>
    <tableColumn id="4375" xr3:uid="{6CAC119F-D951-4D2A-B8FE-EC0AE0D065BD}" name="Column4375"/>
    <tableColumn id="4376" xr3:uid="{0CE1C918-259F-47A5-B587-C9C698E63BB7}" name="Column4376"/>
    <tableColumn id="4377" xr3:uid="{74380E2E-7516-4550-BC39-3A64DD29E4FB}" name="Column4377"/>
    <tableColumn id="4378" xr3:uid="{04CF7338-F7E0-4746-84C8-505AFE33FD3F}" name="Column4378"/>
    <tableColumn id="4379" xr3:uid="{C4DD4304-E6AC-463B-AA9D-FF872DBC95E0}" name="Column4379"/>
    <tableColumn id="4380" xr3:uid="{8455FC9F-94A1-427A-95F9-5B33D6A2F52D}" name="Column4380"/>
    <tableColumn id="4381" xr3:uid="{48FA06B2-D349-460A-93D5-F5F486527863}" name="Column4381"/>
    <tableColumn id="4382" xr3:uid="{4ED4389C-FBBD-474B-A6A9-0A77D39B0E93}" name="Column4382"/>
    <tableColumn id="4383" xr3:uid="{F924A9E7-AE89-4DD7-B5D6-863D54760109}" name="Column4383"/>
    <tableColumn id="4384" xr3:uid="{64CE331D-0544-47AF-B387-57FA51E19455}" name="Column4384"/>
    <tableColumn id="4385" xr3:uid="{0AA869B6-B094-429F-98F7-9FECB0D8CCBF}" name="Column4385"/>
    <tableColumn id="4386" xr3:uid="{FE4A1DC4-136B-4C27-8792-2D00009A72D2}" name="Column4386"/>
    <tableColumn id="4387" xr3:uid="{08FDE63E-3CDB-4A99-84FC-DC795DA33BCD}" name="Column4387"/>
    <tableColumn id="4388" xr3:uid="{327EB7CB-F312-46E0-B94B-E4240F882398}" name="Column4388"/>
    <tableColumn id="4389" xr3:uid="{FE80271B-7B45-4EC3-8A75-ABF27351DDAE}" name="Column4389"/>
    <tableColumn id="4390" xr3:uid="{FA5D010D-FD25-4795-848D-60457210B97A}" name="Column4390"/>
    <tableColumn id="4391" xr3:uid="{AB23DD03-0914-4242-B820-00B4ADB562EB}" name="Column4391"/>
    <tableColumn id="4392" xr3:uid="{EC0E2B54-8C8F-4748-A3FD-062473EDD3DD}" name="Column4392"/>
    <tableColumn id="4393" xr3:uid="{F1DB9EDD-E0D4-4A7D-83FB-213A6B035A0A}" name="Column4393"/>
    <tableColumn id="4394" xr3:uid="{3256A11C-9482-414D-9095-C3C452974070}" name="Column4394"/>
    <tableColumn id="4395" xr3:uid="{13DCF0E0-67D8-46D6-82A1-70A7A38CDC23}" name="Column4395"/>
    <tableColumn id="4396" xr3:uid="{980E2A08-56C1-4F73-AFFF-B8DB543B0712}" name="Column4396"/>
    <tableColumn id="4397" xr3:uid="{CF6EFC2F-437A-40E4-A7A1-805AFC4016E7}" name="Column4397"/>
    <tableColumn id="4398" xr3:uid="{B221B192-DF1F-440A-A5A5-F4B0795BB424}" name="Column4398"/>
    <tableColumn id="4399" xr3:uid="{20D09C29-47EA-410C-8AE7-075ADA94D18B}" name="Column4399"/>
    <tableColumn id="4400" xr3:uid="{CFDEBDD5-5195-457F-924C-D0E881B9107E}" name="Column4400"/>
    <tableColumn id="4401" xr3:uid="{83351A23-91FA-4415-934D-A14E0BD1D977}" name="Column4401"/>
    <tableColumn id="4402" xr3:uid="{41AB01E7-1EF5-4F70-B4AB-91E0D97B6CF3}" name="Column4402"/>
    <tableColumn id="4403" xr3:uid="{2991AA43-F33C-4FF7-BCE6-93D95204C873}" name="Column4403"/>
    <tableColumn id="4404" xr3:uid="{7DEBFD39-BD60-464C-A908-135879AC5FFC}" name="Column4404"/>
    <tableColumn id="4405" xr3:uid="{458A3F56-B036-43BF-964C-EDB18F47EF8C}" name="Column4405"/>
    <tableColumn id="4406" xr3:uid="{59DEE274-7904-46CA-A641-0F95C7A221CD}" name="Column4406"/>
    <tableColumn id="4407" xr3:uid="{BB9B7E0C-1267-4E9A-8337-3366B9A3964A}" name="Column4407"/>
    <tableColumn id="4408" xr3:uid="{3106E5E0-EAFC-4C63-9B27-57AE4DDB9B64}" name="Column4408"/>
    <tableColumn id="4409" xr3:uid="{02241ABA-38FC-472E-9906-EE74144A9F1F}" name="Column4409"/>
    <tableColumn id="4410" xr3:uid="{05E2B1AA-22EE-4D1F-978F-D77E6A755532}" name="Column4410"/>
    <tableColumn id="4411" xr3:uid="{D8CAF259-6AE6-4BF2-B6B8-5F166932A6F4}" name="Column4411"/>
    <tableColumn id="4412" xr3:uid="{AABE0D6D-C439-4334-93CA-5C4122A43D31}" name="Column4412"/>
    <tableColumn id="4413" xr3:uid="{18D84783-AAAE-484A-BB52-BD03DB1E22AC}" name="Column4413"/>
    <tableColumn id="4414" xr3:uid="{C10BBD63-0379-4BEC-B8F2-4C3EE6677C96}" name="Column4414"/>
    <tableColumn id="4415" xr3:uid="{D57A191B-08A2-43C3-8513-B7EA8898250B}" name="Column4415"/>
    <tableColumn id="4416" xr3:uid="{B7D2323D-0913-45B9-982D-FCF086C3F717}" name="Column4416"/>
    <tableColumn id="4417" xr3:uid="{4DBCD75B-FA4E-4AA5-A191-0DDECD7C8112}" name="Column4417"/>
    <tableColumn id="4418" xr3:uid="{D1AC5FAC-FDF1-4DC0-A36A-AF55688600AD}" name="Column4418"/>
    <tableColumn id="4419" xr3:uid="{1CEB03D7-C58C-486A-9ADF-69924C94BB86}" name="Column4419"/>
    <tableColumn id="4420" xr3:uid="{8C8644FF-4523-4919-B7D2-6D3D4066182C}" name="Column4420"/>
    <tableColumn id="4421" xr3:uid="{407251D9-E111-4A2A-8DA7-07D5347E1809}" name="Column4421"/>
    <tableColumn id="4422" xr3:uid="{64D1DB3E-5005-4219-895A-0C8DE28F2551}" name="Column4422"/>
    <tableColumn id="4423" xr3:uid="{25D13B00-DFC2-46B0-8DD4-68189AD726AD}" name="Column4423"/>
    <tableColumn id="4424" xr3:uid="{CD8F1506-5D97-4F75-9DFD-C8461BE45F86}" name="Column4424"/>
    <tableColumn id="4425" xr3:uid="{EEB336A3-5FAB-48E1-856A-93BA909388EA}" name="Column4425"/>
    <tableColumn id="4426" xr3:uid="{948C84D5-3486-4C3C-B0B8-523367E40F78}" name="Column4426"/>
    <tableColumn id="4427" xr3:uid="{100656DD-3F38-4F37-A31D-855E5745B034}" name="Column4427"/>
    <tableColumn id="4428" xr3:uid="{4B635E35-E2A4-4F0A-8215-C62BD1EDE57C}" name="Column4428"/>
    <tableColumn id="4429" xr3:uid="{9837BD6B-16BC-41CB-8006-3B1D9F9C6215}" name="Column4429"/>
    <tableColumn id="4430" xr3:uid="{130921C9-D7C1-47AE-8CA2-7A67F44B2B42}" name="Column4430"/>
    <tableColumn id="4431" xr3:uid="{266CC6DC-47FE-453A-B74E-D27261587933}" name="Column4431"/>
    <tableColumn id="4432" xr3:uid="{0ADE4016-B566-4B6E-8D27-50EE7521C4D6}" name="Column4432"/>
    <tableColumn id="4433" xr3:uid="{C6017B4B-0068-4F47-B3C8-E4EFC88B7534}" name="Column4433"/>
    <tableColumn id="4434" xr3:uid="{BE1CBA88-36CA-49C1-AA52-35B87134C5DC}" name="Column4434"/>
    <tableColumn id="4435" xr3:uid="{B2BB8F7F-ABB0-4CA5-BAA1-DC6892366228}" name="Column4435"/>
    <tableColumn id="4436" xr3:uid="{6455B200-062E-4977-890C-9A93B650A42C}" name="Column4436"/>
    <tableColumn id="4437" xr3:uid="{C75352AD-FB94-4EB7-A2FB-265CC4983A86}" name="Column4437"/>
    <tableColumn id="4438" xr3:uid="{96A74F7B-4E84-4D1C-A2C2-40AB5E557B07}" name="Column4438"/>
    <tableColumn id="4439" xr3:uid="{1383E4A0-8915-48D0-8CB4-98F42DE41379}" name="Column4439"/>
    <tableColumn id="4440" xr3:uid="{1D6213F1-A2B2-44D1-92C4-51DFB84E42D0}" name="Column4440"/>
    <tableColumn id="4441" xr3:uid="{0EA50883-5B00-4760-8760-C641A01B3540}" name="Column4441"/>
    <tableColumn id="4442" xr3:uid="{743F8813-59C5-4B91-8FBF-FF3E4E5FC18A}" name="Column4442"/>
    <tableColumn id="4443" xr3:uid="{DE165CAF-E9AB-4C87-AE2A-5D6DA946C4C1}" name="Column4443"/>
    <tableColumn id="4444" xr3:uid="{A13AD227-DFDA-4C54-BD95-2F8D88F68E0F}" name="Column4444"/>
    <tableColumn id="4445" xr3:uid="{F813F20F-A999-4ECD-A58A-53761A7E0DA7}" name="Column4445"/>
    <tableColumn id="4446" xr3:uid="{78F3AE7D-504A-48D7-B70F-E67DE969657F}" name="Column4446"/>
    <tableColumn id="4447" xr3:uid="{E297EA3A-8200-415E-97A7-CD8106721CB8}" name="Column4447"/>
    <tableColumn id="4448" xr3:uid="{EF46D85D-B620-45FF-8E3B-B2887B8B4819}" name="Column4448"/>
    <tableColumn id="4449" xr3:uid="{63E1877C-1FE8-4772-95DB-209EF5EB7666}" name="Column4449"/>
    <tableColumn id="4450" xr3:uid="{2F49CC3A-6A5D-4273-B9D8-CB74CC87C963}" name="Column4450"/>
    <tableColumn id="4451" xr3:uid="{B4E08B4E-96AB-4A76-AD8D-3DD2E934A63B}" name="Column4451"/>
    <tableColumn id="4452" xr3:uid="{4023FC25-1734-4F61-8EFD-EE2A1425F773}" name="Column4452"/>
    <tableColumn id="4453" xr3:uid="{095F5D72-2E97-480E-84BD-DDB25D0C8D23}" name="Column4453"/>
    <tableColumn id="4454" xr3:uid="{B458ED2A-59C9-4145-8C1A-D67DC714D183}" name="Column4454"/>
    <tableColumn id="4455" xr3:uid="{0969FC72-D327-4EA1-8347-17F74117381E}" name="Column4455"/>
    <tableColumn id="4456" xr3:uid="{F1167052-2C80-454B-837C-E453EA45A001}" name="Column4456"/>
    <tableColumn id="4457" xr3:uid="{204C0631-7A89-4636-93FF-BDC83E6FE83F}" name="Column4457"/>
    <tableColumn id="4458" xr3:uid="{1F65A3FC-705F-42B8-A12B-F4F938EF416F}" name="Column4458"/>
    <tableColumn id="4459" xr3:uid="{01589EF5-D9F8-457F-99B2-43CDAB98ACBC}" name="Column4459"/>
    <tableColumn id="4460" xr3:uid="{CEF8178F-2957-490E-9E29-A2E378D09EA7}" name="Column4460"/>
    <tableColumn id="4461" xr3:uid="{D27C0961-390D-4B1D-8F86-3E190F7EE563}" name="Column4461"/>
    <tableColumn id="4462" xr3:uid="{EF04F548-1CF5-42E7-97D0-D5D42A220A69}" name="Column4462"/>
    <tableColumn id="4463" xr3:uid="{D7C765AD-D6AA-4780-B923-5466E0F4698E}" name="Column4463"/>
    <tableColumn id="4464" xr3:uid="{94DCB713-2EE6-48F5-9E39-5AB48A9218BC}" name="Column4464"/>
    <tableColumn id="4465" xr3:uid="{BB0580E2-94C2-4852-BBA9-DA68801D1D32}" name="Column4465"/>
    <tableColumn id="4466" xr3:uid="{C05E082C-451A-45ED-BB25-A0927BBC2DFA}" name="Column4466"/>
    <tableColumn id="4467" xr3:uid="{D265FF45-DE1B-4B4F-A3F3-0A2E6A1CD26A}" name="Column4467"/>
    <tableColumn id="4468" xr3:uid="{0E86501D-C8F6-49A2-90F2-F7443C0F87C4}" name="Column4468"/>
    <tableColumn id="4469" xr3:uid="{0FD8AFFB-D4E2-4B19-A07E-D7D17678A36D}" name="Column4469"/>
    <tableColumn id="4470" xr3:uid="{2F0E80C2-24A4-495D-A599-E3CC6986FE8C}" name="Column4470"/>
    <tableColumn id="4471" xr3:uid="{917B11EE-CEF3-46C5-806F-D47874CD66B1}" name="Column4471"/>
    <tableColumn id="4472" xr3:uid="{FDB970CC-654B-46C6-929B-A89C87E3F390}" name="Column4472"/>
    <tableColumn id="4473" xr3:uid="{19DDFFDC-E75C-4F8D-AD90-4FBC5168A6AB}" name="Column4473"/>
    <tableColumn id="4474" xr3:uid="{81F55EE7-DA5E-4464-B77D-A5A2E1530ACD}" name="Column4474"/>
    <tableColumn id="4475" xr3:uid="{1BE8BAF3-992C-4F9B-A9F4-897DD03A5184}" name="Column4475"/>
    <tableColumn id="4476" xr3:uid="{836688E5-3458-4CE7-9E4C-5DB17DFAF7DA}" name="Column4476"/>
    <tableColumn id="4477" xr3:uid="{991504DF-D148-47AD-A397-1BECF724BAF1}" name="Column4477"/>
    <tableColumn id="4478" xr3:uid="{BC97DBC7-3A72-401A-8F68-1B584ABA7820}" name="Column4478"/>
    <tableColumn id="4479" xr3:uid="{529DE523-AD14-4169-B35D-C889AD4CE4E6}" name="Column4479"/>
    <tableColumn id="4480" xr3:uid="{5EF8E0CC-53E1-49E4-94A8-928892002011}" name="Column4480"/>
    <tableColumn id="4481" xr3:uid="{442CCDF6-763E-41B0-9635-7D9D61807658}" name="Column4481"/>
    <tableColumn id="4482" xr3:uid="{819AA13D-2315-42F4-8BCB-8205C25C165E}" name="Column4482"/>
    <tableColumn id="4483" xr3:uid="{66EB20C0-FCF1-4157-A2D6-712A331D17A6}" name="Column4483"/>
    <tableColumn id="4484" xr3:uid="{7BFB4BB2-550C-4040-911C-84B8CD942E28}" name="Column4484"/>
    <tableColumn id="4485" xr3:uid="{0153C098-78DC-4FA2-AFFD-F76477F29F09}" name="Column4485"/>
    <tableColumn id="4486" xr3:uid="{63BE6C7B-619C-413D-A2D9-AC8FB291B8DD}" name="Column4486"/>
    <tableColumn id="4487" xr3:uid="{340050B8-5023-4404-B94F-A55AF366C3FB}" name="Column4487"/>
    <tableColumn id="4488" xr3:uid="{24DFA939-9A92-4CBE-B7D1-770765C0D194}" name="Column4488"/>
    <tableColumn id="4489" xr3:uid="{099A82EF-492D-4431-9ADA-9D3AD924ABEA}" name="Column4489"/>
    <tableColumn id="4490" xr3:uid="{EE97082B-0882-4B1D-9B04-BCED890C2028}" name="Column4490"/>
    <tableColumn id="4491" xr3:uid="{061B1E41-CDF7-49E0-B32B-F1BAC396C9C2}" name="Column4491"/>
    <tableColumn id="4492" xr3:uid="{05AF0A6C-A85F-4561-A395-56F5FBF370B6}" name="Column4492"/>
    <tableColumn id="4493" xr3:uid="{B3DF5E58-C1A8-430D-9997-2EB4593DE5BB}" name="Column4493"/>
    <tableColumn id="4494" xr3:uid="{BDA88CE1-069B-4A04-9388-52D2372A1E04}" name="Column4494"/>
    <tableColumn id="4495" xr3:uid="{FD520E62-D34C-4F9A-8A0D-E21791EDD2D3}" name="Column4495"/>
    <tableColumn id="4496" xr3:uid="{F3CA8223-99F5-461F-B582-B8A1336BF02E}" name="Column4496"/>
    <tableColumn id="4497" xr3:uid="{70669D9F-FBC0-4C6B-8CF5-FFADDD896C92}" name="Column4497"/>
    <tableColumn id="4498" xr3:uid="{023EE124-B571-4959-B0CF-EE00955B0FFA}" name="Column4498"/>
    <tableColumn id="4499" xr3:uid="{DA73DE26-14BE-4446-A28C-DD639ACA2054}" name="Column4499"/>
    <tableColumn id="4500" xr3:uid="{01BA1745-C3EC-4288-A74A-249FEC1A0262}" name="Column4500"/>
    <tableColumn id="4501" xr3:uid="{B67C9FAE-D469-41C6-AEE9-922AE7D2A357}" name="Column4501"/>
    <tableColumn id="4502" xr3:uid="{861650A7-B2A9-4A81-B096-22E128B3DBC4}" name="Column4502"/>
    <tableColumn id="4503" xr3:uid="{CB45FEEE-D4E0-4C39-8CE0-053F16408721}" name="Column4503"/>
    <tableColumn id="4504" xr3:uid="{F0CA36FF-8504-4433-A83F-661C592845B4}" name="Column4504"/>
    <tableColumn id="4505" xr3:uid="{6D96483D-27C9-432E-AFEF-96301284C2A6}" name="Column4505"/>
    <tableColumn id="4506" xr3:uid="{1C2E72C4-E57E-4DBD-A33B-EF4BFB21D365}" name="Column4506"/>
    <tableColumn id="4507" xr3:uid="{B8EE5142-6AAD-4B5C-B342-5156B05A3C82}" name="Column4507"/>
    <tableColumn id="4508" xr3:uid="{31CF17A6-140D-4B3F-8E4E-1C7B7E44D501}" name="Column4508"/>
    <tableColumn id="4509" xr3:uid="{C5C751FE-06FC-4558-B471-BC14D64C7E28}" name="Column4509"/>
    <tableColumn id="4510" xr3:uid="{81D20BB1-ED0B-41AC-AC9A-912FC965ECEF}" name="Column4510"/>
    <tableColumn id="4511" xr3:uid="{982E1D41-9FB5-46FF-8E48-1A883967BA0A}" name="Column4511"/>
    <tableColumn id="4512" xr3:uid="{F178A44A-44A9-4E02-A7AE-4C4AE1D98D5D}" name="Column4512"/>
    <tableColumn id="4513" xr3:uid="{00A6042D-6EAD-43F6-9E4F-82BE51E3E9D9}" name="Column4513"/>
    <tableColumn id="4514" xr3:uid="{9C99C107-7595-4B8B-8FAA-4F480B608100}" name="Column4514"/>
    <tableColumn id="4515" xr3:uid="{05FC67ED-A701-4F68-BA08-95DFBDC69425}" name="Column4515"/>
    <tableColumn id="4516" xr3:uid="{EC94F081-1BAE-476C-A9A7-7097B5865E63}" name="Column4516"/>
    <tableColumn id="4517" xr3:uid="{183DBE6F-24BD-4E00-A65A-F284C8353444}" name="Column4517"/>
    <tableColumn id="4518" xr3:uid="{A0D1BF5D-484A-46C4-9E80-9955FA5D7476}" name="Column4518"/>
    <tableColumn id="4519" xr3:uid="{9F3EC309-1600-4F91-B45F-3236D2F6B655}" name="Column4519"/>
    <tableColumn id="4520" xr3:uid="{1CA20AD8-6D13-490C-AB88-E7825F3F1074}" name="Column4520"/>
    <tableColumn id="4521" xr3:uid="{520C7F89-630C-420B-A87B-C6C3E9B81CC7}" name="Column4521"/>
    <tableColumn id="4522" xr3:uid="{93CCA87F-7A86-484E-9CAE-6489333770FC}" name="Column4522"/>
    <tableColumn id="4523" xr3:uid="{3F7C8243-2EB0-4382-9D4E-5347D659073F}" name="Column4523"/>
    <tableColumn id="4524" xr3:uid="{F1951495-F90F-4153-82FF-81D02E464B77}" name="Column4524"/>
    <tableColumn id="4525" xr3:uid="{605EF45F-02BA-4D11-B045-AD2D9E045714}" name="Column4525"/>
    <tableColumn id="4526" xr3:uid="{CD15DD85-EDE0-4D34-84D2-AB103CFBFB53}" name="Column4526"/>
    <tableColumn id="4527" xr3:uid="{5F80F6BA-3298-425D-BBA6-D3A71407E064}" name="Column4527"/>
    <tableColumn id="4528" xr3:uid="{181F04A1-5AE2-4912-B504-2B994FEF19D3}" name="Column4528"/>
    <tableColumn id="4529" xr3:uid="{645F8523-7527-4E3C-9B32-6EB9A241E26F}" name="Column4529"/>
    <tableColumn id="4530" xr3:uid="{6A75BA70-A20C-485A-89CE-2C9CCAFBDEE0}" name="Column4530"/>
    <tableColumn id="4531" xr3:uid="{4635BB64-EF8A-45D6-A168-3A7335BBDC73}" name="Column4531"/>
    <tableColumn id="4532" xr3:uid="{73CA5D19-7923-494D-A9D0-DE4567A4CE46}" name="Column4532"/>
    <tableColumn id="4533" xr3:uid="{B69768E5-9C02-4FBF-89E6-6CA9C51C7F01}" name="Column4533"/>
    <tableColumn id="4534" xr3:uid="{868F5F79-7011-4C3F-AC70-22C0CC6C7A3D}" name="Column4534"/>
    <tableColumn id="4535" xr3:uid="{33BDC171-8930-417F-B513-1C858D90783D}" name="Column4535"/>
    <tableColumn id="4536" xr3:uid="{2B25740C-4967-4681-9051-DE7466044B16}" name="Column4536"/>
    <tableColumn id="4537" xr3:uid="{B340EC61-66C2-42AD-9223-CA90BF141C48}" name="Column4537"/>
    <tableColumn id="4538" xr3:uid="{615F7917-3C72-48DD-BB54-A054231FAF53}" name="Column4538"/>
    <tableColumn id="4539" xr3:uid="{E3A9FC22-3202-4672-93C5-F9C3A4604968}" name="Column4539"/>
    <tableColumn id="4540" xr3:uid="{511388BC-1613-4803-B730-7F2154F35239}" name="Column4540"/>
    <tableColumn id="4541" xr3:uid="{0A098DD0-4F7F-45DD-97BC-2903BECFA19B}" name="Column4541"/>
    <tableColumn id="4542" xr3:uid="{FB7262F2-90C9-4D9D-B4DC-2F64D7E9CCA0}" name="Column4542"/>
    <tableColumn id="4543" xr3:uid="{300D7F83-3B10-46C0-8233-A4F99B852A9F}" name="Column4543"/>
    <tableColumn id="4544" xr3:uid="{7B97C86C-2F2B-48B8-80A7-85FFFE0A3857}" name="Column4544"/>
    <tableColumn id="4545" xr3:uid="{8B831517-4DBB-45E6-9D7B-5BDD8E2C5013}" name="Column4545"/>
    <tableColumn id="4546" xr3:uid="{71E1D6C9-FD29-4FCF-95CC-368977833333}" name="Column4546"/>
    <tableColumn id="4547" xr3:uid="{DD555B97-14E8-4D67-BD11-F9ED54A95C76}" name="Column4547"/>
    <tableColumn id="4548" xr3:uid="{C176766C-0F87-473C-ACDF-05CB55DD923F}" name="Column4548"/>
    <tableColumn id="4549" xr3:uid="{B2D61D98-E441-4826-8D03-02470F0F20F3}" name="Column4549"/>
    <tableColumn id="4550" xr3:uid="{361282D1-A8DD-4DB1-AAC9-1AF79349EF7F}" name="Column4550"/>
    <tableColumn id="4551" xr3:uid="{90A1BED0-05C8-4791-A6E2-A71F33B82682}" name="Column4551"/>
    <tableColumn id="4552" xr3:uid="{A01E8912-CFA7-4E8B-B132-11105365999D}" name="Column4552"/>
    <tableColumn id="4553" xr3:uid="{C77BE7A3-8281-4C82-BF37-B9F7EB9C5FED}" name="Column4553"/>
    <tableColumn id="4554" xr3:uid="{558D87E6-5805-444B-9B8F-C42A2685E275}" name="Column4554"/>
    <tableColumn id="4555" xr3:uid="{63F7ADF5-3E7F-4036-B9E7-5A2881C20336}" name="Column4555"/>
    <tableColumn id="4556" xr3:uid="{DB228689-4E24-4E14-83CB-6FC5C121736D}" name="Column4556"/>
    <tableColumn id="4557" xr3:uid="{63CA66BB-BEDB-41CF-9B58-4B2B34F1FBD2}" name="Column4557"/>
    <tableColumn id="4558" xr3:uid="{1E27F809-86D6-4B33-A0B2-C0D7875702DB}" name="Column4558"/>
    <tableColumn id="4559" xr3:uid="{7C393A27-717C-491D-A52D-01388C0AD520}" name="Column4559"/>
    <tableColumn id="4560" xr3:uid="{A80EDA32-E6DB-4528-949C-ACA0772560C0}" name="Column4560"/>
    <tableColumn id="4561" xr3:uid="{C93B53B0-8BFD-4798-98F4-F81E4671140D}" name="Column4561"/>
    <tableColumn id="4562" xr3:uid="{EC00C21F-AB4A-4D18-93FE-DC3CA92D017B}" name="Column4562"/>
    <tableColumn id="4563" xr3:uid="{03F6E2AF-75B1-4EA6-94D4-FEED00CAE35F}" name="Column4563"/>
    <tableColumn id="4564" xr3:uid="{72025804-6960-497D-9D53-CC2AC81755DB}" name="Column4564"/>
    <tableColumn id="4565" xr3:uid="{C9FD10D2-F352-4677-AE65-A265452891CE}" name="Column4565"/>
    <tableColumn id="4566" xr3:uid="{5EE9AB17-BF8F-4F18-99CF-4021ADAAEA32}" name="Column4566"/>
    <tableColumn id="4567" xr3:uid="{FADE0264-051E-4E9C-B2B9-8A1A945A8210}" name="Column4567"/>
    <tableColumn id="4568" xr3:uid="{62EFADFE-BBD4-4AB8-8034-7BF117D4AC70}" name="Column4568"/>
    <tableColumn id="4569" xr3:uid="{8AC5837F-8932-48C3-BAD3-657E596715CD}" name="Column4569"/>
    <tableColumn id="4570" xr3:uid="{D7F3EF48-72BC-41DF-9299-351D1BD335C9}" name="Column4570"/>
    <tableColumn id="4571" xr3:uid="{97DFD835-FD35-41A7-B058-5EF3613FF6D9}" name="Column4571"/>
    <tableColumn id="4572" xr3:uid="{1409A88D-11BB-44AD-8C47-EECD0D6FE291}" name="Column4572"/>
    <tableColumn id="4573" xr3:uid="{3A4AC60F-24A9-41AB-9447-7BD11063403F}" name="Column4573"/>
    <tableColumn id="4574" xr3:uid="{FF7FD9D2-EEA9-4FBF-BADB-D3ABF46CCA09}" name="Column4574"/>
    <tableColumn id="4575" xr3:uid="{604177DF-CC2B-4567-8D16-FA4B08FA4F45}" name="Column4575"/>
    <tableColumn id="4576" xr3:uid="{918D52A3-2684-4DAC-897F-B2B93FCBE62E}" name="Column4576"/>
    <tableColumn id="4577" xr3:uid="{57C4DBB3-585E-4568-AFA2-959C45EC51DE}" name="Column4577"/>
    <tableColumn id="4578" xr3:uid="{8F388420-12A5-4F32-A225-A1B8713DFBB1}" name="Column4578"/>
    <tableColumn id="4579" xr3:uid="{F4A18719-100A-4317-BE25-E61BACA7D0B5}" name="Column4579"/>
    <tableColumn id="4580" xr3:uid="{30B8E1C6-12D8-4212-BEC8-8FD51FC65BCE}" name="Column4580"/>
    <tableColumn id="4581" xr3:uid="{BE3D4141-8A4F-483C-97A9-5FDF8EBFEC8A}" name="Column4581"/>
    <tableColumn id="4582" xr3:uid="{2BAEA585-0BCC-4FD6-B7D1-D9B2475FAF46}" name="Column4582"/>
    <tableColumn id="4583" xr3:uid="{D638D2E9-0DA7-4631-982C-CB451E17EE2C}" name="Column4583"/>
    <tableColumn id="4584" xr3:uid="{681AAFA7-6D7A-4F51-9DF7-538A5340CC7C}" name="Column4584"/>
    <tableColumn id="4585" xr3:uid="{93B4A94C-FD77-4741-8010-75359F492392}" name="Column4585"/>
    <tableColumn id="4586" xr3:uid="{0F651B59-9070-494C-8D6E-5576F5EBF7D7}" name="Column4586"/>
    <tableColumn id="4587" xr3:uid="{EB70DADD-A846-4932-9A1C-C4A8AABA90AE}" name="Column4587"/>
    <tableColumn id="4588" xr3:uid="{FABCEE0A-DA21-4409-8180-06E515B78A58}" name="Column4588"/>
    <tableColumn id="4589" xr3:uid="{EF29BB5D-DF8B-460C-ABA0-454606FE013F}" name="Column4589"/>
    <tableColumn id="4590" xr3:uid="{554ABD96-74CC-4053-AAD8-AFD12E70F58D}" name="Column4590"/>
    <tableColumn id="4591" xr3:uid="{54197389-20E4-45C4-BBE3-CDD75B17FCAD}" name="Column4591"/>
    <tableColumn id="4592" xr3:uid="{77BA2885-9593-47C5-B96E-BC5FD728BEE6}" name="Column4592"/>
    <tableColumn id="4593" xr3:uid="{A080380E-5085-47F6-A155-C8171C7BEA14}" name="Column4593"/>
    <tableColumn id="4594" xr3:uid="{0C404C8B-4891-473A-B8FA-641A7D383957}" name="Column4594"/>
    <tableColumn id="4595" xr3:uid="{6B5CCEF3-0E62-47FD-8A56-A9056A5D3258}" name="Column4595"/>
    <tableColumn id="4596" xr3:uid="{FBCBF2A6-5C40-41E6-A390-F6BA2F3B56FC}" name="Column4596"/>
    <tableColumn id="4597" xr3:uid="{4159BC20-60C0-4842-ADC3-E075C18A0DC5}" name="Column4597"/>
    <tableColumn id="4598" xr3:uid="{27CAC247-2A78-414D-B69D-194251F91BC8}" name="Column4598"/>
    <tableColumn id="4599" xr3:uid="{06C342F2-945C-4EB5-B442-94EE8F8A8E60}" name="Column4599"/>
    <tableColumn id="4600" xr3:uid="{A9C99AB8-04AD-4706-A3D4-D7BED3203314}" name="Column4600"/>
    <tableColumn id="4601" xr3:uid="{EC09D1F9-4AD7-4EC6-9E37-DC3B41117FDF}" name="Column4601"/>
    <tableColumn id="4602" xr3:uid="{C69DA299-664A-428E-A3AA-B46D9CF25F16}" name="Column4602"/>
    <tableColumn id="4603" xr3:uid="{9B36CCA7-8A0F-452A-BB00-06ED6BEFD473}" name="Column4603"/>
    <tableColumn id="4604" xr3:uid="{74B5C568-91ED-4CF5-B08F-F4EC03ADB428}" name="Column4604"/>
    <tableColumn id="4605" xr3:uid="{4F1E9067-BABA-41C2-8203-B59B51443BF9}" name="Column4605"/>
    <tableColumn id="4606" xr3:uid="{81B10DD5-27C8-451B-8961-284747E64CB9}" name="Column4606"/>
    <tableColumn id="4607" xr3:uid="{B834CC81-7167-4F7F-B3D7-2A4C92841727}" name="Column4607"/>
    <tableColumn id="4608" xr3:uid="{8B2ACDC3-5652-4DD3-B22B-BB8D6D77E23A}" name="Column4608"/>
    <tableColumn id="4609" xr3:uid="{5BBDE53F-4986-4C76-A887-DDD4A465E1BB}" name="Column4609"/>
    <tableColumn id="4610" xr3:uid="{CDAE61B1-570A-4DD0-955D-E7577F91119D}" name="Column4610"/>
    <tableColumn id="4611" xr3:uid="{4F0CABF7-84CB-4CCF-A64E-4F3677304411}" name="Column4611"/>
    <tableColumn id="4612" xr3:uid="{20E48BF1-F45C-43D6-BC8B-B53378ECBDA9}" name="Column4612"/>
    <tableColumn id="4613" xr3:uid="{7AFC82B0-0B96-48DE-8096-E6E166FFA3A8}" name="Column4613"/>
    <tableColumn id="4614" xr3:uid="{CBF307D1-6CC8-4CD4-AB77-21CE6A30A4A1}" name="Column4614"/>
    <tableColumn id="4615" xr3:uid="{F8C37149-D76B-497C-B3E5-058C51855FAE}" name="Column4615"/>
    <tableColumn id="4616" xr3:uid="{9E1EC556-62B1-4EC3-A9CB-B49CD1F3F7EA}" name="Column4616"/>
    <tableColumn id="4617" xr3:uid="{526F87F1-0596-4FC0-BD65-366709BBF3DA}" name="Column4617"/>
    <tableColumn id="4618" xr3:uid="{60C17904-4847-4EF1-99B2-B75805E45E15}" name="Column4618"/>
    <tableColumn id="4619" xr3:uid="{0034F494-B223-4D02-B943-90C970292385}" name="Column4619"/>
    <tableColumn id="4620" xr3:uid="{D96B7051-CCAE-49C5-8F88-D6F2A9BBCD51}" name="Column4620"/>
    <tableColumn id="4621" xr3:uid="{E2E21A34-177D-485B-8BC1-545EC788AA6E}" name="Column4621"/>
    <tableColumn id="4622" xr3:uid="{D3105316-8159-4DB8-AB23-8E4BFF72581A}" name="Column4622"/>
    <tableColumn id="4623" xr3:uid="{482C2349-E5B9-46DF-908A-E849FFD031B8}" name="Column4623"/>
    <tableColumn id="4624" xr3:uid="{E0C72644-9DCE-4026-99CB-878A7B9B8937}" name="Column4624"/>
    <tableColumn id="4625" xr3:uid="{579AF70B-2E6E-47E9-B66F-D1ED1E049697}" name="Column4625"/>
    <tableColumn id="4626" xr3:uid="{3F17AA3F-9EDA-4288-80BB-41C7A7FF740A}" name="Column4626"/>
    <tableColumn id="4627" xr3:uid="{4EDC2A2A-7E1F-4C2A-9588-C86D0279B0A9}" name="Column4627"/>
    <tableColumn id="4628" xr3:uid="{EF65E784-F2D8-4E8C-88FE-865E6390E293}" name="Column4628"/>
    <tableColumn id="4629" xr3:uid="{8EEF1290-3293-4BB8-8B71-4043F41B756B}" name="Column4629"/>
    <tableColumn id="4630" xr3:uid="{E6518B56-42E0-4253-9F34-AB5F21C60135}" name="Column4630"/>
    <tableColumn id="4631" xr3:uid="{4DF02FA9-8C49-4326-81BF-F3E4C7F5AF88}" name="Column4631"/>
    <tableColumn id="4632" xr3:uid="{1F8E260C-2056-4345-B2AB-973A9EB5F569}" name="Column4632"/>
    <tableColumn id="4633" xr3:uid="{F5210FCF-C02A-47A3-A59B-D26D12DA8278}" name="Column4633"/>
    <tableColumn id="4634" xr3:uid="{8B8B9A7C-5FFF-4D6A-ABEF-C07070EA93B4}" name="Column4634"/>
    <tableColumn id="4635" xr3:uid="{438550A5-43B0-4641-86A2-E4FA00CA000F}" name="Column4635"/>
    <tableColumn id="4636" xr3:uid="{50D1DBB6-E8D7-4379-B8F3-2C3BF1A1F597}" name="Column4636"/>
    <tableColumn id="4637" xr3:uid="{1941C1D4-BC56-4441-AC2B-608B7043507F}" name="Column4637"/>
    <tableColumn id="4638" xr3:uid="{79A1882F-D836-4937-B8E3-869412AA6363}" name="Column4638"/>
    <tableColumn id="4639" xr3:uid="{6FA02E03-32DE-4037-89D9-3D49EB06EDC8}" name="Column4639"/>
    <tableColumn id="4640" xr3:uid="{0F062A19-E970-4FF5-81E1-C47D07B92CB4}" name="Column4640"/>
    <tableColumn id="4641" xr3:uid="{2ACE16A5-7DB9-4BD8-8CD3-C5B8F0F70BF2}" name="Column4641"/>
    <tableColumn id="4642" xr3:uid="{AE05EE10-0BBD-45CB-9B04-5EE614C604AC}" name="Column4642"/>
    <tableColumn id="4643" xr3:uid="{DC83D4A9-7127-4054-AF38-2A2053C71613}" name="Column4643"/>
    <tableColumn id="4644" xr3:uid="{B249AE76-BCEE-4D34-880F-CA5983C9F523}" name="Column4644"/>
    <tableColumn id="4645" xr3:uid="{1CF742AC-F51C-481A-A6CE-C20218DE1CC5}" name="Column4645"/>
    <tableColumn id="4646" xr3:uid="{EE768F76-7C60-4DAF-BC23-3C87C85A6CE3}" name="Column4646"/>
    <tableColumn id="4647" xr3:uid="{4EFBA315-EA8A-4852-979A-D0743B85A0E8}" name="Column4647"/>
    <tableColumn id="4648" xr3:uid="{57BB7757-E3D2-42CB-A064-278B63C4DC80}" name="Column4648"/>
    <tableColumn id="4649" xr3:uid="{4F535404-CC42-400B-92AD-239349106600}" name="Column4649"/>
    <tableColumn id="4650" xr3:uid="{9C9C7106-3644-409A-9E12-7EDA1F3664E6}" name="Column4650"/>
    <tableColumn id="4651" xr3:uid="{0465946C-ED00-46BC-A328-5DF277256602}" name="Column4651"/>
    <tableColumn id="4652" xr3:uid="{9D14C101-362F-4822-B11C-9D0BC29DEC88}" name="Column4652"/>
    <tableColumn id="4653" xr3:uid="{3FD34E74-3EE7-4CE4-8C35-76D1C68D4B6F}" name="Column4653"/>
    <tableColumn id="4654" xr3:uid="{14BB2143-AFD7-433F-BA8F-39B58ED546C0}" name="Column4654"/>
    <tableColumn id="4655" xr3:uid="{6445F18B-1774-4763-9869-8F89BB92B50C}" name="Column4655"/>
    <tableColumn id="4656" xr3:uid="{A7DC3112-83C5-4D55-A01D-BC9E133587FD}" name="Column4656"/>
    <tableColumn id="4657" xr3:uid="{7781A1D2-B899-40F3-937D-B30DE21000CD}" name="Column4657"/>
    <tableColumn id="4658" xr3:uid="{03E4EEF7-1287-4698-8376-168C4E789FD4}" name="Column4658"/>
    <tableColumn id="4659" xr3:uid="{19233C4F-094D-4848-B7AF-8E250B79789B}" name="Column4659"/>
    <tableColumn id="4660" xr3:uid="{728E519A-17DA-491F-BB37-0E4F0368054E}" name="Column4660"/>
    <tableColumn id="4661" xr3:uid="{DFA4A41A-F11D-4FA5-9A15-A5DA7B221306}" name="Column4661"/>
    <tableColumn id="4662" xr3:uid="{83D9A483-30E1-4647-BAAC-21000978C751}" name="Column4662"/>
    <tableColumn id="4663" xr3:uid="{578B6F23-F02A-4B65-93C0-AA8A61DA7888}" name="Column4663"/>
    <tableColumn id="4664" xr3:uid="{B6760A78-0217-444D-B507-1A324C08EB2D}" name="Column4664"/>
    <tableColumn id="4665" xr3:uid="{387B869A-695C-4AC1-A3D2-D7EB2B63D4AA}" name="Column4665"/>
    <tableColumn id="4666" xr3:uid="{FB3DF1E0-ECB4-4155-BE3B-8B7BE81EE6DC}" name="Column4666"/>
    <tableColumn id="4667" xr3:uid="{9B9D9E56-7FBE-49ED-9128-205D33F96B57}" name="Column4667"/>
    <tableColumn id="4668" xr3:uid="{EC6A5EA6-E82B-42EB-8B82-A1308E070B07}" name="Column4668"/>
    <tableColumn id="4669" xr3:uid="{910C94DE-B705-4828-B4C8-7CB55B5EF4DC}" name="Column4669"/>
    <tableColumn id="4670" xr3:uid="{FC71224E-635E-45BF-9400-6F82ED5899D2}" name="Column4670"/>
    <tableColumn id="4671" xr3:uid="{113DB6EC-A853-4DEB-8F71-4501F3D48F10}" name="Column4671"/>
    <tableColumn id="4672" xr3:uid="{70154748-2CA6-45FE-9697-7AC0A4928137}" name="Column4672"/>
    <tableColumn id="4673" xr3:uid="{29CA02A8-0266-4780-8527-C066A85E8493}" name="Column4673"/>
    <tableColumn id="4674" xr3:uid="{10E95EE2-6932-4FF4-8B78-63B32424C083}" name="Column4674"/>
    <tableColumn id="4675" xr3:uid="{FF0F2C12-D688-4F60-9D65-C26432A16810}" name="Column4675"/>
    <tableColumn id="4676" xr3:uid="{2DE1FF86-C890-433D-B4C9-E43839C86792}" name="Column4676"/>
    <tableColumn id="4677" xr3:uid="{B98D9244-F00E-4541-8D16-28BE6ACD61DC}" name="Column4677"/>
    <tableColumn id="4678" xr3:uid="{A1125298-9D59-44D0-98F8-7D43655C944E}" name="Column4678"/>
    <tableColumn id="4679" xr3:uid="{06E4A5D6-2FED-4E90-B021-7168CC9E0FC7}" name="Column4679"/>
    <tableColumn id="4680" xr3:uid="{348EC06D-D982-444D-9C48-D5E6818E4455}" name="Column4680"/>
    <tableColumn id="4681" xr3:uid="{D57CEEEE-E5B4-449E-96AC-72D1517FE910}" name="Column4681"/>
    <tableColumn id="4682" xr3:uid="{1C781E95-824F-4027-9D54-E8399ABFEC4F}" name="Column4682"/>
    <tableColumn id="4683" xr3:uid="{1CE3F28C-6CE2-476E-9498-B417E75D7CEA}" name="Column4683"/>
    <tableColumn id="4684" xr3:uid="{9CC6A9D5-DB70-4F4B-A2A9-103566AC7D07}" name="Column4684"/>
    <tableColumn id="4685" xr3:uid="{325E8FEC-5DD2-4CDC-85F0-9DF783D5A96D}" name="Column4685"/>
    <tableColumn id="4686" xr3:uid="{9157BDB3-E115-417F-9DD3-486FDBE4057A}" name="Column4686"/>
    <tableColumn id="4687" xr3:uid="{503865A2-0090-414E-91B0-4E8C156C1D03}" name="Column4687"/>
    <tableColumn id="4688" xr3:uid="{69487986-8685-462B-B547-921BB3147323}" name="Column4688"/>
    <tableColumn id="4689" xr3:uid="{1F8A9759-8129-41A2-9839-9580AA56F6FF}" name="Column4689"/>
    <tableColumn id="4690" xr3:uid="{C1DA17BB-E7A9-40A5-84E2-68B62174771A}" name="Column4690"/>
    <tableColumn id="4691" xr3:uid="{77B250A1-12FF-473C-A6A2-B2FA76335722}" name="Column4691"/>
    <tableColumn id="4692" xr3:uid="{A191B4B1-B754-4715-8CEA-8DD0F79D897C}" name="Column4692"/>
    <tableColumn id="4693" xr3:uid="{8B912837-2FC6-4403-BFC8-1CE2FDA97C6B}" name="Column4693"/>
    <tableColumn id="4694" xr3:uid="{E8000CC2-E488-48F1-9560-DA6346599FFB}" name="Column4694"/>
    <tableColumn id="4695" xr3:uid="{834A46A1-7A95-4E70-A576-696723B45C5B}" name="Column4695"/>
    <tableColumn id="4696" xr3:uid="{54D72DF9-4380-4357-A778-C8DBFFB72D3B}" name="Column4696"/>
    <tableColumn id="4697" xr3:uid="{D51A71A5-0121-4334-BD82-91B40DBC8D02}" name="Column4697"/>
    <tableColumn id="4698" xr3:uid="{4BEB1DCB-0311-4A5D-9437-E77DAD14C4EC}" name="Column4698"/>
    <tableColumn id="4699" xr3:uid="{050887E6-673A-4455-932E-0818969BD84B}" name="Column4699"/>
    <tableColumn id="4700" xr3:uid="{8A40930B-CC64-4531-AC07-7AA91275E084}" name="Column4700"/>
    <tableColumn id="4701" xr3:uid="{58D476BE-EB56-44AC-A5DA-31E7CF25184B}" name="Column4701"/>
    <tableColumn id="4702" xr3:uid="{63F236C0-01FE-475D-BBF7-5F2E4F2F44F2}" name="Column4702"/>
    <tableColumn id="4703" xr3:uid="{2A2BD4FD-6090-4017-BEC0-93D7AC523002}" name="Column4703"/>
    <tableColumn id="4704" xr3:uid="{F0A13FFC-9B2D-43DB-9E7D-1F42E98DB6AD}" name="Column4704"/>
    <tableColumn id="4705" xr3:uid="{012578FA-0209-4CBB-80A7-138FE7C3D67D}" name="Column4705"/>
    <tableColumn id="4706" xr3:uid="{0685BE1C-2FC9-4E29-B512-D33A580257FA}" name="Column4706"/>
    <tableColumn id="4707" xr3:uid="{282EEA8E-9C68-41E7-A99E-570EFD42C6AB}" name="Column4707"/>
    <tableColumn id="4708" xr3:uid="{A76E96A2-88D7-4DBA-9C50-5CF62F3476F0}" name="Column4708"/>
    <tableColumn id="4709" xr3:uid="{1664670D-9D0F-43A0-9E9B-31839283D76E}" name="Column4709"/>
    <tableColumn id="4710" xr3:uid="{6E69B240-84E6-4EB8-917A-44D80F80F9A2}" name="Column4710"/>
    <tableColumn id="4711" xr3:uid="{EFF446F7-7D8E-41A6-8C6C-E9A16841D7A6}" name="Column4711"/>
    <tableColumn id="4712" xr3:uid="{EF71DF76-996F-40DF-BF2F-84A356AF949D}" name="Column4712"/>
    <tableColumn id="4713" xr3:uid="{F9ADAAF5-9EB0-4958-9672-6DC2BCC64114}" name="Column4713"/>
    <tableColumn id="4714" xr3:uid="{5BDAF9EB-3C0B-4FA9-BEC0-0A5CC6B5F98C}" name="Column4714"/>
    <tableColumn id="4715" xr3:uid="{C42BC2C0-5AAB-4B27-9A54-747A13DFCE6C}" name="Column4715"/>
    <tableColumn id="4716" xr3:uid="{42453835-DBD4-41BA-9E3B-41D91D37A1EE}" name="Column4716"/>
    <tableColumn id="4717" xr3:uid="{9162B4DF-9302-4DC3-B70A-9D93D639FE96}" name="Column4717"/>
    <tableColumn id="4718" xr3:uid="{3544CEFE-68EB-4656-8A3C-BAE87307B38B}" name="Column4718"/>
    <tableColumn id="4719" xr3:uid="{1FA9544E-6A29-4213-9B1E-9DF8B6869D91}" name="Column4719"/>
    <tableColumn id="4720" xr3:uid="{56221519-9625-400F-BF17-1DEB20EFBBA8}" name="Column4720"/>
    <tableColumn id="4721" xr3:uid="{BFA0E16D-12DF-4A37-869B-2097A83280F0}" name="Column4721"/>
    <tableColumn id="4722" xr3:uid="{F6300338-1451-473B-9064-B0A22E093B38}" name="Column4722"/>
    <tableColumn id="4723" xr3:uid="{D8E66151-A11B-4105-A674-A4B9A3FFDB0B}" name="Column4723"/>
    <tableColumn id="4724" xr3:uid="{ADDACDC9-A83A-414A-AE32-661233650602}" name="Column4724"/>
    <tableColumn id="4725" xr3:uid="{BA6E7B43-C595-4480-90CC-48312B213281}" name="Column4725"/>
    <tableColumn id="4726" xr3:uid="{8D948AE8-0B3B-4C10-825B-2AC4813D707C}" name="Column4726"/>
    <tableColumn id="4727" xr3:uid="{0CF96CB4-F1A1-44F6-898F-84CDA7A6EB5A}" name="Column4727"/>
    <tableColumn id="4728" xr3:uid="{7366643A-E1F1-4F41-81E3-40A1F35186AD}" name="Column4728"/>
    <tableColumn id="4729" xr3:uid="{55DF15DF-A202-4E61-8F4D-17BAFCF56E89}" name="Column4729"/>
    <tableColumn id="4730" xr3:uid="{C9A1F251-5535-478C-A048-4543588FC4EE}" name="Column4730"/>
    <tableColumn id="4731" xr3:uid="{156E9FB3-DC27-4889-866B-655B4B2C0BCF}" name="Column4731"/>
    <tableColumn id="4732" xr3:uid="{FB4A5319-B192-463C-B71D-FA820AE61594}" name="Column4732"/>
    <tableColumn id="4733" xr3:uid="{D1E6595B-D3BF-4BF3-A4E2-BB5306BA5BBD}" name="Column4733"/>
    <tableColumn id="4734" xr3:uid="{08B8631B-D332-4D2E-8718-36C8A052DE1F}" name="Column4734"/>
    <tableColumn id="4735" xr3:uid="{48CF7230-58AD-4E15-89A4-7E30A9C458FC}" name="Column4735"/>
    <tableColumn id="4736" xr3:uid="{D23DED6A-B095-418C-88CF-4B9EA2FB4CD3}" name="Column4736"/>
    <tableColumn id="4737" xr3:uid="{372FE337-C9CB-4ACC-A9DD-F58AE31781B6}" name="Column4737"/>
    <tableColumn id="4738" xr3:uid="{6518729C-D28C-4375-8895-5AB459435EB1}" name="Column4738"/>
    <tableColumn id="4739" xr3:uid="{0A4B3848-8B1F-41EB-AEFB-0D96328484BB}" name="Column4739"/>
    <tableColumn id="4740" xr3:uid="{B7755030-F209-40FE-A18C-D87237CEB65F}" name="Column4740"/>
    <tableColumn id="4741" xr3:uid="{0B4C4BA2-2C54-4F1F-B025-08FEDE768B70}" name="Column4741"/>
    <tableColumn id="4742" xr3:uid="{DF617CAA-DE4E-4F91-AC7C-060E29E1D35C}" name="Column4742"/>
    <tableColumn id="4743" xr3:uid="{AEB5DC2A-F44C-415E-B16C-5C94ECC95563}" name="Column4743"/>
    <tableColumn id="4744" xr3:uid="{300BCED3-0757-4B42-9A0D-CF9050616063}" name="Column4744"/>
    <tableColumn id="4745" xr3:uid="{7C3C6BAF-CF65-4DFB-BFCC-DC40999AA876}" name="Column4745"/>
    <tableColumn id="4746" xr3:uid="{5E524534-AF46-4EAA-A497-B6914216113E}" name="Column4746"/>
    <tableColumn id="4747" xr3:uid="{3825D27B-363B-4D94-92F7-3B8ECC332C90}" name="Column4747"/>
    <tableColumn id="4748" xr3:uid="{567D4CA1-5047-4058-8F6D-EE2783B134E4}" name="Column4748"/>
    <tableColumn id="4749" xr3:uid="{42EC6A57-2492-4393-8DD8-D6A9E2A20B79}" name="Column4749"/>
    <tableColumn id="4750" xr3:uid="{4A5CF1EB-7DAA-46B5-A46D-3C69EE42A037}" name="Column4750"/>
    <tableColumn id="4751" xr3:uid="{FA3A336C-88BC-48D5-8DE9-F83DC067A4D7}" name="Column4751"/>
    <tableColumn id="4752" xr3:uid="{EBF245A4-CD8D-4D39-8CB4-7B01BAB10638}" name="Column4752"/>
    <tableColumn id="4753" xr3:uid="{ECFFECDF-C09B-434D-987C-838F17E258D2}" name="Column4753"/>
    <tableColumn id="4754" xr3:uid="{FC223F65-A948-48A0-B82C-B8A9CB6FEFB3}" name="Column4754"/>
    <tableColumn id="4755" xr3:uid="{8E14C070-7D9A-458A-9FD2-CC2D3AAB70CE}" name="Column4755"/>
    <tableColumn id="4756" xr3:uid="{949E761B-1437-4678-BC1B-4D6E5F5166C2}" name="Column4756"/>
    <tableColumn id="4757" xr3:uid="{B037D70D-9B2E-4912-9033-30C49C1D38CE}" name="Column4757"/>
    <tableColumn id="4758" xr3:uid="{19747BFD-3048-4CD8-92B3-697F345B23CB}" name="Column4758"/>
    <tableColumn id="4759" xr3:uid="{08A10EA1-47B2-4C2E-9426-335E8BE3258B}" name="Column4759"/>
    <tableColumn id="4760" xr3:uid="{950EEADD-7994-41EC-BF67-CC655D19A634}" name="Column4760"/>
    <tableColumn id="4761" xr3:uid="{92D27958-D1E7-4C14-9906-E22EC8ADC4F2}" name="Column4761"/>
    <tableColumn id="4762" xr3:uid="{C5DA0727-B305-470B-B586-80687D4FBAEF}" name="Column4762"/>
    <tableColumn id="4763" xr3:uid="{91338715-6B87-45C3-9C99-4C97D57C953E}" name="Column4763"/>
    <tableColumn id="4764" xr3:uid="{BCD5641F-AC6F-486C-9955-B07199EC6367}" name="Column4764"/>
    <tableColumn id="4765" xr3:uid="{7001D0D6-CF1C-49AA-82E2-90398E57F1B5}" name="Column4765"/>
    <tableColumn id="4766" xr3:uid="{CBD6D5DB-FD64-49FB-863C-192AFCBF06C4}" name="Column4766"/>
    <tableColumn id="4767" xr3:uid="{4EC5C866-D47B-4DAE-92F4-234414085CE4}" name="Column4767"/>
    <tableColumn id="4768" xr3:uid="{34C81701-0CF9-41F5-B087-D7BE0EF7FF99}" name="Column4768"/>
    <tableColumn id="4769" xr3:uid="{942F6431-B3D1-418C-B000-9CB57B49E6AE}" name="Column4769"/>
    <tableColumn id="4770" xr3:uid="{517D9063-AFDA-4B46-B4DF-CE6F404510FB}" name="Column4770"/>
    <tableColumn id="4771" xr3:uid="{C4C11C0D-7BC3-4909-8B8F-B64C4044529C}" name="Column4771"/>
    <tableColumn id="4772" xr3:uid="{53EC530D-5D94-4346-A355-174916EA399D}" name="Column4772"/>
    <tableColumn id="4773" xr3:uid="{F3A61647-6C13-4191-B12B-580E83FE6B30}" name="Column4773"/>
    <tableColumn id="4774" xr3:uid="{2891054F-38BD-4FC6-BD78-E64546B7E387}" name="Column4774"/>
    <tableColumn id="4775" xr3:uid="{3746F5B0-1BF6-410A-9492-53D80D1675E9}" name="Column4775"/>
    <tableColumn id="4776" xr3:uid="{0E4ECB82-E36C-4A8A-860F-61F42BC2E7AA}" name="Column4776"/>
    <tableColumn id="4777" xr3:uid="{F61CE2F7-FC82-45BC-B6AF-65874B8E1544}" name="Column4777"/>
    <tableColumn id="4778" xr3:uid="{5915AC4E-5960-4052-AE29-2E446ADE327D}" name="Column4778"/>
    <tableColumn id="4779" xr3:uid="{A9689460-A4E4-4EC9-AFF0-2AC86AE1FAF8}" name="Column4779"/>
    <tableColumn id="4780" xr3:uid="{7CC2B6AB-CB26-43FF-81B9-2E5587EBD5F7}" name="Column4780"/>
    <tableColumn id="4781" xr3:uid="{C4E41ACC-BAAC-49A9-9102-4CFCAD51AEC1}" name="Column4781"/>
    <tableColumn id="4782" xr3:uid="{D288DA53-AFF6-4EA7-975C-18029DAA0491}" name="Column4782"/>
    <tableColumn id="4783" xr3:uid="{5B313555-92FC-4ED9-B35F-0731CCF947F9}" name="Column4783"/>
    <tableColumn id="4784" xr3:uid="{473F3FE1-63B3-4937-B551-932FA5A81BEF}" name="Column4784"/>
    <tableColumn id="4785" xr3:uid="{F23EE7EB-1674-4437-B314-6D559417BD7E}" name="Column4785"/>
    <tableColumn id="4786" xr3:uid="{20A9EEE6-7AA9-4705-B3B6-CE0E976A61BE}" name="Column4786"/>
    <tableColumn id="4787" xr3:uid="{F09C05EA-C35A-45AC-83EF-D1454E8C7A46}" name="Column4787"/>
    <tableColumn id="4788" xr3:uid="{69816546-A52A-437F-AA2B-6F092D546F6D}" name="Column4788"/>
    <tableColumn id="4789" xr3:uid="{11579ABF-FEAD-4D8B-88D9-B42296C3E950}" name="Column4789"/>
    <tableColumn id="4790" xr3:uid="{BBC31C02-6BAF-4407-AAB4-7E28E081E26E}" name="Column4790"/>
    <tableColumn id="4791" xr3:uid="{1CB121F8-F793-4C68-8D38-3D4256EDB7BD}" name="Column4791"/>
    <tableColumn id="4792" xr3:uid="{A5D002F2-8846-458F-A5BF-2A4D5DD4C64A}" name="Column4792"/>
    <tableColumn id="4793" xr3:uid="{C3F9C9AD-010D-4FC9-A460-968BFD11DB2C}" name="Column4793"/>
    <tableColumn id="4794" xr3:uid="{E3676368-B0FA-4D84-90C9-A805AAC150FA}" name="Column4794"/>
    <tableColumn id="4795" xr3:uid="{47F22357-AA48-4FB6-8221-FA8BE15564F2}" name="Column4795"/>
    <tableColumn id="4796" xr3:uid="{E2E875C0-A1BF-4ED7-A6B0-6F0FB07E078A}" name="Column4796"/>
    <tableColumn id="4797" xr3:uid="{7E7CBC20-F068-4F48-8184-112A0C1B27AD}" name="Column4797"/>
    <tableColumn id="4798" xr3:uid="{942ADF49-54A1-4589-BB4C-CDBC0D6A82E3}" name="Column4798"/>
    <tableColumn id="4799" xr3:uid="{12CAC47C-2488-4085-8BFF-139802EAB930}" name="Column4799"/>
    <tableColumn id="4800" xr3:uid="{0E21C3FB-881B-4E84-BE00-8F30D03567CF}" name="Column4800"/>
    <tableColumn id="4801" xr3:uid="{4A299B6D-4240-4F5E-868B-3C8D9A3703EA}" name="Column4801"/>
    <tableColumn id="4802" xr3:uid="{FE66FF71-4824-414C-AEC8-51D65C94A21B}" name="Column4802"/>
    <tableColumn id="4803" xr3:uid="{E1A6356B-FF5A-4DA5-A335-DB324406D047}" name="Column4803"/>
    <tableColumn id="4804" xr3:uid="{9F69EC40-ACBE-4107-92FF-C473C3EFC0F6}" name="Column4804"/>
    <tableColumn id="4805" xr3:uid="{D7792911-8F8B-4D39-97D1-87E7D9E85817}" name="Column4805"/>
    <tableColumn id="4806" xr3:uid="{3998FF61-2B9E-4918-BF1F-907C19F01A50}" name="Column4806"/>
    <tableColumn id="4807" xr3:uid="{B8AF3A7C-07B9-4A76-AF47-FF11A2BBE0F6}" name="Column4807"/>
    <tableColumn id="4808" xr3:uid="{EA42D195-421B-410D-866C-91C329080684}" name="Column4808"/>
    <tableColumn id="4809" xr3:uid="{64183A32-9D45-444B-936A-BB4ADF742B85}" name="Column4809"/>
    <tableColumn id="4810" xr3:uid="{AE4C8D9A-EB41-4286-AB48-7203AF7F07BE}" name="Column4810"/>
    <tableColumn id="4811" xr3:uid="{C5E55619-862E-4463-B38A-DE6D652D889D}" name="Column4811"/>
    <tableColumn id="4812" xr3:uid="{1B0ECB9C-022E-4687-989D-BA922BDBCC4B}" name="Column4812"/>
    <tableColumn id="4813" xr3:uid="{9A45C05D-CB1C-42E9-83F7-D41A5CCFE228}" name="Column4813"/>
    <tableColumn id="4814" xr3:uid="{12168D53-EEA5-4DE6-A53D-83E0259C9862}" name="Column4814"/>
    <tableColumn id="4815" xr3:uid="{9E76D5D3-F825-4658-B3E2-0E9F3A63C712}" name="Column4815"/>
    <tableColumn id="4816" xr3:uid="{90388F0C-663C-47D3-96A3-9B22F9C5B79F}" name="Column4816"/>
    <tableColumn id="4817" xr3:uid="{93A94958-2732-4304-B63F-F2148664CB5A}" name="Column4817"/>
    <tableColumn id="4818" xr3:uid="{9388B80B-0F4F-4A9A-BCF8-177B24689686}" name="Column4818"/>
    <tableColumn id="4819" xr3:uid="{C2ED4565-2CDB-45C1-A98A-B0B336D19D9F}" name="Column4819"/>
    <tableColumn id="4820" xr3:uid="{C673534D-1682-4B3D-9CD5-28190A0C3A81}" name="Column4820"/>
    <tableColumn id="4821" xr3:uid="{4764D728-9C8F-4B1D-846A-41EE79C048F5}" name="Column4821"/>
    <tableColumn id="4822" xr3:uid="{53559998-8981-45E3-BD29-A0FC87AB096A}" name="Column4822"/>
    <tableColumn id="4823" xr3:uid="{943626AE-6F7A-4503-BA01-BA368274A297}" name="Column4823"/>
    <tableColumn id="4824" xr3:uid="{55FF79E3-1BA1-4E03-99CF-5FBC4F9C0CA8}" name="Column4824"/>
    <tableColumn id="4825" xr3:uid="{5EDE852E-0E44-4211-B5E5-427303C5CB92}" name="Column4825"/>
    <tableColumn id="4826" xr3:uid="{6493689F-5D2F-4433-A1D4-66093F7600A5}" name="Column4826"/>
    <tableColumn id="4827" xr3:uid="{E3D2FE32-E280-4977-B803-C8E279E36735}" name="Column4827"/>
    <tableColumn id="4828" xr3:uid="{6A36F658-D7C5-4D09-AEA3-428161CE9E87}" name="Column4828"/>
    <tableColumn id="4829" xr3:uid="{D5A7480B-940C-42D9-84B6-E751F2D5C177}" name="Column4829"/>
    <tableColumn id="4830" xr3:uid="{F857DC79-C5D4-4FFF-95EE-04F54F52FE8C}" name="Column4830"/>
    <tableColumn id="4831" xr3:uid="{52DE09AF-85F7-4C1D-982D-F1D153395247}" name="Column4831"/>
    <tableColumn id="4832" xr3:uid="{67E6AD6B-5E05-4C64-A42A-424A5129DB4D}" name="Column4832"/>
    <tableColumn id="4833" xr3:uid="{165ED6DB-0D20-4378-8727-C825600D4E88}" name="Column4833"/>
    <tableColumn id="4834" xr3:uid="{26F90E06-3CC8-4A88-BBEC-C380EEA1DFBA}" name="Column4834"/>
    <tableColumn id="4835" xr3:uid="{A5B6A7B0-F880-42D3-93CE-CA208312F3E6}" name="Column4835"/>
    <tableColumn id="4836" xr3:uid="{68B84EF8-462B-413B-B13B-6C6510613667}" name="Column4836"/>
    <tableColumn id="4837" xr3:uid="{580A39A9-310B-4AF0-84E4-79E8F57D6887}" name="Column4837"/>
    <tableColumn id="4838" xr3:uid="{3EB6E2C2-3FD4-4B7E-A94B-80FB77035A6C}" name="Column4838"/>
    <tableColumn id="4839" xr3:uid="{6BDDD12C-6086-40F2-98C6-DF1217E63108}" name="Column4839"/>
    <tableColumn id="4840" xr3:uid="{C514D428-8A69-4A5D-AF12-96D3E4720F13}" name="Column4840"/>
    <tableColumn id="4841" xr3:uid="{414045FD-DD46-41C7-9185-B5D48B2BAB63}" name="Column4841"/>
    <tableColumn id="4842" xr3:uid="{70FE7217-8BBB-44B8-9323-10CDD0B27A25}" name="Column4842"/>
    <tableColumn id="4843" xr3:uid="{22B48C2B-2204-4908-9E82-5C54CDBA4D9B}" name="Column4843"/>
    <tableColumn id="4844" xr3:uid="{FE0D691E-5446-4A19-8EBC-E2F99FB3F9EB}" name="Column4844"/>
    <tableColumn id="4845" xr3:uid="{6852B72D-E76F-4CF4-AE99-E4FF216BB9C2}" name="Column4845"/>
    <tableColumn id="4846" xr3:uid="{F3ED7DF3-D072-4671-B803-4C32FC6AA60D}" name="Column4846"/>
    <tableColumn id="4847" xr3:uid="{761172CE-0871-404C-B7AB-EE6830A22204}" name="Column4847"/>
    <tableColumn id="4848" xr3:uid="{E7F073AD-E552-4F72-8CE3-4C5C64A0936B}" name="Column4848"/>
    <tableColumn id="4849" xr3:uid="{E327075E-81E0-44FC-9C4B-0823316854BF}" name="Column4849"/>
    <tableColumn id="4850" xr3:uid="{B86F680F-ACB2-4F95-AF35-B5728F0F6576}" name="Column4850"/>
    <tableColumn id="4851" xr3:uid="{BB4F8873-4270-40C3-84A5-5752A25E08C9}" name="Column4851"/>
    <tableColumn id="4852" xr3:uid="{A072BD7E-1AA6-4BD9-A571-FF81DCBE9E96}" name="Column4852"/>
    <tableColumn id="4853" xr3:uid="{229096D6-6015-4CA4-927A-089BB0114C47}" name="Column4853"/>
    <tableColumn id="4854" xr3:uid="{51E9C233-6358-44CC-9744-6C9F05B96EFC}" name="Column4854"/>
    <tableColumn id="4855" xr3:uid="{5F6C4CAC-96ED-408A-BCE4-FF679E2E5AD1}" name="Column4855"/>
    <tableColumn id="4856" xr3:uid="{689A96E3-3648-458E-AC8A-E77644D6E643}" name="Column4856"/>
    <tableColumn id="4857" xr3:uid="{98FCB3D8-E1F8-4579-A893-B52B2FDF2EE1}" name="Column4857"/>
    <tableColumn id="4858" xr3:uid="{4F9D49E7-23C8-48B0-AB6F-AF9D9AD8E20B}" name="Column4858"/>
    <tableColumn id="4859" xr3:uid="{31A3ABBD-7A44-4C44-B48D-B00F181DEA22}" name="Column4859"/>
    <tableColumn id="4860" xr3:uid="{34E7A7A1-7EC5-45B2-8A0E-8793D9E10CAA}" name="Column4860"/>
    <tableColumn id="4861" xr3:uid="{FEFA0DC5-BC95-4B33-9055-D24C5968EBD4}" name="Column4861"/>
    <tableColumn id="4862" xr3:uid="{6579B73E-5082-4E12-B94A-437468FD5047}" name="Column4862"/>
    <tableColumn id="4863" xr3:uid="{E8A815CF-0A79-48F2-ACE9-7F69CDD6561D}" name="Column4863"/>
    <tableColumn id="4864" xr3:uid="{52A20921-8A2C-4323-B974-32A7ABC88021}" name="Column4864"/>
    <tableColumn id="4865" xr3:uid="{80DE9EFF-06A6-4BD1-B793-6272B53DF25E}" name="Column4865"/>
    <tableColumn id="4866" xr3:uid="{52556258-03FC-447D-B28D-BCA8AC02D658}" name="Column4866"/>
    <tableColumn id="4867" xr3:uid="{C23E9741-8597-491A-A41A-53A065CC6E35}" name="Column4867"/>
    <tableColumn id="4868" xr3:uid="{4CC1389F-C953-4C43-B9D9-82190F56E6B8}" name="Column4868"/>
    <tableColumn id="4869" xr3:uid="{0EBDB759-73BD-4412-AF50-4515D9CC15C6}" name="Column4869"/>
    <tableColumn id="4870" xr3:uid="{1B6B2BE2-02E4-4CED-B7B0-D31E6953BE98}" name="Column4870"/>
    <tableColumn id="4871" xr3:uid="{E266AE49-E614-44CB-A18C-2A88A575F4E9}" name="Column4871"/>
    <tableColumn id="4872" xr3:uid="{D14C7A50-C8D6-48D9-8761-BA1FC52013EA}" name="Column4872"/>
    <tableColumn id="4873" xr3:uid="{2AE7AD97-56B1-49CF-BF97-B41E52B96023}" name="Column4873"/>
    <tableColumn id="4874" xr3:uid="{035F2136-9FCC-49EA-821E-E8FEBE4CE628}" name="Column4874"/>
    <tableColumn id="4875" xr3:uid="{19741EA0-8174-48F1-B6B3-1448B55C0691}" name="Column4875"/>
    <tableColumn id="4876" xr3:uid="{5E0583C1-D39D-42E0-A356-B08059CB1FB1}" name="Column4876"/>
    <tableColumn id="4877" xr3:uid="{D376A6F5-904E-4B39-859A-2F3D8F118895}" name="Column4877"/>
    <tableColumn id="4878" xr3:uid="{920A3F72-60C5-4250-9E95-886083EB9D25}" name="Column4878"/>
    <tableColumn id="4879" xr3:uid="{34D96CE3-BEAA-4439-AB3D-39E54DDEEE2A}" name="Column4879"/>
    <tableColumn id="4880" xr3:uid="{BDCD620E-9923-4BB5-9E33-29B8FBA3C4AB}" name="Column4880"/>
    <tableColumn id="4881" xr3:uid="{F6D44804-1F68-48F9-AB0C-CCDBC9084D9E}" name="Column4881"/>
    <tableColumn id="4882" xr3:uid="{004CA878-6836-4A24-B4E1-863290C14E82}" name="Column4882"/>
    <tableColumn id="4883" xr3:uid="{1CEA8A5C-8749-4106-985A-78D6CAB8F231}" name="Column4883"/>
    <tableColumn id="4884" xr3:uid="{24EE1766-BAAD-4DC2-8867-B47254B39EF9}" name="Column4884"/>
    <tableColumn id="4885" xr3:uid="{9B10788B-2D72-4EF7-9158-D522180F0364}" name="Column4885"/>
    <tableColumn id="4886" xr3:uid="{3FF2C53F-DFC6-4B76-8C8C-EB0C7640F447}" name="Column4886"/>
    <tableColumn id="4887" xr3:uid="{716E0A2D-F836-42D5-AC42-B1FD49B74108}" name="Column4887"/>
    <tableColumn id="4888" xr3:uid="{3BF67719-2B57-4BEA-9026-FE2B787342F8}" name="Column4888"/>
    <tableColumn id="4889" xr3:uid="{922795D8-23B3-428D-9D62-8FBDD7E6CE46}" name="Column4889"/>
    <tableColumn id="4890" xr3:uid="{7AC2878C-AA66-404D-8789-BE5732DA6CCD}" name="Column4890"/>
    <tableColumn id="4891" xr3:uid="{A04C21EF-3802-4EC6-9316-17D53A1B5E94}" name="Column4891"/>
    <tableColumn id="4892" xr3:uid="{79CD63A8-9F54-49CB-9E8C-CD9DB77913BC}" name="Column4892"/>
    <tableColumn id="4893" xr3:uid="{F19F6195-9050-4C8B-99B7-B3955E080FEB}" name="Column4893"/>
    <tableColumn id="4894" xr3:uid="{F27A89CD-BCF5-40A8-8F12-EC3EFDDD40C3}" name="Column4894"/>
    <tableColumn id="4895" xr3:uid="{734792B9-0B91-45F1-9C75-A1B68DB418BF}" name="Column4895"/>
    <tableColumn id="4896" xr3:uid="{3BE668BE-6BC2-41D5-AD4F-ED9BCB3B9B66}" name="Column4896"/>
    <tableColumn id="4897" xr3:uid="{9BBD729F-EDFF-4589-B9A2-F79A58AAF89B}" name="Column4897"/>
    <tableColumn id="4898" xr3:uid="{F6F092EE-4BC7-45E8-8BAA-B67BDEF196F6}" name="Column4898"/>
    <tableColumn id="4899" xr3:uid="{70F165E7-2C62-45EB-A757-7ACCF0C4A315}" name="Column4899"/>
    <tableColumn id="4900" xr3:uid="{963D9F86-7E48-435F-8039-FBBFF16E4164}" name="Column4900"/>
    <tableColumn id="4901" xr3:uid="{7758623D-3C5A-4C16-9030-A5DDA7A1A584}" name="Column4901"/>
    <tableColumn id="4902" xr3:uid="{6067B7AD-80A9-4A56-B60C-8CFB7BABA3B9}" name="Column4902"/>
    <tableColumn id="4903" xr3:uid="{BA8D123C-4F63-4EA1-BC85-BBBFABE2FBF3}" name="Column4903"/>
    <tableColumn id="4904" xr3:uid="{E5716CB5-B9E2-487E-8BA3-D40ABDDA9C24}" name="Column4904"/>
    <tableColumn id="4905" xr3:uid="{4A9BD726-B1C2-4218-B619-24741D1A556B}" name="Column4905"/>
    <tableColumn id="4906" xr3:uid="{AE01C018-C4C9-4193-9938-561B798125F9}" name="Column4906"/>
    <tableColumn id="4907" xr3:uid="{282B8E91-F82C-4682-A41E-3E97B1DA0591}" name="Column4907"/>
    <tableColumn id="4908" xr3:uid="{E08DBE76-85D1-43CF-85CD-63596DF64227}" name="Column4908"/>
    <tableColumn id="4909" xr3:uid="{62F7623B-CB3A-41DE-B50C-95A6BF0CA3DA}" name="Column4909"/>
    <tableColumn id="4910" xr3:uid="{315D6829-BF52-43CD-A035-F64E51010978}" name="Column4910"/>
    <tableColumn id="4911" xr3:uid="{021F398C-70EE-43C4-ADDC-894DEDEF8FA6}" name="Column4911"/>
    <tableColumn id="4912" xr3:uid="{FF1AFD2F-FED7-4DA8-80B7-B5770BD0E5A8}" name="Column4912"/>
    <tableColumn id="4913" xr3:uid="{B8A476D5-014E-4241-B3E8-48B2109E394F}" name="Column4913"/>
    <tableColumn id="4914" xr3:uid="{FF2AAE15-4F69-48B4-8F35-241078EAABE7}" name="Column4914"/>
    <tableColumn id="4915" xr3:uid="{4481AA6A-1C1F-4119-B5D9-B3393029A800}" name="Column4915"/>
    <tableColumn id="4916" xr3:uid="{53A06A17-FF02-4BF6-8520-448B8E536CC5}" name="Column4916"/>
    <tableColumn id="4917" xr3:uid="{3FC81820-6515-4F89-B8A5-8C9C4CBBDA55}" name="Column4917"/>
    <tableColumn id="4918" xr3:uid="{165F7CC5-D41B-4D14-A204-A496EABB1F6A}" name="Column4918"/>
    <tableColumn id="4919" xr3:uid="{DB955DAD-F975-4209-BBCC-827DD1E67A81}" name="Column4919"/>
    <tableColumn id="4920" xr3:uid="{8FD2FCE8-2A01-4ACA-B6CE-A7AC0F8DC038}" name="Column4920"/>
    <tableColumn id="4921" xr3:uid="{F2FC8542-1B02-4F67-9E0A-6E4BFEBE546F}" name="Column4921"/>
    <tableColumn id="4922" xr3:uid="{02CF6293-4D58-4CF4-BE04-607252E5E153}" name="Column4922"/>
    <tableColumn id="4923" xr3:uid="{19DE041F-2A07-426F-B51B-1BB37A3EEE77}" name="Column4923"/>
    <tableColumn id="4924" xr3:uid="{BEE3DA38-730B-427B-B55D-0CCAD0EE2413}" name="Column4924"/>
    <tableColumn id="4925" xr3:uid="{00602395-2FC3-4456-809B-BB9C5599CC89}" name="Column4925"/>
    <tableColumn id="4926" xr3:uid="{787E866C-0974-45FC-89DA-40A246DB8C07}" name="Column4926"/>
    <tableColumn id="4927" xr3:uid="{223E2FC1-B286-40EC-811F-19DE3348D3B0}" name="Column4927"/>
    <tableColumn id="4928" xr3:uid="{AEC8D111-E3C1-44B6-8329-938DDC11CA29}" name="Column4928"/>
    <tableColumn id="4929" xr3:uid="{4803F7BA-C530-4FBC-8C17-B773265DFA97}" name="Column4929"/>
    <tableColumn id="4930" xr3:uid="{B1283BFE-CA97-498D-8850-C88EE6E30ED4}" name="Column4930"/>
    <tableColumn id="4931" xr3:uid="{ADC61DC9-CB5D-48E0-A523-3976E85BCDA4}" name="Column4931"/>
    <tableColumn id="4932" xr3:uid="{BFF49A4A-6FB9-4ED3-8C9E-7BD2E393987F}" name="Column4932"/>
    <tableColumn id="4933" xr3:uid="{5494A0C7-F42E-4C85-8E5A-49E4EA7F6625}" name="Column4933"/>
    <tableColumn id="4934" xr3:uid="{93C65E51-4C7A-4C4B-8EE8-348198F0FB70}" name="Column4934"/>
    <tableColumn id="4935" xr3:uid="{A184F299-30BC-4114-B293-199C89874515}" name="Column4935"/>
    <tableColumn id="4936" xr3:uid="{42DD41AD-B8CD-48B6-A653-0400B8F93317}" name="Column4936"/>
    <tableColumn id="4937" xr3:uid="{5229E884-2540-4A8E-A5D5-1B9D21B2C18F}" name="Column4937"/>
    <tableColumn id="4938" xr3:uid="{BBE72F86-CB70-4D59-85C4-B213BCE731B0}" name="Column4938"/>
    <tableColumn id="4939" xr3:uid="{2C1C5D0E-0052-41E7-A1FA-3C9654B5BE7E}" name="Column4939"/>
    <tableColumn id="4940" xr3:uid="{3172044A-D29A-475F-B526-63DFC52A8CA6}" name="Column4940"/>
    <tableColumn id="4941" xr3:uid="{368571E2-DDE0-49C5-BD77-6D91AFC78EF9}" name="Column4941"/>
    <tableColumn id="4942" xr3:uid="{07EDE61B-255E-4A0A-BC15-2F5B321BCB13}" name="Column4942"/>
    <tableColumn id="4943" xr3:uid="{F9E71D2A-C6EA-491E-A6FA-4B8F2985C9D0}" name="Column4943"/>
    <tableColumn id="4944" xr3:uid="{513CC20F-2AB3-4214-97A1-861D3E4CBD50}" name="Column4944"/>
    <tableColumn id="4945" xr3:uid="{237B9E36-D975-42E3-98FF-38ACC4E0A322}" name="Column4945"/>
    <tableColumn id="4946" xr3:uid="{CE0064E0-69ED-4067-8AA4-7B96156E164C}" name="Column4946"/>
    <tableColumn id="4947" xr3:uid="{4EF6EAB1-4D28-4402-B0B5-C7CBDDE56670}" name="Column4947"/>
    <tableColumn id="4948" xr3:uid="{72D30FFA-EF6B-4A0F-87D8-215FA0430D72}" name="Column4948"/>
    <tableColumn id="4949" xr3:uid="{6346AF24-1407-4F42-A998-34D1AD8C77D6}" name="Column4949"/>
    <tableColumn id="4950" xr3:uid="{A7533C16-1C62-4B63-B3D8-593C0C1D9913}" name="Column4950"/>
    <tableColumn id="4951" xr3:uid="{0C1CD63E-78EB-4564-A787-7E4BA515E140}" name="Column4951"/>
    <tableColumn id="4952" xr3:uid="{931DAE25-804D-4E28-A60D-14EB9A6F2983}" name="Column4952"/>
    <tableColumn id="4953" xr3:uid="{35FEE6E1-216D-4665-B165-7FC25A833332}" name="Column4953"/>
    <tableColumn id="4954" xr3:uid="{51B39260-C6A2-4582-9887-81594549EEDF}" name="Column4954"/>
    <tableColumn id="4955" xr3:uid="{318DDCDB-C3EA-4CDE-B050-E18A407D4AD4}" name="Column4955"/>
    <tableColumn id="4956" xr3:uid="{4A9818C5-8FEB-45ED-83E6-D30090800E04}" name="Column4956"/>
    <tableColumn id="4957" xr3:uid="{EB1C32EE-DA45-42F8-A45A-50846FF49A13}" name="Column4957"/>
    <tableColumn id="4958" xr3:uid="{5521393B-1A0E-4F05-A4FD-7ADF29505774}" name="Column4958"/>
    <tableColumn id="4959" xr3:uid="{91E62614-F55B-4622-A2BF-7201CDDD6713}" name="Column4959"/>
    <tableColumn id="4960" xr3:uid="{EFC38D41-E7EB-4F65-BF1B-BF4C0E42402F}" name="Column4960"/>
    <tableColumn id="4961" xr3:uid="{279CD2AA-615F-4F8C-87A9-F2867A7E4255}" name="Column4961"/>
    <tableColumn id="4962" xr3:uid="{08477F0B-29DB-4415-BA23-5F1EB70EF986}" name="Column4962"/>
    <tableColumn id="4963" xr3:uid="{F26B61F7-15B4-42CA-9A44-0E8FE959DAD1}" name="Column4963"/>
    <tableColumn id="4964" xr3:uid="{B2017EAF-E5F1-4CA1-897C-2CCCF71A6A92}" name="Column4964"/>
    <tableColumn id="4965" xr3:uid="{774C4945-1FB5-4003-BD69-F32E250BCABA}" name="Column4965"/>
    <tableColumn id="4966" xr3:uid="{A9E5942F-ACDC-43C1-9F46-F25AF12A41A2}" name="Column4966"/>
    <tableColumn id="4967" xr3:uid="{BEFBD48F-AF2E-4DEA-A4B4-79E91F2DBE8E}" name="Column4967"/>
    <tableColumn id="4968" xr3:uid="{24067949-CDD9-4D89-80CA-AE73D190ED14}" name="Column4968"/>
    <tableColumn id="4969" xr3:uid="{A3CB9DB3-221F-4715-8986-7339CF48F2EF}" name="Column4969"/>
    <tableColumn id="4970" xr3:uid="{12DDBB3E-E733-4A71-AE35-36C53554605D}" name="Column4970"/>
    <tableColumn id="4971" xr3:uid="{85A4D626-5432-45EA-BAF7-AE7ABC0EC54F}" name="Column4971"/>
    <tableColumn id="4972" xr3:uid="{C29400DE-594B-4E02-96F6-FC022734E1BB}" name="Column4972"/>
    <tableColumn id="4973" xr3:uid="{F90993C6-7240-4A6B-8620-7373508A1055}" name="Column4973"/>
    <tableColumn id="4974" xr3:uid="{3EBD0576-49F1-4A62-B148-4D617F39B0B1}" name="Column4974"/>
    <tableColumn id="4975" xr3:uid="{7E55F353-392E-4000-AF5E-1B7ED56F2010}" name="Column4975"/>
    <tableColumn id="4976" xr3:uid="{2827E65D-8407-4651-AFE4-A98E2903298E}" name="Column4976"/>
    <tableColumn id="4977" xr3:uid="{A41591E0-CE2D-4F47-A1C8-704BE9FB767C}" name="Column4977"/>
    <tableColumn id="4978" xr3:uid="{427CEAEE-5359-4C8D-A5A0-1914DFD610CE}" name="Column4978"/>
    <tableColumn id="4979" xr3:uid="{9B9AB896-184E-48CB-8FA6-AF103BC1A8B2}" name="Column4979"/>
    <tableColumn id="4980" xr3:uid="{22431C61-B0C4-4CB2-B457-0B7EFEDFBB05}" name="Column4980"/>
    <tableColumn id="4981" xr3:uid="{0FF5B3B6-B3EE-4F34-967C-7A7275E9CB5E}" name="Column4981"/>
    <tableColumn id="4982" xr3:uid="{1AF8C664-F189-46F0-B2CB-D1F72887BAAC}" name="Column4982"/>
    <tableColumn id="4983" xr3:uid="{7DF4DA6B-EEBB-4D2B-8E82-64B4E7C7CBC1}" name="Column4983"/>
    <tableColumn id="4984" xr3:uid="{992407FD-C3F8-49D3-A1FB-83D7750C32F6}" name="Column4984"/>
    <tableColumn id="4985" xr3:uid="{4A14CE6E-8FB3-48D8-ACEB-936FC892531B}" name="Column4985"/>
    <tableColumn id="4986" xr3:uid="{3EC55EE7-2F6D-4ED3-83C3-05224C7D0581}" name="Column4986"/>
    <tableColumn id="4987" xr3:uid="{2230C325-516A-4C96-B480-6860CB2293ED}" name="Column4987"/>
    <tableColumn id="4988" xr3:uid="{70B70589-6689-48DE-BE45-6FF59443982A}" name="Column4988"/>
    <tableColumn id="4989" xr3:uid="{81179FE8-7A4A-4E98-880C-BBFBEE4EB549}" name="Column4989"/>
    <tableColumn id="4990" xr3:uid="{6170A143-A9B1-4255-B504-F98AF99B1FED}" name="Column4990"/>
    <tableColumn id="4991" xr3:uid="{BE732797-3829-4E46-8840-1B1415DB3E74}" name="Column4991"/>
    <tableColumn id="4992" xr3:uid="{0ECC92DE-01AE-404A-8049-005C72635FDA}" name="Column4992"/>
    <tableColumn id="4993" xr3:uid="{A6FCCE70-0755-4D93-8C14-95C097BA3DCC}" name="Column4993"/>
    <tableColumn id="4994" xr3:uid="{43640CE5-DA0B-411F-A008-FF076A5E88CF}" name="Column4994"/>
    <tableColumn id="4995" xr3:uid="{27094B39-ACFA-4D72-81B9-C6FC77C1AD5A}" name="Column4995"/>
    <tableColumn id="4996" xr3:uid="{8C578FC5-B874-479B-A0B4-4ED5E493DA13}" name="Column4996"/>
    <tableColumn id="4997" xr3:uid="{9D728CFB-CEB6-49C2-B3CF-868ECE13F126}" name="Column4997"/>
    <tableColumn id="4998" xr3:uid="{73AD8721-19B9-4F5D-A1F4-2073402AD027}" name="Column4998"/>
    <tableColumn id="4999" xr3:uid="{2E063CB5-A144-4006-8DF6-ADCB99CE0784}" name="Column4999"/>
    <tableColumn id="5000" xr3:uid="{082C76B7-418B-4F43-AD79-CF48BB8A5B83}" name="Column5000"/>
    <tableColumn id="5001" xr3:uid="{11E48725-63C9-40C5-8374-218C83243DA0}" name="Column5001"/>
    <tableColumn id="5002" xr3:uid="{2648C1A0-5F44-46DD-B850-727B05C89429}" name="Column5002"/>
    <tableColumn id="5003" xr3:uid="{8FD17474-B7C0-4475-94CF-70DEC558548C}" name="Column5003"/>
    <tableColumn id="5004" xr3:uid="{8E107D95-4D6E-4B25-B3AE-AE9825744033}" name="Column5004"/>
    <tableColumn id="5005" xr3:uid="{12529088-8CA3-4CDB-9D21-332784F10146}" name="Column5005"/>
    <tableColumn id="5006" xr3:uid="{3C5DEE33-636C-4D97-9839-F086460696E4}" name="Column5006"/>
    <tableColumn id="5007" xr3:uid="{B4A4D3BF-ED03-41AB-8ABB-9C702519FD85}" name="Column5007"/>
    <tableColumn id="5008" xr3:uid="{1A886688-0A63-48E3-9AA1-6E8D2FF4E7D3}" name="Column5008"/>
    <tableColumn id="5009" xr3:uid="{B2077443-4E0F-4EC7-9745-AB0BD07B64DB}" name="Column5009"/>
    <tableColumn id="5010" xr3:uid="{A8A24976-0FDE-456D-8F4C-FCE98B2EC557}" name="Column5010"/>
    <tableColumn id="5011" xr3:uid="{CC344192-C72A-4D17-9C3F-9CCD5E03E996}" name="Column5011"/>
    <tableColumn id="5012" xr3:uid="{69C81DD2-CBBC-49CC-9BD3-E0CCF1FB9825}" name="Column5012"/>
    <tableColumn id="5013" xr3:uid="{95101080-462B-494B-82C7-89CE45954D27}" name="Column5013"/>
    <tableColumn id="5014" xr3:uid="{7D10778C-D7FD-45AC-BC61-D784690AC97D}" name="Column5014"/>
    <tableColumn id="5015" xr3:uid="{A29E3CAC-9437-40DD-9F08-444D8190C562}" name="Column5015"/>
    <tableColumn id="5016" xr3:uid="{6187A65C-D0AE-4942-9CC0-A5357846DBD9}" name="Column5016"/>
    <tableColumn id="5017" xr3:uid="{4E85386D-646F-45CD-BFD5-91AF8A66C591}" name="Column5017"/>
    <tableColumn id="5018" xr3:uid="{0A7EF755-9885-40A7-80DC-12E2D5213C16}" name="Column5018"/>
    <tableColumn id="5019" xr3:uid="{4E054AB6-C947-4680-B32C-9B8E279FB0EE}" name="Column5019"/>
    <tableColumn id="5020" xr3:uid="{7AEFCCD8-E54C-41A6-AB07-3F10EDEE9E7B}" name="Column5020"/>
    <tableColumn id="5021" xr3:uid="{D9A2A67C-7681-4CA2-8188-0F810D1EA900}" name="Column5021"/>
    <tableColumn id="5022" xr3:uid="{D29BF4BA-6C76-403E-AA42-00AB18393CD2}" name="Column5022"/>
    <tableColumn id="5023" xr3:uid="{110243F1-633F-4F73-B162-6C5A5859D241}" name="Column5023"/>
    <tableColumn id="5024" xr3:uid="{8E64E2F7-AEC1-4A00-A820-D599352AB4A6}" name="Column5024"/>
    <tableColumn id="5025" xr3:uid="{D2BABE58-6CED-4417-9747-9767F0779F22}" name="Column5025"/>
    <tableColumn id="5026" xr3:uid="{025F18D8-B8B9-4775-B390-6ABA4F21AE51}" name="Column5026"/>
    <tableColumn id="5027" xr3:uid="{CEF0E300-9BD7-423C-8ED6-C9295608B59E}" name="Column5027"/>
    <tableColumn id="5028" xr3:uid="{68CC29D9-F41F-4CEE-8526-2880B77D6BC3}" name="Column5028"/>
    <tableColumn id="5029" xr3:uid="{F91B7714-7338-4CE4-A830-43999945C250}" name="Column5029"/>
    <tableColumn id="5030" xr3:uid="{AA758EF1-9900-4B2C-99DF-334CCDEFB788}" name="Column5030"/>
    <tableColumn id="5031" xr3:uid="{DA0ECAEA-B513-405D-9576-CAE194002A0C}" name="Column5031"/>
    <tableColumn id="5032" xr3:uid="{13877897-D724-46D0-A512-AEA4D99CAFE3}" name="Column5032"/>
    <tableColumn id="5033" xr3:uid="{192981D5-687B-4C02-99CA-3BCAFF62CD84}" name="Column5033"/>
    <tableColumn id="5034" xr3:uid="{71EE1A6B-9FF7-4008-9F1F-794E725C704D}" name="Column5034"/>
    <tableColumn id="5035" xr3:uid="{2859ECDF-E00A-4B98-9CDF-ACC548139A4B}" name="Column5035"/>
    <tableColumn id="5036" xr3:uid="{2B287D9A-E7B8-4179-893B-B6E646A6B38B}" name="Column5036"/>
    <tableColumn id="5037" xr3:uid="{6F1112A8-7F7F-4811-9077-050271E97BF3}" name="Column5037"/>
    <tableColumn id="5038" xr3:uid="{E81F2C85-DF77-4A67-827C-7437C99A0689}" name="Column5038"/>
    <tableColumn id="5039" xr3:uid="{C1AA58AA-1E2D-4938-A6FA-9C1C7B1DFB22}" name="Column5039"/>
    <tableColumn id="5040" xr3:uid="{BEFE7D2E-CF07-4BAB-8FFD-496EC65BCC81}" name="Column5040"/>
    <tableColumn id="5041" xr3:uid="{837A26CD-27A1-4DD9-A2A2-65723C9FAFE1}" name="Column5041"/>
    <tableColumn id="5042" xr3:uid="{DB6F2561-42F7-491A-A6D9-F78B96014661}" name="Column5042"/>
    <tableColumn id="5043" xr3:uid="{EFE5F6D6-343C-4249-9CC6-D02B02CC0970}" name="Column5043"/>
    <tableColumn id="5044" xr3:uid="{7EFDDDF4-C71B-490C-AC65-98491750FA31}" name="Column5044"/>
    <tableColumn id="5045" xr3:uid="{E4A867E1-5222-41DC-8553-07A1ABC219F6}" name="Column5045"/>
    <tableColumn id="5046" xr3:uid="{CD694595-65EE-4FA4-B8D8-5D6373A84217}" name="Column5046"/>
    <tableColumn id="5047" xr3:uid="{EC13C58A-7C8C-45B1-B3EA-EF004C9CCCAD}" name="Column5047"/>
    <tableColumn id="5048" xr3:uid="{6E4CE51D-09B2-4847-B041-31267D16DCAD}" name="Column5048"/>
    <tableColumn id="5049" xr3:uid="{B5AEBBA1-C0F3-44AE-A746-F3485AF16FC0}" name="Column5049"/>
    <tableColumn id="5050" xr3:uid="{541E1EB2-5FC1-41C4-986E-7F3618D4C4E5}" name="Column5050"/>
    <tableColumn id="5051" xr3:uid="{BE5891CB-49B6-4F6E-A03F-2351B40441CF}" name="Column5051"/>
    <tableColumn id="5052" xr3:uid="{A7FCF606-EE37-44B0-8FE5-ED096C077E19}" name="Column5052"/>
    <tableColumn id="5053" xr3:uid="{19CAF449-D798-4C00-995B-47C008507F88}" name="Column5053"/>
    <tableColumn id="5054" xr3:uid="{C4244008-A99F-4116-9160-E3FDFFD8706D}" name="Column5054"/>
    <tableColumn id="5055" xr3:uid="{F61665FA-3EC0-4C3B-BF17-01A1D55F4914}" name="Column5055"/>
    <tableColumn id="5056" xr3:uid="{1A27CFA1-5928-44C6-A8A3-DE2686439C8E}" name="Column5056"/>
    <tableColumn id="5057" xr3:uid="{7EFFD495-4BF2-41AA-BECB-4708ED17DFB6}" name="Column5057"/>
    <tableColumn id="5058" xr3:uid="{1AAD9CC5-83CB-408E-B442-BC85B1AF948B}" name="Column5058"/>
    <tableColumn id="5059" xr3:uid="{B80ED690-11A3-46FA-AD12-43CEC61DE009}" name="Column5059"/>
    <tableColumn id="5060" xr3:uid="{6F6F3CB8-4465-4C69-B3DB-FD2F0BBC5B6E}" name="Column5060"/>
    <tableColumn id="5061" xr3:uid="{2E034831-7A5A-407B-9AB4-8312DAC7F4D9}" name="Column5061"/>
    <tableColumn id="5062" xr3:uid="{D9502B61-1EFB-44AF-BCF3-D8EC254B5938}" name="Column5062"/>
    <tableColumn id="5063" xr3:uid="{52691390-B2AF-4292-A4AB-D2C233936242}" name="Column5063"/>
    <tableColumn id="5064" xr3:uid="{D4671F66-BA97-402A-97CD-4014898FD617}" name="Column5064"/>
    <tableColumn id="5065" xr3:uid="{FC51A48C-B46D-4592-9174-45DCC886089D}" name="Column5065"/>
    <tableColumn id="5066" xr3:uid="{FBDC3885-1C07-4DC5-9E2C-1553AD40FF2D}" name="Column5066"/>
    <tableColumn id="5067" xr3:uid="{B9EA78EB-9D15-4DAF-87FF-8A397298459E}" name="Column5067"/>
    <tableColumn id="5068" xr3:uid="{0FFE6E46-4310-4A99-826E-6748A29B15A9}" name="Column5068"/>
    <tableColumn id="5069" xr3:uid="{419E865C-6E91-48AD-9CF0-6B0BE272838D}" name="Column5069"/>
    <tableColumn id="5070" xr3:uid="{E74F64F5-A55E-48C6-9523-2DD261DDEE74}" name="Column5070"/>
    <tableColumn id="5071" xr3:uid="{DC601C0F-7A64-493B-B98B-1E370BAB6B3A}" name="Column5071"/>
    <tableColumn id="5072" xr3:uid="{20611490-763F-4326-8CCB-6A59C947AB9A}" name="Column5072"/>
    <tableColumn id="5073" xr3:uid="{2667D838-8742-4484-B604-55A0F6C532AD}" name="Column5073"/>
    <tableColumn id="5074" xr3:uid="{5B096108-7BB5-4F10-AFF1-B95964D5EEF6}" name="Column5074"/>
    <tableColumn id="5075" xr3:uid="{EDA4E4CE-9E36-4407-80C7-F54D0FED8D7C}" name="Column5075"/>
    <tableColumn id="5076" xr3:uid="{4CDBA681-7F09-4D1F-81C5-FC2F42582764}" name="Column5076"/>
    <tableColumn id="5077" xr3:uid="{6C3E8168-042B-4811-8E05-A4FC1D6C69CD}" name="Column5077"/>
    <tableColumn id="5078" xr3:uid="{1705338E-BFDA-4648-8081-0A69C5A3CDD5}" name="Column5078"/>
    <tableColumn id="5079" xr3:uid="{66B10B72-83C8-4184-99D3-3239F4C36957}" name="Column5079"/>
    <tableColumn id="5080" xr3:uid="{DBF9477E-B927-4B83-9A1E-06CFDA3A7E29}" name="Column5080"/>
    <tableColumn id="5081" xr3:uid="{06414B56-8803-4EFB-907E-C33F1475EC5F}" name="Column5081"/>
    <tableColumn id="5082" xr3:uid="{F7F7866D-903D-4772-B5B0-FDCBAE98E3C2}" name="Column5082"/>
    <tableColumn id="5083" xr3:uid="{2EA41517-9BA1-4DF0-AFFA-CDC920FB98AA}" name="Column5083"/>
    <tableColumn id="5084" xr3:uid="{C03532B5-AADD-41C0-A2B0-F54AB7A6210A}" name="Column5084"/>
    <tableColumn id="5085" xr3:uid="{266C47F4-9DA2-45D4-A98D-B087DF73ACE8}" name="Column5085"/>
    <tableColumn id="5086" xr3:uid="{36D76FD3-77D8-4AF3-A941-85B295C85635}" name="Column5086"/>
    <tableColumn id="5087" xr3:uid="{619E6918-74E1-487A-9B3B-4A70146F53B1}" name="Column5087"/>
    <tableColumn id="5088" xr3:uid="{B43BA642-E7A7-4E27-8884-8A37E8A4AE82}" name="Column5088"/>
    <tableColumn id="5089" xr3:uid="{999F605F-947E-47B4-952A-188D6C1955D1}" name="Column5089"/>
    <tableColumn id="5090" xr3:uid="{DDFD13D8-3C86-4D52-94F7-CA6CCD6D5C0F}" name="Column5090"/>
    <tableColumn id="5091" xr3:uid="{37E779B0-99D9-4040-B73E-440447124877}" name="Column5091"/>
    <tableColumn id="5092" xr3:uid="{CBBB77C8-CADB-451E-A2D4-EDC77F06729F}" name="Column5092"/>
    <tableColumn id="5093" xr3:uid="{A08C4B31-A322-471E-A4F5-AB6A90F4CEAA}" name="Column5093"/>
    <tableColumn id="5094" xr3:uid="{1B7E3E2B-38BB-4ED6-A9E1-BA1F9D08A2EA}" name="Column5094"/>
    <tableColumn id="5095" xr3:uid="{DAA49F16-4B97-49BE-8622-1CE62B5FB5DD}" name="Column5095"/>
    <tableColumn id="5096" xr3:uid="{02CFF301-26CB-4192-B151-EAFB9657F5DE}" name="Column5096"/>
    <tableColumn id="5097" xr3:uid="{A4D45E83-E95B-428A-B0A8-1CA37D9E9E84}" name="Column5097"/>
    <tableColumn id="5098" xr3:uid="{82817C8D-CFB1-4D37-853B-874F493D3877}" name="Column5098"/>
    <tableColumn id="5099" xr3:uid="{67D73CF1-AB00-4523-9C8F-77FECD616F69}" name="Column5099"/>
    <tableColumn id="5100" xr3:uid="{22A6E90B-0F80-44CF-A707-E8DA18E708A4}" name="Column5100"/>
    <tableColumn id="5101" xr3:uid="{110BD7CF-E64F-4094-81C0-CF368DFEC1ED}" name="Column5101"/>
    <tableColumn id="5102" xr3:uid="{5C882281-4D3C-405B-BD51-5317C0BF288B}" name="Column5102"/>
    <tableColumn id="5103" xr3:uid="{42F69A9B-083D-4350-85B2-3AEE895353E8}" name="Column5103"/>
    <tableColumn id="5104" xr3:uid="{C5A3FBE0-9BC2-435D-BEBD-470C033AE316}" name="Column5104"/>
    <tableColumn id="5105" xr3:uid="{9A743A31-4926-4DBB-8125-F352C205A741}" name="Column5105"/>
    <tableColumn id="5106" xr3:uid="{7E5B1A1C-6879-4EEC-A41C-4C068A8566E9}" name="Column5106"/>
    <tableColumn id="5107" xr3:uid="{BFA01AF3-2A01-43C8-BA11-D7E4E6B5F1B0}" name="Column5107"/>
    <tableColumn id="5108" xr3:uid="{F95F8E16-69B5-4AFD-97F9-802A2ACA83F1}" name="Column5108"/>
    <tableColumn id="5109" xr3:uid="{1D203DD8-8ACA-4085-8039-D8544360664B}" name="Column5109"/>
    <tableColumn id="5110" xr3:uid="{8B90B347-A305-4E52-93C0-13047EE7CAB8}" name="Column5110"/>
    <tableColumn id="5111" xr3:uid="{7FAB171F-CF17-4550-8EDE-537BFF91BC32}" name="Column5111"/>
    <tableColumn id="5112" xr3:uid="{3BB83789-6580-4B0D-943F-F6FA93CE049F}" name="Column5112"/>
    <tableColumn id="5113" xr3:uid="{AB87E27D-5BF2-465F-ABA6-4008E98A4317}" name="Column5113"/>
    <tableColumn id="5114" xr3:uid="{0F6454D7-DF22-4CBB-B517-805A241CC045}" name="Column5114"/>
    <tableColumn id="5115" xr3:uid="{2936DAAC-CBA1-45F7-820C-8DF76C488E69}" name="Column5115"/>
    <tableColumn id="5116" xr3:uid="{C9B2300C-1F30-4D22-9E2B-D60B9F8AEC76}" name="Column5116"/>
    <tableColumn id="5117" xr3:uid="{453CDC30-2BB1-40CE-8623-37F7C412F2B2}" name="Column5117"/>
    <tableColumn id="5118" xr3:uid="{CEBEC901-D7FA-4304-BE61-057BA7B3122D}" name="Column5118"/>
    <tableColumn id="5119" xr3:uid="{816961A1-F6FD-45F5-9F1A-087110E1A5C0}" name="Column5119"/>
    <tableColumn id="5120" xr3:uid="{B8BE7B2B-EBC3-4729-BC39-636D7127E25B}" name="Column5120"/>
    <tableColumn id="5121" xr3:uid="{89896114-A0B7-47AE-8BEE-EDD99514F4CA}" name="Column5121"/>
    <tableColumn id="5122" xr3:uid="{22F4E251-698C-4AFD-9383-78DED7B523A9}" name="Column5122"/>
    <tableColumn id="5123" xr3:uid="{7B700EE2-D28A-4188-986D-B6BA9F8539E7}" name="Column5123"/>
    <tableColumn id="5124" xr3:uid="{B660193F-399C-43F9-8FE5-741823B108A9}" name="Column5124"/>
    <tableColumn id="5125" xr3:uid="{96DE59C2-B465-4EF3-9D3D-D117FFFECD37}" name="Column5125"/>
    <tableColumn id="5126" xr3:uid="{767B94A8-6F5D-4839-B60C-76F73B5A6A2B}" name="Column5126"/>
    <tableColumn id="5127" xr3:uid="{D6497801-3C34-4BBA-A3D7-81614CDC29F1}" name="Column5127"/>
    <tableColumn id="5128" xr3:uid="{1EF1027B-038C-422C-8626-62719E521E24}" name="Column5128"/>
    <tableColumn id="5129" xr3:uid="{32522D56-9602-4CE4-A873-2FC56D93E5BC}" name="Column5129"/>
    <tableColumn id="5130" xr3:uid="{2B7C7098-B046-4884-848C-4519D358DA26}" name="Column5130"/>
    <tableColumn id="5131" xr3:uid="{ACED68EC-4224-42A1-944A-34151D280F40}" name="Column5131"/>
    <tableColumn id="5132" xr3:uid="{361A3628-E866-4569-9FF1-58DD7BF333E2}" name="Column5132"/>
    <tableColumn id="5133" xr3:uid="{026BB7AE-5C20-42DE-A78B-320F7AD89813}" name="Column5133"/>
    <tableColumn id="5134" xr3:uid="{F12C491D-9578-4123-A89A-01E04A329064}" name="Column5134"/>
    <tableColumn id="5135" xr3:uid="{9CF73861-F420-4644-B8AB-224F58E3826F}" name="Column5135"/>
    <tableColumn id="5136" xr3:uid="{1DB117D5-C35E-4325-BBD2-485C20722C10}" name="Column5136"/>
    <tableColumn id="5137" xr3:uid="{F881D254-BD3C-4292-8859-D70353F6442E}" name="Column5137"/>
    <tableColumn id="5138" xr3:uid="{A2285618-51E9-4202-9526-CE6E76B9B631}" name="Column5138"/>
    <tableColumn id="5139" xr3:uid="{63B849F2-9D17-440D-A241-D0B106D28B57}" name="Column5139"/>
    <tableColumn id="5140" xr3:uid="{F1D3CFF9-FD73-4AE8-9C76-3781F6EF29BF}" name="Column5140"/>
    <tableColumn id="5141" xr3:uid="{C7BCE3C1-2846-4346-954A-46F36C0488F7}" name="Column5141"/>
    <tableColumn id="5142" xr3:uid="{689D6983-85C2-44AD-8E87-766FB18154CC}" name="Column5142"/>
    <tableColumn id="5143" xr3:uid="{2F568B8C-27DA-4003-A27A-A266A9EA2B79}" name="Column5143"/>
    <tableColumn id="5144" xr3:uid="{81B5126C-A404-4E7F-97E9-6299B386FFD8}" name="Column5144"/>
    <tableColumn id="5145" xr3:uid="{D4D3995D-A95B-443A-91C0-4A3DCC8D2A5C}" name="Column5145"/>
    <tableColumn id="5146" xr3:uid="{A9A6FD19-A1D9-407F-9BF3-F1E9E8308796}" name="Column5146"/>
    <tableColumn id="5147" xr3:uid="{BFEBB0A1-2B45-466C-852A-FD4080D0BDF7}" name="Column5147"/>
    <tableColumn id="5148" xr3:uid="{5872941D-3562-4B14-9400-E67CA787EE3F}" name="Column5148"/>
    <tableColumn id="5149" xr3:uid="{87CC7DC4-104B-4BE4-8929-E5C402529197}" name="Column5149"/>
    <tableColumn id="5150" xr3:uid="{097D260A-F27B-4C04-BB17-3BC519044D29}" name="Column5150"/>
    <tableColumn id="5151" xr3:uid="{C3BB0832-8E60-4459-8F60-FFBAB528C6E8}" name="Column5151"/>
    <tableColumn id="5152" xr3:uid="{E79FBA69-B656-4FE9-9363-5D5C111BEFDA}" name="Column5152"/>
    <tableColumn id="5153" xr3:uid="{E192068C-D489-4C44-8D6D-E2E8F3702124}" name="Column5153"/>
    <tableColumn id="5154" xr3:uid="{6B4ED1E9-0D78-43D3-8CE6-47D42D0F6B8D}" name="Column5154"/>
    <tableColumn id="5155" xr3:uid="{ACEF3602-5572-40BB-852B-32CDE788A218}" name="Column5155"/>
    <tableColumn id="5156" xr3:uid="{AF71143F-7552-4130-B901-BD097447527F}" name="Column5156"/>
    <tableColumn id="5157" xr3:uid="{528A98BD-A85F-4F5F-8A88-C289E3B9873A}" name="Column5157"/>
    <tableColumn id="5158" xr3:uid="{C580466B-F141-4EB0-9396-075C196A4BA5}" name="Column5158"/>
    <tableColumn id="5159" xr3:uid="{9627F816-DE83-4DE7-92B4-E2F2201CB57F}" name="Column5159"/>
    <tableColumn id="5160" xr3:uid="{59CC06C7-35FF-42B8-BCC4-1A83CD830434}" name="Column5160"/>
    <tableColumn id="5161" xr3:uid="{F37A305C-BDD9-40E1-9694-F106E87C10F5}" name="Column5161"/>
    <tableColumn id="5162" xr3:uid="{7FC0FBC5-CCE4-46FE-B617-8A07223E6852}" name="Column5162"/>
    <tableColumn id="5163" xr3:uid="{9D8FBE0D-42F6-49B0-AC47-75E407D56223}" name="Column5163"/>
    <tableColumn id="5164" xr3:uid="{DE346E63-2C03-4B7F-A2FE-CF42648E85FC}" name="Column5164"/>
    <tableColumn id="5165" xr3:uid="{977B2742-5E5E-4F87-8CC1-DDE022145562}" name="Column5165"/>
    <tableColumn id="5166" xr3:uid="{2E42C0E9-1E74-4678-ACC3-0372A79D56E5}" name="Column5166"/>
    <tableColumn id="5167" xr3:uid="{BDEB2A3B-CBDB-48FD-B4EA-AE765CEF93BE}" name="Column5167"/>
    <tableColumn id="5168" xr3:uid="{7BD0E900-3BAD-4215-8ED3-E184004D0F15}" name="Column5168"/>
    <tableColumn id="5169" xr3:uid="{3831AE8C-4AC7-45ED-A8D3-33071707BF16}" name="Column5169"/>
    <tableColumn id="5170" xr3:uid="{0B010106-630C-44B9-A4EE-65077CEA1569}" name="Column5170"/>
    <tableColumn id="5171" xr3:uid="{6A2D1E34-8491-44CD-B235-4204225B853C}" name="Column5171"/>
    <tableColumn id="5172" xr3:uid="{ABF8B139-EBA4-4059-9503-A79CC4E6AE16}" name="Column5172"/>
    <tableColumn id="5173" xr3:uid="{1C5097DE-6006-47CB-B8BA-3088E5E12997}" name="Column5173"/>
    <tableColumn id="5174" xr3:uid="{E0BE32B1-4DF1-4D39-9EF5-1001BCBB647A}" name="Column5174"/>
    <tableColumn id="5175" xr3:uid="{4FF7A007-5E43-4401-8943-64369DFD73BA}" name="Column5175"/>
    <tableColumn id="5176" xr3:uid="{29B55C9F-7D8E-4D4E-9B38-AE3A08DC157F}" name="Column5176"/>
    <tableColumn id="5177" xr3:uid="{32C5F16B-1438-4A2D-9B7B-48E6372FFB91}" name="Column5177"/>
    <tableColumn id="5178" xr3:uid="{3F9B5722-1FE1-41D0-B222-0E8F99CBA206}" name="Column5178"/>
    <tableColumn id="5179" xr3:uid="{E23739C8-246E-44F9-A9DA-82F4DDD91319}" name="Column5179"/>
    <tableColumn id="5180" xr3:uid="{6438E7FE-61F7-4817-A5D1-04E7703FADA9}" name="Column5180"/>
    <tableColumn id="5181" xr3:uid="{7C5867E5-F50C-46DB-A7F5-F9D1BE7BC7CD}" name="Column5181"/>
    <tableColumn id="5182" xr3:uid="{F9623A4E-5E6C-40AA-A592-4D5927F2CE2B}" name="Column5182"/>
    <tableColumn id="5183" xr3:uid="{B8F1E0D0-DA4E-4919-95CF-2FAF9B8D06E6}" name="Column5183"/>
    <tableColumn id="5184" xr3:uid="{04C951A6-1D6F-47D5-B733-516FF1460FF4}" name="Column5184"/>
    <tableColumn id="5185" xr3:uid="{912B558F-A891-4B7A-A652-8976BDA3DD95}" name="Column5185"/>
    <tableColumn id="5186" xr3:uid="{14ADFBF1-183D-49FF-8146-8825FE15353C}" name="Column5186"/>
    <tableColumn id="5187" xr3:uid="{12DBB95C-32AF-4CE6-B636-3553EE19A1DF}" name="Column5187"/>
    <tableColumn id="5188" xr3:uid="{A2CA4B5B-A98F-4870-BBFF-718F6F234CDB}" name="Column5188"/>
    <tableColumn id="5189" xr3:uid="{8EBD209C-E95A-4BCE-8FA0-007751539349}" name="Column5189"/>
    <tableColumn id="5190" xr3:uid="{6E821565-347D-4925-A71E-69595001BA03}" name="Column5190"/>
    <tableColumn id="5191" xr3:uid="{72716884-0E2B-4BD9-B654-8E0147945682}" name="Column5191"/>
    <tableColumn id="5192" xr3:uid="{74ED28A1-B4E1-461B-B317-AA2D1C2731D9}" name="Column5192"/>
    <tableColumn id="5193" xr3:uid="{8672F88B-717D-4788-A728-1FA23C8BF00F}" name="Column5193"/>
    <tableColumn id="5194" xr3:uid="{9D84DC70-C11B-43DD-A455-F90A95A59CAE}" name="Column5194"/>
    <tableColumn id="5195" xr3:uid="{58CEC900-9FAF-4D9E-B510-5D31ABD5F802}" name="Column5195"/>
    <tableColumn id="5196" xr3:uid="{325B65DD-94C0-4A8D-B669-6082EA475957}" name="Column5196"/>
    <tableColumn id="5197" xr3:uid="{D484572E-2318-459A-B3EA-9C8EF17A712E}" name="Column5197"/>
    <tableColumn id="5198" xr3:uid="{754930EF-FEEA-41FF-A60C-3AC3B3552901}" name="Column5198"/>
    <tableColumn id="5199" xr3:uid="{A9D0B9D2-DB5E-4803-8F96-43D161B9C57E}" name="Column5199"/>
    <tableColumn id="5200" xr3:uid="{EF9D99AF-F3DC-488A-BAA9-3714E0C6B393}" name="Column5200"/>
    <tableColumn id="5201" xr3:uid="{7B983731-B707-424A-BDE1-1D2F1309BDFD}" name="Column5201"/>
    <tableColumn id="5202" xr3:uid="{C7A414A4-7D43-41DA-B635-32AE921813A5}" name="Column5202"/>
    <tableColumn id="5203" xr3:uid="{E8B4AA84-AD47-43AE-84EC-32D9B8ABC0F2}" name="Column5203"/>
    <tableColumn id="5204" xr3:uid="{38FADDD7-DF55-46F4-B409-7AF78AEC9AC2}" name="Column5204"/>
    <tableColumn id="5205" xr3:uid="{E5319565-8F2E-4136-B797-91E4742B5088}" name="Column5205"/>
    <tableColumn id="5206" xr3:uid="{1B4375B4-E0C9-4982-9F87-9658AA7CB9F6}" name="Column5206"/>
    <tableColumn id="5207" xr3:uid="{37F6EC21-2832-4197-B7CC-D3EF1B2BE9E9}" name="Column5207"/>
    <tableColumn id="5208" xr3:uid="{222FB607-E868-4E2B-858D-7451ED704E27}" name="Column5208"/>
    <tableColumn id="5209" xr3:uid="{7237E47F-5A24-48FB-BE6B-72F665996639}" name="Column5209"/>
    <tableColumn id="5210" xr3:uid="{FC1A8B49-B64E-492E-8653-CD58DEB55BF1}" name="Column5210"/>
    <tableColumn id="5211" xr3:uid="{834D6D33-367F-4F87-8594-E4601B19BA1A}" name="Column5211"/>
    <tableColumn id="5212" xr3:uid="{F05A457B-0ADA-4DF1-887A-F0E64A5CF835}" name="Column5212"/>
    <tableColumn id="5213" xr3:uid="{DB771DA6-D9AA-41E3-AD3F-6C4288DAB4CC}" name="Column5213"/>
    <tableColumn id="5214" xr3:uid="{5603A912-7132-4796-BD5A-1313B07F3A5F}" name="Column5214"/>
    <tableColumn id="5215" xr3:uid="{82BED969-E6C5-4381-A9D0-E38C8E689167}" name="Column5215"/>
    <tableColumn id="5216" xr3:uid="{712F2B39-CBF5-402D-9FBF-8C6E8C7E19C7}" name="Column5216"/>
    <tableColumn id="5217" xr3:uid="{DA858C58-96C7-4031-9106-14513CDC3EEB}" name="Column5217"/>
    <tableColumn id="5218" xr3:uid="{0DD7C3D4-490B-4276-9657-F30E8EECB6B5}" name="Column5218"/>
    <tableColumn id="5219" xr3:uid="{6310102E-6866-4B15-B40C-4F0526D20C3A}" name="Column5219"/>
    <tableColumn id="5220" xr3:uid="{FBE6CA64-443F-4050-A144-4B4E039F1670}" name="Column5220"/>
    <tableColumn id="5221" xr3:uid="{9E055EA3-4E5F-4D26-A570-D31F61596E8B}" name="Column5221"/>
    <tableColumn id="5222" xr3:uid="{A25029A5-8A00-4BAC-9C9E-850D9C5E200F}" name="Column5222"/>
    <tableColumn id="5223" xr3:uid="{B11EEE62-BF49-4A6F-9341-E85F9EF53796}" name="Column5223"/>
    <tableColumn id="5224" xr3:uid="{F12682D3-7092-4FE4-8431-E6828FD658B9}" name="Column5224"/>
    <tableColumn id="5225" xr3:uid="{BA2BCB7E-FAAE-409A-A286-182FB37128EB}" name="Column5225"/>
    <tableColumn id="5226" xr3:uid="{34B22D43-13D6-4042-BC00-71262DFE9677}" name="Column5226"/>
    <tableColumn id="5227" xr3:uid="{ECDB71CE-584B-4BF3-AE13-14FCD1704F37}" name="Column5227"/>
    <tableColumn id="5228" xr3:uid="{DDCA4718-293C-4991-ABAB-CAE692B86A37}" name="Column5228"/>
    <tableColumn id="5229" xr3:uid="{672D3403-E064-4C36-8763-33E45C0AE715}" name="Column5229"/>
    <tableColumn id="5230" xr3:uid="{E23028A0-BC4A-4D8E-B90B-A8C5E9F51FF4}" name="Column5230"/>
    <tableColumn id="5231" xr3:uid="{5DECBE66-D6B8-4A53-A5D4-62A8BD34F321}" name="Column5231"/>
    <tableColumn id="5232" xr3:uid="{67E977EE-5A35-4293-91FA-498BBA214C85}" name="Column5232"/>
    <tableColumn id="5233" xr3:uid="{49520F69-6ACC-45E1-853B-ED9F48B55F59}" name="Column5233"/>
    <tableColumn id="5234" xr3:uid="{E9101657-D4CC-44DF-884A-E43348CFCC41}" name="Column5234"/>
    <tableColumn id="5235" xr3:uid="{E723DFB7-C55D-449E-89FA-A3B428B1AFEF}" name="Column5235"/>
    <tableColumn id="5236" xr3:uid="{01B7B1DE-0F3D-4324-A4FE-F7C467EA2CA6}" name="Column5236"/>
    <tableColumn id="5237" xr3:uid="{4F0A7402-783F-4CFA-BAEB-7BE4E3B93611}" name="Column5237"/>
    <tableColumn id="5238" xr3:uid="{40E147BD-202C-482F-9017-AC87F4A598FA}" name="Column5238"/>
    <tableColumn id="5239" xr3:uid="{94F50A5D-0219-4A60-AE1D-B583AD1E38D0}" name="Column5239"/>
    <tableColumn id="5240" xr3:uid="{6960CD7B-6C78-4FF6-A789-0D6B6CD74C2D}" name="Column5240"/>
    <tableColumn id="5241" xr3:uid="{8276974C-B640-4437-9F90-22A94CA549C6}" name="Column5241"/>
    <tableColumn id="5242" xr3:uid="{DCA7668A-4E41-42BD-846E-6498FF87772A}" name="Column5242"/>
    <tableColumn id="5243" xr3:uid="{CFF932E7-C1AD-4EB1-AEE4-6E4BB82A497C}" name="Column5243"/>
    <tableColumn id="5244" xr3:uid="{2E44B555-7F2A-448B-B76D-AB23FD746F95}" name="Column5244"/>
    <tableColumn id="5245" xr3:uid="{DF8CC345-774F-4DA6-AA4E-64003AAF8EEB}" name="Column5245"/>
    <tableColumn id="5246" xr3:uid="{953EE7DE-A5A3-428B-B290-473A33B810FD}" name="Column5246"/>
    <tableColumn id="5247" xr3:uid="{FE3C11A5-48F6-480C-B5EB-89EA595D8059}" name="Column5247"/>
    <tableColumn id="5248" xr3:uid="{4E69F7A1-CCC0-4F2E-8119-6203274DB52A}" name="Column5248"/>
    <tableColumn id="5249" xr3:uid="{71CB4A59-75CB-4F6B-9697-1E25EAEDB9C0}" name="Column5249"/>
    <tableColumn id="5250" xr3:uid="{375266F3-7AAC-42E6-84D7-15FF2CE5C2AB}" name="Column5250"/>
    <tableColumn id="5251" xr3:uid="{9E648FCB-514C-4EB5-A602-02CD2A6992FE}" name="Column5251"/>
    <tableColumn id="5252" xr3:uid="{E8B21A51-5031-4B80-A84B-4C925115D720}" name="Column5252"/>
    <tableColumn id="5253" xr3:uid="{F1CA1A0C-A1E8-4345-BEE4-E5063756DCB8}" name="Column5253"/>
    <tableColumn id="5254" xr3:uid="{EA3CB718-C712-436D-8C63-C984A09435FF}" name="Column5254"/>
    <tableColumn id="5255" xr3:uid="{C3CCB7A4-5A50-4FFB-9FEE-8EDC05190DA2}" name="Column5255"/>
    <tableColumn id="5256" xr3:uid="{911D60BF-8AFC-432A-B263-4262848B4E8C}" name="Column5256"/>
    <tableColumn id="5257" xr3:uid="{1B3005F1-8DD4-4D3C-ACB9-099D7E82B3DE}" name="Column5257"/>
    <tableColumn id="5258" xr3:uid="{EC268590-B382-4A94-87B2-B11D0776551F}" name="Column5258"/>
    <tableColumn id="5259" xr3:uid="{EEAD744F-F77C-447A-BCDB-29D1F2670A32}" name="Column5259"/>
    <tableColumn id="5260" xr3:uid="{DF44F3DF-98BA-48A2-8E70-58B01F141E1F}" name="Column5260"/>
    <tableColumn id="5261" xr3:uid="{2BDA1709-8486-490B-8083-01D89ABE84C5}" name="Column5261"/>
    <tableColumn id="5262" xr3:uid="{B47E2C81-D971-48B3-985E-2DB22E1FA010}" name="Column5262"/>
    <tableColumn id="5263" xr3:uid="{06FC3161-A0D5-480C-8C6B-5EB153D13474}" name="Column5263"/>
    <tableColumn id="5264" xr3:uid="{F11D91C4-F9F3-4A16-A4B6-A98A146B7A2F}" name="Column5264"/>
    <tableColumn id="5265" xr3:uid="{9F7F2E78-9162-48C8-9D4A-550A1076592A}" name="Column5265"/>
    <tableColumn id="5266" xr3:uid="{454CEC38-E8C2-4088-B514-F90EAE7AC907}" name="Column5266"/>
    <tableColumn id="5267" xr3:uid="{58150ADE-E81A-49CC-A03A-54D3F39AFE00}" name="Column5267"/>
    <tableColumn id="5268" xr3:uid="{3C4054B3-698F-45CE-870E-30792DA49D42}" name="Column5268"/>
    <tableColumn id="5269" xr3:uid="{2BD57DF9-BA12-44BD-8FF2-0CC103B4E6DB}" name="Column5269"/>
    <tableColumn id="5270" xr3:uid="{9BD0DEC3-2864-4AB1-94C4-C19A0FD8FE3C}" name="Column5270"/>
    <tableColumn id="5271" xr3:uid="{AD6CE252-8F24-43B9-B49F-C5EB478EFB05}" name="Column5271"/>
    <tableColumn id="5272" xr3:uid="{0C595BA3-3FDE-4734-8EF6-A9E43F4FE5D4}" name="Column5272"/>
    <tableColumn id="5273" xr3:uid="{8D9A8F68-9219-4015-85CB-068184AE87FF}" name="Column5273"/>
    <tableColumn id="5274" xr3:uid="{4C1C08C2-6900-4C56-9BFB-99A5564AE3C1}" name="Column5274"/>
    <tableColumn id="5275" xr3:uid="{9DCEE812-354C-4AF0-B80A-CBBF06CDC3E2}" name="Column5275"/>
    <tableColumn id="5276" xr3:uid="{94513141-2637-4E30-A0D8-9A16E1909F72}" name="Column5276"/>
    <tableColumn id="5277" xr3:uid="{8F98DC6E-950F-47F9-A274-92E23A7B4D02}" name="Column5277"/>
    <tableColumn id="5278" xr3:uid="{63D23272-4ACA-479E-96BB-8F762F4AC268}" name="Column5278"/>
    <tableColumn id="5279" xr3:uid="{8123AE7D-DB49-4E1E-9109-A07E21AF2E02}" name="Column5279"/>
    <tableColumn id="5280" xr3:uid="{0F382B65-B83B-4C29-8556-D9F1973211FA}" name="Column5280"/>
    <tableColumn id="5281" xr3:uid="{4E8F4EA9-4000-450B-A22F-210A407BBA42}" name="Column5281"/>
    <tableColumn id="5282" xr3:uid="{E2A5EC41-F933-44FC-AE91-BEF9F764299B}" name="Column5282"/>
    <tableColumn id="5283" xr3:uid="{363831E6-08FF-4E41-814B-7AEDF971EDA3}" name="Column5283"/>
    <tableColumn id="5284" xr3:uid="{814DF758-5E39-436B-A81A-CDCEDE513A7D}" name="Column5284"/>
    <tableColumn id="5285" xr3:uid="{E2708C78-16D4-464C-A328-1EFD56D541A2}" name="Column5285"/>
    <tableColumn id="5286" xr3:uid="{D91EF3AB-9170-41CF-B8BA-ECFA22AD0CED}" name="Column5286"/>
    <tableColumn id="5287" xr3:uid="{5AFB4D3D-9FA6-4608-911E-554B88C75E27}" name="Column5287"/>
    <tableColumn id="5288" xr3:uid="{8DDF1A9A-A825-4F61-B558-B6FE71B5AAF6}" name="Column5288"/>
    <tableColumn id="5289" xr3:uid="{15F1EEB7-2E40-4D3D-B010-C074DD74E0EF}" name="Column5289"/>
    <tableColumn id="5290" xr3:uid="{98B7A311-22A2-4E79-B299-5C3542E13E7F}" name="Column5290"/>
    <tableColumn id="5291" xr3:uid="{2458FA7A-803B-4A41-B7F7-8C04F1EB2057}" name="Column5291"/>
    <tableColumn id="5292" xr3:uid="{D47DF0D9-DFF4-4034-BFDD-3A6ED35E642B}" name="Column5292"/>
    <tableColumn id="5293" xr3:uid="{42A5BF94-D978-4492-8032-85461335C86C}" name="Column5293"/>
    <tableColumn id="5294" xr3:uid="{1BE36739-4862-42BE-A926-69872C5C1373}" name="Column5294"/>
    <tableColumn id="5295" xr3:uid="{3312E1C4-2781-452C-9946-B537D57BE302}" name="Column5295"/>
    <tableColumn id="5296" xr3:uid="{0AF2156F-E742-4315-A43B-C337CF747B77}" name="Column5296"/>
    <tableColumn id="5297" xr3:uid="{1CAB56A7-DEE5-4DB1-B3B4-6D4853074C8A}" name="Column5297"/>
    <tableColumn id="5298" xr3:uid="{45A80018-2DCC-420C-A384-4E76872076DC}" name="Column5298"/>
    <tableColumn id="5299" xr3:uid="{3992D7A2-74AC-4864-8CA3-412ACA7D3501}" name="Column5299"/>
    <tableColumn id="5300" xr3:uid="{A3A1CAC4-2648-4F0D-8426-FD048981080E}" name="Column5300"/>
    <tableColumn id="5301" xr3:uid="{C7EAC8CA-2120-4E80-9BE8-AC61273D035A}" name="Column5301"/>
    <tableColumn id="5302" xr3:uid="{0FC77FEB-1D03-4492-8185-F140BEA1B7F6}" name="Column5302"/>
    <tableColumn id="5303" xr3:uid="{247E6B22-A76B-44A8-97E1-A0D1F22C3063}" name="Column5303"/>
    <tableColumn id="5304" xr3:uid="{D887BD77-B6BF-4902-83A5-F9228242ADB7}" name="Column5304"/>
    <tableColumn id="5305" xr3:uid="{AC9A1849-4E90-4866-9DAD-B8668A5B5EE1}" name="Column5305"/>
    <tableColumn id="5306" xr3:uid="{6AB39A03-6B20-42B9-80C0-B629E8D59BC2}" name="Column5306"/>
    <tableColumn id="5307" xr3:uid="{C2923008-E0C1-4F8A-99EF-EA84DB2F77CC}" name="Column5307"/>
    <tableColumn id="5308" xr3:uid="{6B4D80DC-6E8E-4C0B-8D7D-5259E9DE0698}" name="Column5308"/>
    <tableColumn id="5309" xr3:uid="{0E3E0112-7C14-45CF-A960-5E36EB06C377}" name="Column5309"/>
    <tableColumn id="5310" xr3:uid="{27FE7AE8-2518-422E-8432-5C8B0688E19B}" name="Column5310"/>
    <tableColumn id="5311" xr3:uid="{82F0050B-6699-4951-AD84-3734DFBDE6C8}" name="Column5311"/>
    <tableColumn id="5312" xr3:uid="{548BC1BE-A984-47C3-960A-01FB463FFEA2}" name="Column5312"/>
    <tableColumn id="5313" xr3:uid="{9BE793E1-9D13-4917-80CA-C8E825DEE5C5}" name="Column5313"/>
    <tableColumn id="5314" xr3:uid="{5413925B-44BF-4565-BAFF-360F06956CB5}" name="Column5314"/>
    <tableColumn id="5315" xr3:uid="{0CC62E88-8122-431E-9FCD-F5063BEE177B}" name="Column5315"/>
    <tableColumn id="5316" xr3:uid="{4BA34925-56AB-4FAE-BC9D-4E4BCD9436E5}" name="Column5316"/>
    <tableColumn id="5317" xr3:uid="{DBADB89F-63C3-4436-A451-09ABB83B0F70}" name="Column5317"/>
    <tableColumn id="5318" xr3:uid="{A6D79D13-3EEA-4BCD-92D3-40587169566A}" name="Column5318"/>
    <tableColumn id="5319" xr3:uid="{273A35A2-3BAF-4B96-B9F5-CB9DD3260806}" name="Column5319"/>
    <tableColumn id="5320" xr3:uid="{F43748A7-1AAD-4E22-85F9-1E0134EC0B33}" name="Column5320"/>
    <tableColumn id="5321" xr3:uid="{C5343B9A-8637-4EA7-8F60-CCF9EC48CC83}" name="Column5321"/>
    <tableColumn id="5322" xr3:uid="{DE4E4623-8215-4985-9214-51DF9222BFF2}" name="Column5322"/>
    <tableColumn id="5323" xr3:uid="{8FA8A7C8-D793-4033-81FB-AE8C4225F469}" name="Column5323"/>
    <tableColumn id="5324" xr3:uid="{6078C359-ECCA-4CA0-9B16-15E8A2122E3B}" name="Column5324"/>
    <tableColumn id="5325" xr3:uid="{C8642C3F-35C7-41D0-9536-8AD74EABD109}" name="Column5325"/>
    <tableColumn id="5326" xr3:uid="{7D5578D0-2E1B-45B5-A7FC-09B0D23716F1}" name="Column5326"/>
    <tableColumn id="5327" xr3:uid="{C6382B29-DA7A-4D1A-969C-68D273AB353B}" name="Column5327"/>
    <tableColumn id="5328" xr3:uid="{E12152E1-B1DE-43FB-A105-A1D41E100075}" name="Column5328"/>
    <tableColumn id="5329" xr3:uid="{952DE89F-718D-4436-BF75-686EB2ED0CEE}" name="Column5329"/>
    <tableColumn id="5330" xr3:uid="{A74BF623-1E50-4DFD-89B7-A899E31DAB60}" name="Column5330"/>
    <tableColumn id="5331" xr3:uid="{0BD625DF-EC68-44C8-9D47-FCD1440654E3}" name="Column5331"/>
    <tableColumn id="5332" xr3:uid="{F40634FF-1A46-4FC4-B379-C787926E5D50}" name="Column5332"/>
    <tableColumn id="5333" xr3:uid="{ABD0B2F3-CCF0-4ADB-987B-EC32438BB945}" name="Column5333"/>
    <tableColumn id="5334" xr3:uid="{689400C0-0D87-4CDF-9D8E-7DF5F0883933}" name="Column5334"/>
    <tableColumn id="5335" xr3:uid="{EBBE876B-8DCE-47AF-B16E-A78D384E6568}" name="Column5335"/>
    <tableColumn id="5336" xr3:uid="{CE0A74C3-0C8E-4826-9947-0CCF2C21B1EA}" name="Column5336"/>
    <tableColumn id="5337" xr3:uid="{D92BB412-C70F-447D-82E1-57503D2F5F3D}" name="Column5337"/>
    <tableColumn id="5338" xr3:uid="{7A6E7365-5D5E-4699-A2F5-221D9614F8CC}" name="Column5338"/>
    <tableColumn id="5339" xr3:uid="{D091BC0B-46F9-4D0C-B9BF-8B13F5D460F5}" name="Column5339"/>
    <tableColumn id="5340" xr3:uid="{8045F550-503B-4FB1-B57A-14E046088DE1}" name="Column5340"/>
    <tableColumn id="5341" xr3:uid="{8D2C339C-4C36-44E3-912B-AC0A04F06B81}" name="Column5341"/>
    <tableColumn id="5342" xr3:uid="{5E8366CC-FCB2-4321-A515-325E1A31526F}" name="Column5342"/>
    <tableColumn id="5343" xr3:uid="{83AE165C-2765-41E1-9335-962814CF9DDE}" name="Column5343"/>
    <tableColumn id="5344" xr3:uid="{51CD15C4-CB4E-483D-A8B7-C0A4E5C04E2C}" name="Column5344"/>
    <tableColumn id="5345" xr3:uid="{4F4DB84C-C9A9-4095-BFFA-D0A0061706F2}" name="Column5345"/>
    <tableColumn id="5346" xr3:uid="{A49FFA23-EA55-4E90-A13F-1E50EA5AE53C}" name="Column5346"/>
    <tableColumn id="5347" xr3:uid="{00F0ADA2-7AF5-4945-AC42-264C89908741}" name="Column5347"/>
    <tableColumn id="5348" xr3:uid="{CCB3C432-47BD-4371-A9BA-66F7CBE024F4}" name="Column5348"/>
    <tableColumn id="5349" xr3:uid="{CCA1FA27-058D-4B62-B2F1-7E56A196E0F6}" name="Column5349"/>
    <tableColumn id="5350" xr3:uid="{37A5AAD4-B441-4086-A3DC-6EC7764E0EA8}" name="Column5350"/>
    <tableColumn id="5351" xr3:uid="{9DCC5324-FD70-4D28-9010-1F7CDD0ED8F7}" name="Column5351"/>
    <tableColumn id="5352" xr3:uid="{E7B61779-EE3E-458D-A846-7429372A452C}" name="Column5352"/>
    <tableColumn id="5353" xr3:uid="{4189A493-AA6D-4442-9097-45A4B0A75B32}" name="Column5353"/>
    <tableColumn id="5354" xr3:uid="{99E658BB-9E8F-40D4-B646-55B0F5703DDC}" name="Column5354"/>
    <tableColumn id="5355" xr3:uid="{3BA7BAEA-191F-4D2D-BAB2-03A81E66AAFF}" name="Column5355"/>
    <tableColumn id="5356" xr3:uid="{E747F2ED-1ADD-490F-8A74-B1A8DA6ED3F3}" name="Column5356"/>
    <tableColumn id="5357" xr3:uid="{1072C95B-8C53-4812-AF8D-64D02EAA8D2E}" name="Column5357"/>
    <tableColumn id="5358" xr3:uid="{29F3D064-E07F-4ECE-B2A3-F83C1F44DD72}" name="Column5358"/>
    <tableColumn id="5359" xr3:uid="{D3B65A12-B3D8-4740-9E0F-6E493DB38581}" name="Column5359"/>
    <tableColumn id="5360" xr3:uid="{82E03DB4-BBE0-47A0-901A-2F9580D8844A}" name="Column5360"/>
    <tableColumn id="5361" xr3:uid="{93EDE23C-8DDB-4DC0-BACA-E27519FC7BEC}" name="Column5361"/>
    <tableColumn id="5362" xr3:uid="{B295DD47-96F4-4C18-8357-C12A119A60D5}" name="Column5362"/>
    <tableColumn id="5363" xr3:uid="{C6F48102-2C2F-4728-BBBD-DDA11D144BB4}" name="Column5363"/>
    <tableColumn id="5364" xr3:uid="{7910B4F7-F25F-48E1-9304-83F3D9E732C0}" name="Column5364"/>
    <tableColumn id="5365" xr3:uid="{AB80E75C-FE25-4461-9C60-836993854AB1}" name="Column5365"/>
    <tableColumn id="5366" xr3:uid="{F23C68D5-A793-4DD1-9253-54E7F93C5774}" name="Column5366"/>
    <tableColumn id="5367" xr3:uid="{7B1348DC-8090-4745-9FD2-8E8DBDEFB782}" name="Column5367"/>
    <tableColumn id="5368" xr3:uid="{C0458D6B-BB58-465C-8BAD-7C128A7E1D4E}" name="Column5368"/>
    <tableColumn id="5369" xr3:uid="{5BC64859-7996-4A2D-954A-780ABDE78897}" name="Column5369"/>
    <tableColumn id="5370" xr3:uid="{2C62750F-1587-4FA1-A6CF-A77645377C0B}" name="Column5370"/>
    <tableColumn id="5371" xr3:uid="{165048FD-543E-4451-8101-823D513B417F}" name="Column5371"/>
    <tableColumn id="5372" xr3:uid="{54C36110-410E-4620-91B7-D4273E18FE5A}" name="Column5372"/>
    <tableColumn id="5373" xr3:uid="{067BD20E-5E66-4428-9C1F-18C78E69AC41}" name="Column5373"/>
    <tableColumn id="5374" xr3:uid="{2AEAE18C-90E7-4473-B7D6-9CE4CDFA19B6}" name="Column5374"/>
    <tableColumn id="5375" xr3:uid="{293A4C9D-A39D-43FF-8FFA-4099B42C8E01}" name="Column5375"/>
    <tableColumn id="5376" xr3:uid="{B6AD4CF6-8333-44D6-8CB9-ABE5AEA7E7DA}" name="Column5376"/>
    <tableColumn id="5377" xr3:uid="{BFB64207-04B4-409F-9CC6-B0D2E2EC0325}" name="Column5377"/>
    <tableColumn id="5378" xr3:uid="{BBD4B8F6-4EB5-433B-934F-FFAD49A78EF5}" name="Column5378"/>
    <tableColumn id="5379" xr3:uid="{3DB79C3E-D9D4-41CF-B3FD-7ACD70A10EE7}" name="Column5379"/>
    <tableColumn id="5380" xr3:uid="{411CACFB-099D-4BB4-AE43-92D32C55A41E}" name="Column5380"/>
    <tableColumn id="5381" xr3:uid="{E25DF16D-50BF-48D1-918B-206A7510B547}" name="Column5381"/>
    <tableColumn id="5382" xr3:uid="{1DF0BED7-0A30-4066-B7D6-B2C1E35E688E}" name="Column5382"/>
    <tableColumn id="5383" xr3:uid="{8A52AF43-2B63-4633-B801-663C8D8377A1}" name="Column5383"/>
    <tableColumn id="5384" xr3:uid="{212B2087-9F63-45EB-B45D-4275917DC51A}" name="Column5384"/>
    <tableColumn id="5385" xr3:uid="{2DC2230E-3DDC-4F01-9B5E-D8C1ED7E597F}" name="Column5385"/>
    <tableColumn id="5386" xr3:uid="{61D29D18-9589-46F7-BE73-C8BE83016C26}" name="Column5386"/>
    <tableColumn id="5387" xr3:uid="{7F8CD999-3977-4441-9E91-01861232DB77}" name="Column5387"/>
    <tableColumn id="5388" xr3:uid="{C6188852-600C-40B4-A233-C3F2E65A213A}" name="Column5388"/>
    <tableColumn id="5389" xr3:uid="{BB5BBA02-D836-49DD-BE6F-3B7D7B717C5F}" name="Column5389"/>
    <tableColumn id="5390" xr3:uid="{A72AC29E-E47E-4C9E-BDEF-BD99F33D6394}" name="Column5390"/>
    <tableColumn id="5391" xr3:uid="{5B595AA2-28F5-4BFA-8488-2A682C09569D}" name="Column5391"/>
    <tableColumn id="5392" xr3:uid="{B363180B-809F-447F-8E00-7BA5B44A707F}" name="Column5392"/>
    <tableColumn id="5393" xr3:uid="{1F59D4BD-B48F-4D58-BA31-7D0F052DA2B0}" name="Column5393"/>
    <tableColumn id="5394" xr3:uid="{63B11526-9590-4B42-999C-B6CF53BDAB59}" name="Column5394"/>
    <tableColumn id="5395" xr3:uid="{03BA9361-16D6-44A8-9253-3C214FC7C4D1}" name="Column5395"/>
    <tableColumn id="5396" xr3:uid="{6F7CD99D-4DD7-41CA-87E7-625B5C5AAB33}" name="Column5396"/>
    <tableColumn id="5397" xr3:uid="{97001124-2FEC-4761-9925-9E232C05AFF2}" name="Column5397"/>
    <tableColumn id="5398" xr3:uid="{B6950983-626F-489A-B04A-A8291DD5CE2D}" name="Column5398"/>
    <tableColumn id="5399" xr3:uid="{59E50FA3-5EA0-4ED6-A50E-83F1AB391C0D}" name="Column5399"/>
    <tableColumn id="5400" xr3:uid="{5FF4D81A-E3D9-43BA-84EF-0435DD8E5AD9}" name="Column5400"/>
    <tableColumn id="5401" xr3:uid="{82B04661-BA70-4BC1-BD80-4D4F23250D72}" name="Column5401"/>
    <tableColumn id="5402" xr3:uid="{F5CD3A38-1A06-43B1-BC3D-DEC625B00938}" name="Column5402"/>
    <tableColumn id="5403" xr3:uid="{99D33FC4-7710-4E2E-8181-5B888477A8B5}" name="Column5403"/>
    <tableColumn id="5404" xr3:uid="{4A1C84B7-0BE8-4DF6-9491-0A427D3C1986}" name="Column5404"/>
    <tableColumn id="5405" xr3:uid="{52F86D87-114C-4859-937A-5FE1FEFA0C80}" name="Column5405"/>
    <tableColumn id="5406" xr3:uid="{A8B96C95-2BF1-42F3-A7A0-4E07988B19CC}" name="Column5406"/>
    <tableColumn id="5407" xr3:uid="{7D98C92E-D28C-421C-A018-4853BC9B6E91}" name="Column5407"/>
    <tableColumn id="5408" xr3:uid="{CE9B05F1-3F64-473F-8B2B-688D6A8386E5}" name="Column5408"/>
    <tableColumn id="5409" xr3:uid="{7200D910-E46E-45A6-93A7-71885AA32612}" name="Column5409"/>
    <tableColumn id="5410" xr3:uid="{9C3BD911-8EF3-41AF-B187-20E2B8B59874}" name="Column5410"/>
    <tableColumn id="5411" xr3:uid="{749E4D27-E4FE-402F-A8E9-0DFDD5A6ED3D}" name="Column5411"/>
    <tableColumn id="5412" xr3:uid="{393A34F5-F150-4501-8293-CD2C14C112D1}" name="Column5412"/>
    <tableColumn id="5413" xr3:uid="{9911B028-BF87-4746-AF3F-C7F0A92B9CA5}" name="Column5413"/>
    <tableColumn id="5414" xr3:uid="{3AE474D6-8630-445F-9C3A-24CFDC34F276}" name="Column5414"/>
    <tableColumn id="5415" xr3:uid="{50D34D3F-7049-47C7-9DE8-0E00F0D48F1A}" name="Column5415"/>
    <tableColumn id="5416" xr3:uid="{ED86BA02-D49E-42F6-9816-9A21241AA647}" name="Column5416"/>
    <tableColumn id="5417" xr3:uid="{7F1910E5-3A5B-43F8-A03E-E8121D9E434F}" name="Column5417"/>
    <tableColumn id="5418" xr3:uid="{E7A146B2-DBDE-462D-84EE-12C9101385B8}" name="Column5418"/>
    <tableColumn id="5419" xr3:uid="{0FF974FE-B544-4F2D-A756-90CCB1B681D8}" name="Column5419"/>
    <tableColumn id="5420" xr3:uid="{86B9085E-A424-4A86-8690-26C211462193}" name="Column5420"/>
    <tableColumn id="5421" xr3:uid="{F225F8EE-E307-4954-BB65-8BAD7DF31048}" name="Column5421"/>
    <tableColumn id="5422" xr3:uid="{772960BA-48F8-42A1-AADD-A6B32C54CB4E}" name="Column5422"/>
    <tableColumn id="5423" xr3:uid="{A25E6EBB-82C5-44D2-90FF-8AC01BF17702}" name="Column5423"/>
    <tableColumn id="5424" xr3:uid="{EA67FE28-7E42-429C-9C1C-A1D02411EE5F}" name="Column5424"/>
    <tableColumn id="5425" xr3:uid="{8E426EE4-AA68-45A2-B504-E31B64B8082D}" name="Column5425"/>
    <tableColumn id="5426" xr3:uid="{8DEA3074-66B8-40BB-9AC7-6968143AA24A}" name="Column5426"/>
    <tableColumn id="5427" xr3:uid="{E6E2DE14-B49E-4472-AA6F-75AB047499F2}" name="Column5427"/>
    <tableColumn id="5428" xr3:uid="{F7511372-A100-4EED-8358-56BB80CE651F}" name="Column5428"/>
    <tableColumn id="5429" xr3:uid="{ECDBD0EA-CF9D-4AFF-9D24-4E97F2618892}" name="Column5429"/>
    <tableColumn id="5430" xr3:uid="{45BB37DA-A73D-4EFC-B26E-3DA1856097E5}" name="Column5430"/>
    <tableColumn id="5431" xr3:uid="{F85DE4A5-9BFF-414C-8CED-9F53872DF2DD}" name="Column5431"/>
    <tableColumn id="5432" xr3:uid="{7B26FFFC-19B8-45A8-B4A5-970BC394905E}" name="Column5432"/>
    <tableColumn id="5433" xr3:uid="{CAB3D382-DD78-4491-89EC-87940926ECE3}" name="Column5433"/>
    <tableColumn id="5434" xr3:uid="{01FEE6BE-B4EB-4962-84BB-5F5A4AD3CD96}" name="Column5434"/>
    <tableColumn id="5435" xr3:uid="{78DA0C3D-76B4-4B96-B245-97530B525391}" name="Column5435"/>
    <tableColumn id="5436" xr3:uid="{4EB8893B-C58C-40B4-AC31-2BB53CA2C496}" name="Column5436"/>
    <tableColumn id="5437" xr3:uid="{A8550E82-37D8-47CB-B792-B1CBD3E5246B}" name="Column5437"/>
    <tableColumn id="5438" xr3:uid="{5A1FC378-F732-4CB2-8DBD-29563368FA9B}" name="Column5438"/>
    <tableColumn id="5439" xr3:uid="{7E1F1D90-B6A2-421E-9E37-2B8BE1772DBC}" name="Column5439"/>
    <tableColumn id="5440" xr3:uid="{2576FBAF-DA67-4314-A442-71464E877357}" name="Column5440"/>
    <tableColumn id="5441" xr3:uid="{8F5D2B4A-E4ED-41BE-AF14-4003E91315DC}" name="Column5441"/>
    <tableColumn id="5442" xr3:uid="{2B24AFE4-AF4B-4A76-81EA-8CCDFDA602E3}" name="Column5442"/>
    <tableColumn id="5443" xr3:uid="{A7AB931D-1639-406D-AA17-06EB1EAF359B}" name="Column5443"/>
    <tableColumn id="5444" xr3:uid="{FA7C7567-700F-4E25-A71B-52C6B8E5AE76}" name="Column5444"/>
    <tableColumn id="5445" xr3:uid="{1A078892-9D21-4FC7-804C-CB8860F94170}" name="Column5445"/>
    <tableColumn id="5446" xr3:uid="{E5D5266E-FED8-4FDF-87D2-212751B2471A}" name="Column5446"/>
    <tableColumn id="5447" xr3:uid="{0AC5534E-9F3E-4E9F-A96B-425B05A53EB3}" name="Column5447"/>
    <tableColumn id="5448" xr3:uid="{FEA72EA4-07C5-44CE-B4B7-32166BA800CC}" name="Column5448"/>
    <tableColumn id="5449" xr3:uid="{303DD62F-C320-4C1C-A5E4-EEBC15325BF5}" name="Column5449"/>
    <tableColumn id="5450" xr3:uid="{2BCB1A6C-F5F8-40B3-A13E-36CADD819193}" name="Column5450"/>
    <tableColumn id="5451" xr3:uid="{ABE6630F-252C-45EA-A2CE-17D5292344B1}" name="Column5451"/>
    <tableColumn id="5452" xr3:uid="{A93BEA7E-CEC1-4A95-A7E4-13D2BEF2C2CA}" name="Column5452"/>
    <tableColumn id="5453" xr3:uid="{3F7A1666-BF2C-4252-9CDD-8DCD9C17E85E}" name="Column5453"/>
    <tableColumn id="5454" xr3:uid="{3AF4429C-9F7C-4036-8881-3DB7D8019CEB}" name="Column5454"/>
    <tableColumn id="5455" xr3:uid="{A3B6C059-9105-4D44-BC91-DA3D93F66879}" name="Column5455"/>
    <tableColumn id="5456" xr3:uid="{1A6881E5-1D6B-43CB-8D38-055B2A8F64A0}" name="Column5456"/>
    <tableColumn id="5457" xr3:uid="{4CC8C1E6-020C-4AD8-8460-A1E99713C0FD}" name="Column5457"/>
    <tableColumn id="5458" xr3:uid="{0C5A800E-DA09-4B17-A9F4-20BDEF34FFF2}" name="Column5458"/>
    <tableColumn id="5459" xr3:uid="{9D87CFD6-2F99-4F68-8F2C-622247EB17C9}" name="Column5459"/>
    <tableColumn id="5460" xr3:uid="{3803E5C9-ED6E-4796-810E-B44E370E2612}" name="Column5460"/>
    <tableColumn id="5461" xr3:uid="{693E0595-D7D9-4953-9471-58A54185791F}" name="Column5461"/>
    <tableColumn id="5462" xr3:uid="{13D60321-8D55-487D-BC03-94592AB45B31}" name="Column5462"/>
    <tableColumn id="5463" xr3:uid="{B25FB593-11C8-4CBE-8EB3-AD8228FD00E3}" name="Column5463"/>
    <tableColumn id="5464" xr3:uid="{8BE304CB-75BA-4CD6-8030-E395D4D55353}" name="Column5464"/>
    <tableColumn id="5465" xr3:uid="{0A6225C1-4500-48F3-A2EE-22568BAF71ED}" name="Column5465"/>
    <tableColumn id="5466" xr3:uid="{1A9830FF-281C-40E9-95DD-A0BA044EEEF2}" name="Column5466"/>
    <tableColumn id="5467" xr3:uid="{96B304A5-E4FA-4BD6-8ADD-3D5919F16997}" name="Column5467"/>
    <tableColumn id="5468" xr3:uid="{9B724E44-593C-4B56-B110-5FC6A275A7A0}" name="Column5468"/>
    <tableColumn id="5469" xr3:uid="{7F733936-4AC4-49B3-A1E9-13EFE458967C}" name="Column5469"/>
    <tableColumn id="5470" xr3:uid="{7D9AE6AC-9887-41A4-8B9B-FB7A11DFBF35}" name="Column5470"/>
    <tableColumn id="5471" xr3:uid="{5131F64F-B1FE-48D5-BA28-D5AAC61ED0B0}" name="Column5471"/>
    <tableColumn id="5472" xr3:uid="{317C8B6A-89B2-4E8E-9D29-8D59A5A551DE}" name="Column5472"/>
    <tableColumn id="5473" xr3:uid="{54EAC5D0-0B99-4CD9-8C5A-584EBF0C156B}" name="Column5473"/>
    <tableColumn id="5474" xr3:uid="{BCEB4A59-7680-470A-A5FF-9B5F3BF36163}" name="Column5474"/>
    <tableColumn id="5475" xr3:uid="{776FD261-7868-4218-B7C0-5B2D1F728399}" name="Column5475"/>
    <tableColumn id="5476" xr3:uid="{AB905248-18B4-4396-A79D-1207E7403543}" name="Column5476"/>
    <tableColumn id="5477" xr3:uid="{AADFF90E-B010-421A-AB56-15687682D9F5}" name="Column5477"/>
    <tableColumn id="5478" xr3:uid="{DCDDB56B-CCC4-4816-8DB8-4F809774F82B}" name="Column5478"/>
    <tableColumn id="5479" xr3:uid="{F2ECC3F0-5ABB-4BD0-A610-61D23CB65E78}" name="Column5479"/>
    <tableColumn id="5480" xr3:uid="{B70BFDF6-4546-4808-99AC-D7DE494934E9}" name="Column5480"/>
    <tableColumn id="5481" xr3:uid="{3CE3A7EF-FEFD-4707-8AAE-5C9140A78ACD}" name="Column5481"/>
    <tableColumn id="5482" xr3:uid="{AA5E4B54-B745-4836-8648-0D9055FA6B6F}" name="Column5482"/>
    <tableColumn id="5483" xr3:uid="{C2BBEB8A-AC58-4966-AF35-6D9EE04FBA79}" name="Column5483"/>
    <tableColumn id="5484" xr3:uid="{345D564B-857D-4B35-936B-A6A9116084F3}" name="Column5484"/>
    <tableColumn id="5485" xr3:uid="{51B77D1D-BBE0-42B6-B921-4F40962094E2}" name="Column5485"/>
    <tableColumn id="5486" xr3:uid="{15ED35E4-66C5-4DD9-87B5-E024CBCEE206}" name="Column5486"/>
    <tableColumn id="5487" xr3:uid="{99EBAD41-8044-49ED-9CE0-F512B3023DF5}" name="Column5487"/>
    <tableColumn id="5488" xr3:uid="{9452B4FF-E9AA-4E71-81BA-9E45B6A3BE0C}" name="Column5488"/>
    <tableColumn id="5489" xr3:uid="{31E24269-3B2E-45E5-A606-D847BDC87522}" name="Column5489"/>
    <tableColumn id="5490" xr3:uid="{D03ED991-7EC7-4B38-878B-C94056AE4624}" name="Column5490"/>
    <tableColumn id="5491" xr3:uid="{AA524EA7-FA69-4B8A-A774-2308C43E1BE1}" name="Column5491"/>
    <tableColumn id="5492" xr3:uid="{F802D471-37F3-4B22-8D1E-63F9C9337006}" name="Column5492"/>
    <tableColumn id="5493" xr3:uid="{AB2048F8-A815-467A-B10C-9C87B8BED104}" name="Column5493"/>
    <tableColumn id="5494" xr3:uid="{6C7A0A0D-6941-4FAC-9B29-CA40061E8295}" name="Column5494"/>
    <tableColumn id="5495" xr3:uid="{F5D55985-A0E0-43EC-8A5A-0C7DA94B01F2}" name="Column5495"/>
    <tableColumn id="5496" xr3:uid="{26CB692C-2F31-477B-9740-4885BF9BFDAB}" name="Column5496"/>
    <tableColumn id="5497" xr3:uid="{C919B24E-A2D7-4FE9-8801-8027656A4F95}" name="Column5497"/>
    <tableColumn id="5498" xr3:uid="{B26C438D-D28D-4D94-97C4-A90B89A6F911}" name="Column5498"/>
    <tableColumn id="5499" xr3:uid="{A049D2A5-7673-4303-9E1E-4F767C110EDE}" name="Column5499"/>
    <tableColumn id="5500" xr3:uid="{FE2D18E9-C661-4479-B987-40AB5ABF2273}" name="Column5500"/>
    <tableColumn id="5501" xr3:uid="{57C8F298-3E06-4AFF-A9A5-3F3CD2ACAC0E}" name="Column5501"/>
    <tableColumn id="5502" xr3:uid="{774AEC5D-BEE3-4B48-A24C-F49B25DEC99D}" name="Column5502"/>
    <tableColumn id="5503" xr3:uid="{F8AB14C0-58BC-4AB1-8DC7-E861E693CF96}" name="Column5503"/>
    <tableColumn id="5504" xr3:uid="{495B1CC7-9246-491E-86E1-83279B0D0B8C}" name="Column5504"/>
    <tableColumn id="5505" xr3:uid="{22003163-692B-4B7A-9E52-51F07A82514D}" name="Column5505"/>
    <tableColumn id="5506" xr3:uid="{8AC9BF4D-5548-4CDF-993E-B2FE2A6619B6}" name="Column5506"/>
    <tableColumn id="5507" xr3:uid="{5D311A96-AD40-486D-95F7-8A23DB930579}" name="Column5507"/>
    <tableColumn id="5508" xr3:uid="{24048196-1A82-49C1-BE51-FF3BE333C552}" name="Column5508"/>
    <tableColumn id="5509" xr3:uid="{379C3C52-F83C-47D6-A9FB-6D99C404B345}" name="Column5509"/>
    <tableColumn id="5510" xr3:uid="{A460B0FA-62FB-4F48-B23E-C7A0176C6686}" name="Column5510"/>
    <tableColumn id="5511" xr3:uid="{076A0C97-8930-4128-94B0-07853471242A}" name="Column5511"/>
    <tableColumn id="5512" xr3:uid="{00B28A63-9672-41CE-AE42-58AD5EB61386}" name="Column5512"/>
    <tableColumn id="5513" xr3:uid="{1E8F2CA5-DA7C-4687-A49A-5D5D07A6E2E7}" name="Column5513"/>
    <tableColumn id="5514" xr3:uid="{10D249BE-D880-4284-9F4B-603D678427DA}" name="Column5514"/>
    <tableColumn id="5515" xr3:uid="{B6FC719E-5951-4CE2-BF94-0ECFAED301BA}" name="Column5515"/>
    <tableColumn id="5516" xr3:uid="{87F2205B-EDC5-4363-914E-43A9ECF82B1B}" name="Column5516"/>
    <tableColumn id="5517" xr3:uid="{821694FF-CAEF-4888-A7CC-D4923BF3A377}" name="Column5517"/>
    <tableColumn id="5518" xr3:uid="{6C938393-F4C6-46D0-90AB-688FD2BB273C}" name="Column5518"/>
    <tableColumn id="5519" xr3:uid="{AD81FE86-CCE6-46B3-91F5-03B9AC29E575}" name="Column5519"/>
    <tableColumn id="5520" xr3:uid="{F4EC7675-A4C5-458A-BDBA-104D4C33331E}" name="Column5520"/>
    <tableColumn id="5521" xr3:uid="{D9B75D3C-07D1-4D5E-BE87-7EA220EA6410}" name="Column5521"/>
    <tableColumn id="5522" xr3:uid="{39183F77-9CB0-4F78-AE08-7C751BB24271}" name="Column5522"/>
    <tableColumn id="5523" xr3:uid="{52AE7472-28AD-4DEF-897F-F8210B5E5161}" name="Column5523"/>
    <tableColumn id="5524" xr3:uid="{3FD3C8F3-0135-4C9D-ACBD-02AF1F872F8F}" name="Column5524"/>
    <tableColumn id="5525" xr3:uid="{08B0F524-D747-4BF1-A93E-0CB61B595FAF}" name="Column5525"/>
    <tableColumn id="5526" xr3:uid="{2099DDA8-3457-4078-8456-14480F97036A}" name="Column5526"/>
    <tableColumn id="5527" xr3:uid="{86179CB3-7550-4163-B0B1-356691542541}" name="Column5527"/>
    <tableColumn id="5528" xr3:uid="{63D28B0F-B607-47CF-A04F-5E741B025223}" name="Column5528"/>
    <tableColumn id="5529" xr3:uid="{3A6A6FF7-4C38-45C9-8F4D-00C2B9CCA9F1}" name="Column5529"/>
    <tableColumn id="5530" xr3:uid="{FB19F8F3-3D0B-4F09-8499-01A70B490603}" name="Column5530"/>
    <tableColumn id="5531" xr3:uid="{BA3C3F60-D380-4094-B815-6024BEF068C3}" name="Column5531"/>
    <tableColumn id="5532" xr3:uid="{89BACB9E-C887-407D-8ACC-805A3B425716}" name="Column5532"/>
    <tableColumn id="5533" xr3:uid="{B5C6EDB4-187A-4FB8-B78E-2759D3FF0891}" name="Column5533"/>
    <tableColumn id="5534" xr3:uid="{F025AF7B-AAE1-4F35-A0E0-1EF2446A0EB6}" name="Column5534"/>
    <tableColumn id="5535" xr3:uid="{AA26D9C5-27F0-46B6-A6F8-F2503D68B4C7}" name="Column5535"/>
    <tableColumn id="5536" xr3:uid="{586B0F77-D005-4D74-91F2-5DC11BE91974}" name="Column5536"/>
    <tableColumn id="5537" xr3:uid="{CBC2FC05-8721-49FE-AC32-6FA461E378E4}" name="Column5537"/>
    <tableColumn id="5538" xr3:uid="{0C80F5E9-039C-4222-B711-F74078FCDC44}" name="Column5538"/>
    <tableColumn id="5539" xr3:uid="{2C13F180-E779-4B87-A25D-1234E4DEB63D}" name="Column5539"/>
    <tableColumn id="5540" xr3:uid="{EECBAA79-3695-427A-8CAD-F7F38FDBCE38}" name="Column5540"/>
    <tableColumn id="5541" xr3:uid="{38F4FED3-9004-45CB-B936-03D6A8501C4A}" name="Column5541"/>
    <tableColumn id="5542" xr3:uid="{6A9D14FC-458D-4E6F-91EB-F33A02E295C7}" name="Column5542"/>
    <tableColumn id="5543" xr3:uid="{6A50010F-1239-4D88-AEF0-2647060CAE85}" name="Column5543"/>
    <tableColumn id="5544" xr3:uid="{ECFFCF07-755D-4E85-8189-B7F7231C80F0}" name="Column5544"/>
    <tableColumn id="5545" xr3:uid="{4055CC8E-F661-4734-9033-F4548866F9EE}" name="Column5545"/>
    <tableColumn id="5546" xr3:uid="{16A0CAAA-4DE2-41BD-8848-AA630F195ADF}" name="Column5546"/>
    <tableColumn id="5547" xr3:uid="{6CA78031-E00A-4707-86FD-229D3815EE91}" name="Column5547"/>
    <tableColumn id="5548" xr3:uid="{2E039129-18C6-4967-B477-3E5F324A4B22}" name="Column5548"/>
    <tableColumn id="5549" xr3:uid="{AF7F256D-222C-4629-9D9A-7EB400E1E2BA}" name="Column5549"/>
    <tableColumn id="5550" xr3:uid="{FDF2141D-9AC7-4B38-A784-6CBE780883A9}" name="Column5550"/>
    <tableColumn id="5551" xr3:uid="{C9E29C95-0BB2-4E4F-8F7D-98829E9DF580}" name="Column5551"/>
    <tableColumn id="5552" xr3:uid="{800C6797-BA45-403A-94B8-12A8319046A0}" name="Column5552"/>
    <tableColumn id="5553" xr3:uid="{79097AF0-DFEE-431E-A79F-DB379AE05831}" name="Column5553"/>
    <tableColumn id="5554" xr3:uid="{7BFA9288-600A-4D20-9519-D2DEDCEB3CF0}" name="Column5554"/>
    <tableColumn id="5555" xr3:uid="{DB68E990-67D3-4E8A-93C1-CAE512BD6EF1}" name="Column5555"/>
    <tableColumn id="5556" xr3:uid="{E6E9CA7E-8567-4786-BEA2-9A77E7596864}" name="Column5556"/>
    <tableColumn id="5557" xr3:uid="{8FEDA638-40A6-46C5-9058-A1C6B2E7BA0F}" name="Column5557"/>
    <tableColumn id="5558" xr3:uid="{7326B98C-FC6E-47B9-8661-9E3A0DF3BA1B}" name="Column5558"/>
    <tableColumn id="5559" xr3:uid="{6C551DA1-D0E2-447D-B07D-335129A475E0}" name="Column5559"/>
    <tableColumn id="5560" xr3:uid="{CE83E781-A156-4815-8C3D-2699E7811501}" name="Column5560"/>
    <tableColumn id="5561" xr3:uid="{D7347A0D-1F73-4769-A105-6BBCA6AB1596}" name="Column5561"/>
    <tableColumn id="5562" xr3:uid="{809F11AD-207C-451B-8FEE-6F8304864665}" name="Column5562"/>
    <tableColumn id="5563" xr3:uid="{07C3B8A0-4819-4D6E-AFC5-ADB7359A5F07}" name="Column5563"/>
    <tableColumn id="5564" xr3:uid="{DD0B56D4-72F2-43CA-8CDB-75866CC3207B}" name="Column5564"/>
    <tableColumn id="5565" xr3:uid="{D4AF88B1-D540-484A-8815-79A7D4D86B0C}" name="Column5565"/>
    <tableColumn id="5566" xr3:uid="{A82F5AF8-C2B6-41B0-AB7B-0DE842ABD33D}" name="Column5566"/>
    <tableColumn id="5567" xr3:uid="{A1C41C8A-56DD-4C20-8F91-CA5BBF40BCDC}" name="Column5567"/>
    <tableColumn id="5568" xr3:uid="{25963D8E-EA46-4DB3-97A5-FA2781AF5223}" name="Column5568"/>
    <tableColumn id="5569" xr3:uid="{BC16B2B6-0757-476E-8F99-89C1C9B61EDF}" name="Column5569"/>
    <tableColumn id="5570" xr3:uid="{BA3CBAF0-7952-4330-8867-23C387D0FC82}" name="Column5570"/>
    <tableColumn id="5571" xr3:uid="{418EC30D-E73F-4979-80C6-446F363BDF34}" name="Column5571"/>
    <tableColumn id="5572" xr3:uid="{C8AFD613-ECA1-4F06-ACFF-5F5D755A0D21}" name="Column5572"/>
    <tableColumn id="5573" xr3:uid="{111E316F-77D4-44F3-8174-4B319A85B0E5}" name="Column5573"/>
    <tableColumn id="5574" xr3:uid="{F361A770-D8D4-4844-BE8F-F9F17C14C7A6}" name="Column5574"/>
    <tableColumn id="5575" xr3:uid="{0EDF9C37-BEAB-4B12-AFDB-449718D036A6}" name="Column5575"/>
    <tableColumn id="5576" xr3:uid="{CC4EFE19-0D68-4F25-877A-7716C9D08551}" name="Column5576"/>
    <tableColumn id="5577" xr3:uid="{BC7643AA-8118-4043-8E81-F7FADE8F08FB}" name="Column5577"/>
    <tableColumn id="5578" xr3:uid="{6041CF52-DEE1-4132-BB6C-AF596A073593}" name="Column5578"/>
    <tableColumn id="5579" xr3:uid="{38536948-7726-4CDD-9446-9C3E39C1AE0D}" name="Column5579"/>
    <tableColumn id="5580" xr3:uid="{626C8D86-1F85-4C5F-B0F2-2BABA40566D2}" name="Column5580"/>
    <tableColumn id="5581" xr3:uid="{1AC79754-5C37-4379-83EE-F102D69AD136}" name="Column5581"/>
    <tableColumn id="5582" xr3:uid="{051F6D3F-C3D8-4017-94F1-075DF4648B73}" name="Column5582"/>
    <tableColumn id="5583" xr3:uid="{45E09093-168D-4940-97BD-21DA91C3C4C1}" name="Column5583"/>
    <tableColumn id="5584" xr3:uid="{F4DBC991-FB1E-47A2-A5B5-291842578563}" name="Column5584"/>
    <tableColumn id="5585" xr3:uid="{3A8D89C8-C2EF-4D04-90EC-6D0529BD2ADE}" name="Column5585"/>
    <tableColumn id="5586" xr3:uid="{FBA0D652-85F1-4A1B-BB7E-E6B6E8E617B5}" name="Column5586"/>
    <tableColumn id="5587" xr3:uid="{C828654D-3662-4C5C-AFCE-6ED7B9BD12C8}" name="Column5587"/>
    <tableColumn id="5588" xr3:uid="{93CC34F1-66A2-430B-85C9-76943F0BEA4B}" name="Column5588"/>
    <tableColumn id="5589" xr3:uid="{D1258F49-0F18-444E-939A-D9F0AE3EEBE6}" name="Column5589"/>
    <tableColumn id="5590" xr3:uid="{DED8C81C-3D7D-4A67-B527-6CAB8E3D372F}" name="Column5590"/>
    <tableColumn id="5591" xr3:uid="{0487F8E5-F45B-470B-B0B9-C3A3514CFE26}" name="Column5591"/>
    <tableColumn id="5592" xr3:uid="{9ED9AE37-52C5-4D6A-9048-00A4F63052D1}" name="Column5592"/>
    <tableColumn id="5593" xr3:uid="{683093F6-7C38-4D3F-9533-2F9EDE77B22E}" name="Column5593"/>
    <tableColumn id="5594" xr3:uid="{684526E3-BABF-47F6-9316-797EFE41E940}" name="Column5594"/>
    <tableColumn id="5595" xr3:uid="{C5249222-5B48-43F8-948F-7C9F95FC9A93}" name="Column5595"/>
    <tableColumn id="5596" xr3:uid="{03809575-A2EA-4DF6-9908-CA30A2E7AC81}" name="Column5596"/>
    <tableColumn id="5597" xr3:uid="{00585F7F-3F4F-436F-B9D8-F8427A50A098}" name="Column5597"/>
    <tableColumn id="5598" xr3:uid="{A01A0FA6-F608-4C3D-B9B7-3CAC599B120D}" name="Column5598"/>
    <tableColumn id="5599" xr3:uid="{C40775BB-C63C-43F9-8797-18DA6D694381}" name="Column5599"/>
    <tableColumn id="5600" xr3:uid="{21234FCE-49F7-490D-8DFB-112DA63D0BEB}" name="Column5600"/>
    <tableColumn id="5601" xr3:uid="{AA356368-A7CC-460C-8E18-C39472621B8B}" name="Column5601"/>
    <tableColumn id="5602" xr3:uid="{7E61FBE4-5994-4291-B5AC-12F9345DD9F0}" name="Column5602"/>
    <tableColumn id="5603" xr3:uid="{4494B163-2BE6-4B03-ADA4-EDBC124D06F3}" name="Column5603"/>
    <tableColumn id="5604" xr3:uid="{422BF545-E858-4D69-9DFD-7E6A3B777594}" name="Column5604"/>
    <tableColumn id="5605" xr3:uid="{1FD9FAB2-9EAD-41BA-B5FF-ACC4BDBB9C1C}" name="Column5605"/>
    <tableColumn id="5606" xr3:uid="{767E1698-0D1A-4971-91EC-C513F4F3B72C}" name="Column5606"/>
    <tableColumn id="5607" xr3:uid="{F3831DF3-F515-41E2-8758-C8144A887AA3}" name="Column5607"/>
    <tableColumn id="5608" xr3:uid="{F5068331-87EE-4808-AD92-5ECFB69AC326}" name="Column5608"/>
    <tableColumn id="5609" xr3:uid="{0A49D634-1AA0-4A8F-808B-D5BE11336632}" name="Column5609"/>
    <tableColumn id="5610" xr3:uid="{CB5D2897-164E-471A-8ABE-84557015CCF0}" name="Column5610"/>
    <tableColumn id="5611" xr3:uid="{6F39D109-E1FA-47BE-8F02-9B0A7B3DFF84}" name="Column5611"/>
    <tableColumn id="5612" xr3:uid="{43391C15-38C5-4CA9-A048-1E83B25BA412}" name="Column5612"/>
    <tableColumn id="5613" xr3:uid="{B41C67FC-AC57-496F-BE8F-CDCE5808EE12}" name="Column5613"/>
    <tableColumn id="5614" xr3:uid="{FBEF830B-BB07-40BE-BE8C-628C51543E40}" name="Column5614"/>
    <tableColumn id="5615" xr3:uid="{B2008120-1641-47EB-81B9-6F925E37A5B1}" name="Column5615"/>
    <tableColumn id="5616" xr3:uid="{F7E0962A-DC81-4D06-8B35-7CE4A8A18DA6}" name="Column5616"/>
    <tableColumn id="5617" xr3:uid="{E60E7356-18B4-4C14-8300-474083336731}" name="Column5617"/>
    <tableColumn id="5618" xr3:uid="{37260068-9971-45C8-93F1-FB7EA9165B31}" name="Column5618"/>
    <tableColumn id="5619" xr3:uid="{BE44E60D-5F51-4C01-9C93-6D39FE019E67}" name="Column5619"/>
    <tableColumn id="5620" xr3:uid="{1C8EDA2C-2350-48B1-AF1A-350F1A973870}" name="Column5620"/>
    <tableColumn id="5621" xr3:uid="{D6719A51-C43F-4647-B223-24A83D415D77}" name="Column5621"/>
    <tableColumn id="5622" xr3:uid="{D05E1280-9E8F-4801-8B03-53D3B4DB10F2}" name="Column5622"/>
    <tableColumn id="5623" xr3:uid="{D66BCAB5-4C9E-4978-A626-B1F03DC4C425}" name="Column5623"/>
    <tableColumn id="5624" xr3:uid="{36C52A02-E1D3-4129-957D-D25C7A07721E}" name="Column5624"/>
    <tableColumn id="5625" xr3:uid="{8709C8C7-932B-400C-94F3-A8EA174EDA76}" name="Column5625"/>
    <tableColumn id="5626" xr3:uid="{46718BBE-848B-4602-AE2C-F930720457E4}" name="Column5626"/>
    <tableColumn id="5627" xr3:uid="{1976ACAA-3B77-4455-AA57-6D3E37E5AD0A}" name="Column5627"/>
    <tableColumn id="5628" xr3:uid="{7E53AFEC-1CF2-4C2B-B595-844D119CFC5D}" name="Column5628"/>
    <tableColumn id="5629" xr3:uid="{0C8795DF-95BD-476C-9DAF-E1D839095D4F}" name="Column5629"/>
    <tableColumn id="5630" xr3:uid="{50E2B65E-F7E2-4F24-BE13-458DDAA98C52}" name="Column5630"/>
    <tableColumn id="5631" xr3:uid="{6C513512-FA15-4937-A347-362B65EB996B}" name="Column5631"/>
    <tableColumn id="5632" xr3:uid="{FAEE62FF-CA83-42DB-839F-5BF2C5908246}" name="Column5632"/>
    <tableColumn id="5633" xr3:uid="{184BE629-B796-428C-B7E0-62C80C53525E}" name="Column5633"/>
    <tableColumn id="5634" xr3:uid="{8DA46E12-F655-4592-B9A4-F08C44389751}" name="Column5634"/>
    <tableColumn id="5635" xr3:uid="{2337C796-7103-4F2A-A40F-1DEB61436566}" name="Column5635"/>
    <tableColumn id="5636" xr3:uid="{8B33B3BA-6E09-4DE4-887F-B56F1BB506B5}" name="Column5636"/>
    <tableColumn id="5637" xr3:uid="{C6AB801D-7F44-4D1E-8D99-E0420C8DA3B6}" name="Column5637"/>
    <tableColumn id="5638" xr3:uid="{2A72B141-7A75-4C88-95CC-A5FB192837C3}" name="Column5638"/>
    <tableColumn id="5639" xr3:uid="{67A42F97-A409-45D3-BADF-5C859018B643}" name="Column5639"/>
    <tableColumn id="5640" xr3:uid="{62A0F845-8892-4DC4-A50B-D2093785AB82}" name="Column5640"/>
    <tableColumn id="5641" xr3:uid="{94D45795-BE32-4332-A883-B82F7E84AEF7}" name="Column5641"/>
    <tableColumn id="5642" xr3:uid="{B5ACF710-A399-47B2-8D4A-04B1D4902CA4}" name="Column5642"/>
    <tableColumn id="5643" xr3:uid="{84CEC8FD-09B4-4999-A186-7A314DB24F9B}" name="Column5643"/>
    <tableColumn id="5644" xr3:uid="{63E9420D-8FAD-486A-843C-559569962D4E}" name="Column5644"/>
    <tableColumn id="5645" xr3:uid="{75454A90-B801-4587-A3C4-406188C8E2FE}" name="Column5645"/>
    <tableColumn id="5646" xr3:uid="{7DB2EEED-9374-4043-B703-876559F1EADE}" name="Column5646"/>
    <tableColumn id="5647" xr3:uid="{EBF70DB1-5D11-4358-8D30-CF2C78B8196E}" name="Column5647"/>
    <tableColumn id="5648" xr3:uid="{0D1748F0-237B-45FC-9D66-6E54D257EAAD}" name="Column5648"/>
    <tableColumn id="5649" xr3:uid="{5B32A168-9819-460C-9834-039A54445D48}" name="Column5649"/>
    <tableColumn id="5650" xr3:uid="{3882FEBE-13D7-4350-9021-A486D02CF0E4}" name="Column5650"/>
    <tableColumn id="5651" xr3:uid="{36E55033-9A75-4009-8B08-6ACEF000B762}" name="Column5651"/>
    <tableColumn id="5652" xr3:uid="{00D41CBB-7666-4255-B585-E8B69C39731C}" name="Column5652"/>
    <tableColumn id="5653" xr3:uid="{12BB0948-5A76-41CF-82E8-E2FCB7F73C11}" name="Column5653"/>
    <tableColumn id="5654" xr3:uid="{DA7B7E4B-F3CC-401C-8580-B7968F67EC79}" name="Column5654"/>
    <tableColumn id="5655" xr3:uid="{592A8731-3DB3-4445-BE9B-B21B39E3564C}" name="Column5655"/>
    <tableColumn id="5656" xr3:uid="{B5DBA02A-82C2-4460-BA1C-6AE43233FB90}" name="Column5656"/>
    <tableColumn id="5657" xr3:uid="{64DA9B6E-2950-4DCE-B695-BFD993DC7B26}" name="Column5657"/>
    <tableColumn id="5658" xr3:uid="{C5917BBF-2DCA-4786-8D9C-B01E6E5BAE4E}" name="Column5658"/>
    <tableColumn id="5659" xr3:uid="{26AF6126-8C7E-4FC4-BC67-EDF154EB342E}" name="Column5659"/>
    <tableColumn id="5660" xr3:uid="{44CB270D-7789-4BB8-A63D-847ECB8B560F}" name="Column5660"/>
    <tableColumn id="5661" xr3:uid="{C152972A-8096-43A9-B945-5BF02E470AB8}" name="Column5661"/>
    <tableColumn id="5662" xr3:uid="{F37B7550-C0C6-4F68-A1DD-221D4C11B955}" name="Column5662"/>
    <tableColumn id="5663" xr3:uid="{7F51D5B0-CDC8-47D7-A95A-D9774D47C13B}" name="Column5663"/>
    <tableColumn id="5664" xr3:uid="{CBB45DB9-6BDE-4D9B-ABFE-672D9509B3A9}" name="Column5664"/>
    <tableColumn id="5665" xr3:uid="{8F1CB4C4-FF6B-4661-81D3-58185121952B}" name="Column5665"/>
    <tableColumn id="5666" xr3:uid="{C15CA540-DB57-4E91-B063-C3CBACF8879C}" name="Column5666"/>
    <tableColumn id="5667" xr3:uid="{05284E7C-00C9-4062-BC7D-21D7D64D1AEA}" name="Column5667"/>
    <tableColumn id="5668" xr3:uid="{40C82BF9-05A1-4602-BBBA-F6C9DBA788E2}" name="Column5668"/>
    <tableColumn id="5669" xr3:uid="{5C965BA1-6899-4053-889A-525D38CF2F4D}" name="Column5669"/>
    <tableColumn id="5670" xr3:uid="{F80428CE-D164-4133-98AF-7BB692137294}" name="Column5670"/>
    <tableColumn id="5671" xr3:uid="{A868A7F5-7CD9-489A-9641-167E42E139FD}" name="Column5671"/>
    <tableColumn id="5672" xr3:uid="{BD984C26-2FD3-41D8-9568-EDFA5B5CDD0B}" name="Column5672"/>
    <tableColumn id="5673" xr3:uid="{DAABBDC9-6FEC-4438-8FCB-09DF2067556B}" name="Column5673"/>
    <tableColumn id="5674" xr3:uid="{564C43A4-7D12-4531-83BC-E229FD5268A7}" name="Column5674"/>
    <tableColumn id="5675" xr3:uid="{42089D98-7228-45D1-9B24-A8E94FCBC1C1}" name="Column5675"/>
    <tableColumn id="5676" xr3:uid="{9BA41E08-54C7-4C85-B416-21147A918AF5}" name="Column5676"/>
    <tableColumn id="5677" xr3:uid="{DAD54DB1-0CB8-4192-9BC6-74B7E94F3B09}" name="Column5677"/>
    <tableColumn id="5678" xr3:uid="{83FAEE0C-78E2-42C7-BA1D-4208C80A4A9F}" name="Column5678"/>
    <tableColumn id="5679" xr3:uid="{6F2014C9-0F41-4905-9EC7-7C71AE9670E0}" name="Column5679"/>
    <tableColumn id="5680" xr3:uid="{50DB60C5-D3C1-4B8E-82A0-33DA25D306F6}" name="Column5680"/>
    <tableColumn id="5681" xr3:uid="{F875A17D-B0AD-4228-93B7-F7C208D1BD6C}" name="Column5681"/>
    <tableColumn id="5682" xr3:uid="{EECAB42A-F791-4A49-B314-92D24F979E59}" name="Column5682"/>
    <tableColumn id="5683" xr3:uid="{1A4E0472-1628-40B5-982D-352AF3735506}" name="Column5683"/>
    <tableColumn id="5684" xr3:uid="{AE809CD2-0277-4DE9-A421-71702930926C}" name="Column5684"/>
    <tableColumn id="5685" xr3:uid="{0AE2DE2C-C3DF-4E98-A350-3E82CF41D2FC}" name="Column5685"/>
    <tableColumn id="5686" xr3:uid="{034251A9-05F5-4817-AF70-C8F4EC87DB8D}" name="Column5686"/>
    <tableColumn id="5687" xr3:uid="{C6A6F208-7836-4222-8512-71025A884702}" name="Column5687"/>
    <tableColumn id="5688" xr3:uid="{3A71D8A2-3599-4903-8994-FB9CB5929FFB}" name="Column5688"/>
    <tableColumn id="5689" xr3:uid="{07FDE14A-A5C8-4E99-B9D0-A1E0ADD16EF5}" name="Column5689"/>
    <tableColumn id="5690" xr3:uid="{31E1C145-0846-459F-A0A0-AC6D816B502F}" name="Column5690"/>
    <tableColumn id="5691" xr3:uid="{6ADA4A33-25E3-4276-97BE-F28D2064323E}" name="Column5691"/>
    <tableColumn id="5692" xr3:uid="{FA24D2CF-DC97-4A7B-ABFE-F93654811DE6}" name="Column5692"/>
    <tableColumn id="5693" xr3:uid="{3D72337A-9EAB-4B12-B50C-E0D006DE0E4D}" name="Column5693"/>
    <tableColumn id="5694" xr3:uid="{832EC9C6-EC81-4A7C-ABB7-EBCC53619C10}" name="Column5694"/>
    <tableColumn id="5695" xr3:uid="{0383B897-DC88-478D-8652-8D39C60A0161}" name="Column5695"/>
    <tableColumn id="5696" xr3:uid="{2712C736-2642-4E75-8AAD-8C11C870BE59}" name="Column5696"/>
    <tableColumn id="5697" xr3:uid="{B27F2C49-8A2C-4980-81C5-01A884C9A9A5}" name="Column5697"/>
    <tableColumn id="5698" xr3:uid="{79A60581-5ACC-419D-A2CA-23D78025AE4F}" name="Column5698"/>
    <tableColumn id="5699" xr3:uid="{AFB1D502-59BA-485C-9BDA-E0605B7D2474}" name="Column5699"/>
    <tableColumn id="5700" xr3:uid="{56C93F78-793E-4CE3-A3C8-211B842F457A}" name="Column5700"/>
    <tableColumn id="5701" xr3:uid="{C26FAC6D-B1E1-469B-A24A-CA8E283FB5C5}" name="Column5701"/>
    <tableColumn id="5702" xr3:uid="{AD0B07AC-BA33-4530-855F-7F216D554228}" name="Column5702"/>
    <tableColumn id="5703" xr3:uid="{283C9C0D-5EBF-4C75-9B35-553546C7ABA7}" name="Column5703"/>
    <tableColumn id="5704" xr3:uid="{ED24818B-4D95-41DE-AA91-8D9B20FA7806}" name="Column5704"/>
    <tableColumn id="5705" xr3:uid="{D9FEAF00-D4EE-437A-8D80-BA32C0509109}" name="Column5705"/>
    <tableColumn id="5706" xr3:uid="{283593B9-22A6-449A-AF53-360CF06EB81F}" name="Column5706"/>
    <tableColumn id="5707" xr3:uid="{B55F8F2D-0D08-4240-B258-B48110753330}" name="Column5707"/>
    <tableColumn id="5708" xr3:uid="{B9BFD5A8-98D9-49AE-8F76-10E20830FA1A}" name="Column5708"/>
    <tableColumn id="5709" xr3:uid="{65FAB706-4605-410E-90CB-429B09357489}" name="Column5709"/>
    <tableColumn id="5710" xr3:uid="{775E4494-D198-40C6-92AE-B5781B73982F}" name="Column5710"/>
    <tableColumn id="5711" xr3:uid="{12865A25-5AA9-45EB-85C6-14502E4E3238}" name="Column5711"/>
    <tableColumn id="5712" xr3:uid="{4F393F49-7FB4-4A81-B766-85F89155E86E}" name="Column5712"/>
    <tableColumn id="5713" xr3:uid="{952CA85D-DABC-4A5F-8885-AEA58CF3B65F}" name="Column5713"/>
    <tableColumn id="5714" xr3:uid="{780C605F-A313-4D8A-B8A2-86AD6B202476}" name="Column5714"/>
    <tableColumn id="5715" xr3:uid="{5949C252-64DF-4C5B-8B36-0108223A6645}" name="Column5715"/>
    <tableColumn id="5716" xr3:uid="{38E90E22-C5CA-411C-B025-EC0CC83E2944}" name="Column5716"/>
    <tableColumn id="5717" xr3:uid="{983229A2-4150-4432-83CB-4662DADD1D81}" name="Column5717"/>
    <tableColumn id="5718" xr3:uid="{71943636-A943-48C2-B2E7-B94FE7FD0BD7}" name="Column5718"/>
    <tableColumn id="5719" xr3:uid="{7DBBFA8A-3BD2-4370-A6BC-E0A924ACC860}" name="Column5719"/>
    <tableColumn id="5720" xr3:uid="{3BA64295-583F-4115-A7D8-92A2429E53C4}" name="Column5720"/>
    <tableColumn id="5721" xr3:uid="{4C75C9CC-20CE-4BD4-B00F-7438A199AB01}" name="Column5721"/>
    <tableColumn id="5722" xr3:uid="{249BA163-E5FB-4B3F-B5DD-EE8D0E5E0A32}" name="Column5722"/>
    <tableColumn id="5723" xr3:uid="{216DDFD9-80EA-4DDE-BC5D-6E663D72283A}" name="Column5723"/>
    <tableColumn id="5724" xr3:uid="{6BE3BC49-7A3F-4369-8B4B-8D9335329AC2}" name="Column5724"/>
    <tableColumn id="5725" xr3:uid="{3BB10767-8FD1-4018-B02F-7A50178E5815}" name="Column5725"/>
    <tableColumn id="5726" xr3:uid="{557419EC-4B3A-4667-9D8B-2572AC6DC213}" name="Column5726"/>
    <tableColumn id="5727" xr3:uid="{D3AF6EA6-0962-4CD3-9517-241F2A4177C5}" name="Column5727"/>
    <tableColumn id="5728" xr3:uid="{F19DA4A8-8979-40CA-BDDA-1ADCBAF2E38E}" name="Column5728"/>
    <tableColumn id="5729" xr3:uid="{F763F7AC-D749-4601-B605-FB3A234682C5}" name="Column5729"/>
    <tableColumn id="5730" xr3:uid="{502927D2-53C8-445A-82E4-4A4B6839178A}" name="Column5730"/>
    <tableColumn id="5731" xr3:uid="{3332F72B-B00C-452C-8953-7C035258B75C}" name="Column5731"/>
    <tableColumn id="5732" xr3:uid="{69F4C320-7D89-4C7E-8D76-A93358505DB1}" name="Column5732"/>
    <tableColumn id="5733" xr3:uid="{8E52F145-737B-41FC-9624-652C6E61F211}" name="Column5733"/>
    <tableColumn id="5734" xr3:uid="{282F45F4-032C-4903-8C97-D70E18527F02}" name="Column5734"/>
    <tableColumn id="5735" xr3:uid="{A6810F69-0B5A-4A1A-ACAB-44599A51DDBF}" name="Column5735"/>
    <tableColumn id="5736" xr3:uid="{F4B34390-78E1-4F0C-9FB3-F19F1F2E73CD}" name="Column5736"/>
    <tableColumn id="5737" xr3:uid="{477EF877-E06E-4F1C-AAA2-B6CDB7A403DC}" name="Column5737"/>
    <tableColumn id="5738" xr3:uid="{88B0EC1B-4D5F-4493-844C-85815B122D6A}" name="Column5738"/>
    <tableColumn id="5739" xr3:uid="{21B93C88-397F-4303-B6FD-3F94445F9ED2}" name="Column5739"/>
    <tableColumn id="5740" xr3:uid="{83A9015E-948F-4650-84E8-BE7F3205DA58}" name="Column5740"/>
    <tableColumn id="5741" xr3:uid="{D300917E-B822-4F4A-A4D0-8C4936FF2148}" name="Column5741"/>
    <tableColumn id="5742" xr3:uid="{3852CA15-0F2E-4E58-B69D-8A5E40B92C9D}" name="Column5742"/>
    <tableColumn id="5743" xr3:uid="{BA95419C-651B-42E6-A6E0-0441F22886DC}" name="Column5743"/>
    <tableColumn id="5744" xr3:uid="{04E76151-2DE5-4F56-B3EF-7E5F48F2D456}" name="Column5744"/>
    <tableColumn id="5745" xr3:uid="{579F3F70-5462-4A43-8E5D-F24806BA8091}" name="Column5745"/>
    <tableColumn id="5746" xr3:uid="{3ADB6A77-D6C2-4C80-83F9-DCDA8A3866FA}" name="Column5746"/>
    <tableColumn id="5747" xr3:uid="{C7BB505F-DA66-4E0F-B79D-112AC0460CE4}" name="Column5747"/>
    <tableColumn id="5748" xr3:uid="{DA49A4AD-8C85-4137-93E0-48CB7C573D1D}" name="Column5748"/>
    <tableColumn id="5749" xr3:uid="{814A5CD5-CB37-4A5A-9202-519C340BF6CB}" name="Column5749"/>
    <tableColumn id="5750" xr3:uid="{880412D8-CF67-4279-85E1-204BEC8D08B0}" name="Column5750"/>
    <tableColumn id="5751" xr3:uid="{1E3D941B-17A0-4BB2-8B38-65AE550D991E}" name="Column5751"/>
    <tableColumn id="5752" xr3:uid="{D970E669-A250-4E2F-9745-8B858E897E7E}" name="Column5752"/>
    <tableColumn id="5753" xr3:uid="{E2BE6E06-7D4B-4CC6-9402-02AD305BA676}" name="Column5753"/>
    <tableColumn id="5754" xr3:uid="{2A043A0E-C34C-49B0-BE34-4E0A9355DE61}" name="Column5754"/>
    <tableColumn id="5755" xr3:uid="{9E31D8CE-A5A7-41E4-BF79-4FB0B184266F}" name="Column5755"/>
    <tableColumn id="5756" xr3:uid="{B9695CB5-235C-4659-A72E-DCCBC157735A}" name="Column5756"/>
    <tableColumn id="5757" xr3:uid="{78BD8E42-49AE-40E2-970D-B06431DFCF5E}" name="Column5757"/>
    <tableColumn id="5758" xr3:uid="{774E2BB8-CE26-419D-A85A-E757FD057180}" name="Column5758"/>
    <tableColumn id="5759" xr3:uid="{62B7AEF5-99AA-4543-B8B7-9C987F999612}" name="Column5759"/>
    <tableColumn id="5760" xr3:uid="{468CD6FA-742E-458A-A04B-2F1C9E2FA2A4}" name="Column5760"/>
    <tableColumn id="5761" xr3:uid="{C1A0DA06-E9D7-459D-A7A9-6A5C8D755883}" name="Column5761"/>
    <tableColumn id="5762" xr3:uid="{90E140FB-AD3B-49C6-B2AB-6D5FD1F2EEA7}" name="Column5762"/>
    <tableColumn id="5763" xr3:uid="{AD13DB04-076E-422D-8AEF-CDC1B0BF9355}" name="Column5763"/>
    <tableColumn id="5764" xr3:uid="{7B9D0137-B7B8-4CF0-A463-2E0D97B9F1BA}" name="Column5764"/>
    <tableColumn id="5765" xr3:uid="{257C2B18-0133-4261-A2B6-B0A755C3C5DE}" name="Column5765"/>
    <tableColumn id="5766" xr3:uid="{409DACA5-68A3-4FA5-9933-2DEDADC3BE56}" name="Column5766"/>
    <tableColumn id="5767" xr3:uid="{A190CB86-6ACC-4F07-A963-6E3951FF7603}" name="Column5767"/>
    <tableColumn id="5768" xr3:uid="{4C69BB10-5A10-454A-BD35-1D452C5C78DE}" name="Column5768"/>
    <tableColumn id="5769" xr3:uid="{B50DA793-9A05-4E4E-8DC5-B38592EA7FD3}" name="Column5769"/>
    <tableColumn id="5770" xr3:uid="{370C2DEA-5366-49CD-9F4A-2FB06C2147BD}" name="Column5770"/>
    <tableColumn id="5771" xr3:uid="{09A4AB0F-1DB4-4178-96B5-46646D127DBE}" name="Column5771"/>
    <tableColumn id="5772" xr3:uid="{80E64393-8DD4-4555-963B-3D59132FF242}" name="Column5772"/>
    <tableColumn id="5773" xr3:uid="{370521B0-4A59-472C-A3E1-7F84E231A4B2}" name="Column5773"/>
    <tableColumn id="5774" xr3:uid="{6D27B83F-2E72-4BE6-AE85-F1B647997701}" name="Column5774"/>
    <tableColumn id="5775" xr3:uid="{039479BA-1192-4D1E-B6CC-2D95152606C8}" name="Column5775"/>
    <tableColumn id="5776" xr3:uid="{CEC954C1-34F6-40B9-A7E9-EBE2BB1B7CEF}" name="Column5776"/>
    <tableColumn id="5777" xr3:uid="{67883B87-6790-4C5C-80FC-9B7EF15E6FBF}" name="Column5777"/>
    <tableColumn id="5778" xr3:uid="{378F5408-8359-480F-A3B0-44830D82DFD2}" name="Column5778"/>
    <tableColumn id="5779" xr3:uid="{CC1A0543-F7B0-4771-9C48-04DDCF9F5723}" name="Column5779"/>
    <tableColumn id="5780" xr3:uid="{90B9DFDE-CEEB-44D5-AEF6-B395B276DA6E}" name="Column5780"/>
    <tableColumn id="5781" xr3:uid="{3A82C721-AA01-4F65-A8A8-B8BE5600D03E}" name="Column5781"/>
    <tableColumn id="5782" xr3:uid="{70119CF8-18AF-4734-9F36-501394FB7C5D}" name="Column5782"/>
    <tableColumn id="5783" xr3:uid="{87B5D8E0-FA5E-4B66-B124-BCC06E6B42F6}" name="Column5783"/>
    <tableColumn id="5784" xr3:uid="{6FDA0694-2158-4C00-87B5-BBDD86DFB9A5}" name="Column5784"/>
    <tableColumn id="5785" xr3:uid="{434990AE-C62C-49C4-A220-7AFE1F64D1BF}" name="Column5785"/>
    <tableColumn id="5786" xr3:uid="{4F42070D-3F53-46F5-8D0B-AACE3C44E0BD}" name="Column5786"/>
    <tableColumn id="5787" xr3:uid="{5C2051D1-FE37-473F-AF10-392825CE4CC0}" name="Column5787"/>
    <tableColumn id="5788" xr3:uid="{3D9F13E4-02D1-45D5-B842-169C482F2A18}" name="Column5788"/>
    <tableColumn id="5789" xr3:uid="{9284696A-E617-4809-8C70-BD324481A44B}" name="Column5789"/>
    <tableColumn id="5790" xr3:uid="{922C25CF-5554-496F-AFB8-28794BFD737F}" name="Column5790"/>
    <tableColumn id="5791" xr3:uid="{17A2F600-1670-4CBD-A6B0-09E7A8AA2FEA}" name="Column5791"/>
    <tableColumn id="5792" xr3:uid="{4A49EEFF-327E-4FD3-9CE4-81E014ECB3F0}" name="Column5792"/>
    <tableColumn id="5793" xr3:uid="{C7DB088C-5828-4A07-96A1-0BA617DE3569}" name="Column5793"/>
    <tableColumn id="5794" xr3:uid="{9E430BE7-32E2-4925-A323-7215FC0EC317}" name="Column5794"/>
    <tableColumn id="5795" xr3:uid="{13BBBCD0-7B27-49FC-845B-A0D7BCF242C4}" name="Column5795"/>
    <tableColumn id="5796" xr3:uid="{C459EB69-DC14-4CC1-9277-CC2213376FE0}" name="Column5796"/>
    <tableColumn id="5797" xr3:uid="{17487B1F-CCFA-4D28-BE82-D182A27A3566}" name="Column5797"/>
    <tableColumn id="5798" xr3:uid="{9AEE74C3-C4DB-440F-A573-58E22F35138E}" name="Column5798"/>
    <tableColumn id="5799" xr3:uid="{C5B13318-0068-4903-9E6C-37301A43E0AB}" name="Column5799"/>
    <tableColumn id="5800" xr3:uid="{5C346FF0-EB9D-4013-AB51-2782122759C3}" name="Column5800"/>
    <tableColumn id="5801" xr3:uid="{07673323-4CF8-4B0B-903E-575EFF6AD1AB}" name="Column5801"/>
    <tableColumn id="5802" xr3:uid="{D48B523B-BB98-4423-8E33-8D0AFEA89DDF}" name="Column5802"/>
    <tableColumn id="5803" xr3:uid="{C8DD8C63-3319-4EA3-AE63-C168877006E0}" name="Column5803"/>
    <tableColumn id="5804" xr3:uid="{48BAB631-3167-4718-8CE7-5E8EBA605258}" name="Column5804"/>
    <tableColumn id="5805" xr3:uid="{475AD36B-4243-4A10-A515-A1325DACB117}" name="Column5805"/>
    <tableColumn id="5806" xr3:uid="{BBCC4862-4056-41A7-99CB-4844CFAF0BD5}" name="Column5806"/>
    <tableColumn id="5807" xr3:uid="{A5013942-4870-4883-A0F6-150058D3CD64}" name="Column5807"/>
    <tableColumn id="5808" xr3:uid="{FF4C533B-719C-4EE6-B52E-9EBFDF60585E}" name="Column5808"/>
    <tableColumn id="5809" xr3:uid="{6F162579-85CF-4322-AE7E-FE2AEFD892A6}" name="Column5809"/>
    <tableColumn id="5810" xr3:uid="{BE4BB94E-E587-4D55-A1D2-738136E88743}" name="Column5810"/>
    <tableColumn id="5811" xr3:uid="{A29552B8-BA99-4841-9B7E-1C18733CA1BD}" name="Column5811"/>
    <tableColumn id="5812" xr3:uid="{F78B9195-5429-485C-AE33-1B8A72C6B5DE}" name="Column5812"/>
    <tableColumn id="5813" xr3:uid="{1BA02F38-A19B-45C2-9230-B267F91C0634}" name="Column5813"/>
    <tableColumn id="5814" xr3:uid="{2C4F8B55-4197-4530-AF9C-2316CBFC1CDD}" name="Column5814"/>
    <tableColumn id="5815" xr3:uid="{B1B86EEA-1026-4611-933C-618B3BF710C0}" name="Column5815"/>
    <tableColumn id="5816" xr3:uid="{9005E905-BB52-43C7-86F9-1F959905E62E}" name="Column5816"/>
    <tableColumn id="5817" xr3:uid="{A34F769B-A933-481C-BCA4-4FF4199A0A56}" name="Column5817"/>
    <tableColumn id="5818" xr3:uid="{98D2CCF1-2016-4DC1-8959-DBAEC110BA06}" name="Column5818"/>
    <tableColumn id="5819" xr3:uid="{38512821-ECA8-4AEA-8A2C-0EAE778CEFF4}" name="Column5819"/>
    <tableColumn id="5820" xr3:uid="{B299D2DD-4C6A-47C4-9CCD-AD8F1F143299}" name="Column5820"/>
    <tableColumn id="5821" xr3:uid="{88F7657A-777E-4844-96D2-60B8776AE9FD}" name="Column5821"/>
    <tableColumn id="5822" xr3:uid="{68FCE289-5A11-4D7E-B3E4-A09F4B4C74F8}" name="Column5822"/>
    <tableColumn id="5823" xr3:uid="{3A4278B3-E775-4DED-B2D6-F33156B7E49B}" name="Column5823"/>
    <tableColumn id="5824" xr3:uid="{093E0F2D-9D05-4A6D-BF9A-6CCCBBDC94ED}" name="Column5824"/>
    <tableColumn id="5825" xr3:uid="{6B94AD3D-7049-4015-AB0C-0B96093E735C}" name="Column5825"/>
    <tableColumn id="5826" xr3:uid="{49975ADF-4CDB-496A-A8C8-D4D440529C66}" name="Column5826"/>
    <tableColumn id="5827" xr3:uid="{F85E3AB4-7806-4888-BAFF-CA6AF5F75E8C}" name="Column5827"/>
    <tableColumn id="5828" xr3:uid="{E28DB3A4-E4F2-41E2-922E-A74FC70FB497}" name="Column5828"/>
    <tableColumn id="5829" xr3:uid="{736B1A78-0710-4AA0-A2E9-E1EAB67B1AC4}" name="Column5829"/>
    <tableColumn id="5830" xr3:uid="{1552805A-CADC-471B-922F-191D20B60C83}" name="Column5830"/>
    <tableColumn id="5831" xr3:uid="{4794E339-8FE5-4601-95B4-9BC14DC1128B}" name="Column5831"/>
    <tableColumn id="5832" xr3:uid="{7740771E-7317-450A-A34B-E4D684A6F7A2}" name="Column5832"/>
    <tableColumn id="5833" xr3:uid="{FB397B85-BEAE-4C83-8CC5-1795E00194AE}" name="Column5833"/>
    <tableColumn id="5834" xr3:uid="{E1DD0FC6-626C-4A52-A507-7B6FA9512E84}" name="Column5834"/>
    <tableColumn id="5835" xr3:uid="{BE8D724D-FDC0-48EA-964C-886B8A495AE4}" name="Column5835"/>
    <tableColumn id="5836" xr3:uid="{E94D1696-A174-4D6A-B842-DFE5B6F6DEF1}" name="Column5836"/>
    <tableColumn id="5837" xr3:uid="{7EDF34F4-F449-4C9D-8335-F4A63E041515}" name="Column5837"/>
    <tableColumn id="5838" xr3:uid="{12B344BA-6F0F-4037-A2B7-A910277932AF}" name="Column5838"/>
    <tableColumn id="5839" xr3:uid="{65F12A64-EA35-4291-806B-333AD02EA587}" name="Column5839"/>
    <tableColumn id="5840" xr3:uid="{61D2B438-A676-41F6-9B37-07AE952003C7}" name="Column5840"/>
    <tableColumn id="5841" xr3:uid="{08E30AF0-E67F-4F93-BBA2-7310DF27CCBD}" name="Column5841"/>
    <tableColumn id="5842" xr3:uid="{92376071-40A7-4225-BD53-8AD432451738}" name="Column5842"/>
    <tableColumn id="5843" xr3:uid="{D8C15520-6753-4086-92E7-3CE7D9CD1D26}" name="Column5843"/>
    <tableColumn id="5844" xr3:uid="{69F19584-09C5-41D8-8C52-EE79BA9F65B0}" name="Column5844"/>
    <tableColumn id="5845" xr3:uid="{7D5D57C4-0A98-4EFE-A07F-29349E6AC954}" name="Column5845"/>
    <tableColumn id="5846" xr3:uid="{4D8D8E4D-62A8-4090-B717-48CAD39ECFA9}" name="Column5846"/>
    <tableColumn id="5847" xr3:uid="{EC290DB5-5240-4983-B510-B6CC27C08C05}" name="Column5847"/>
    <tableColumn id="5848" xr3:uid="{90161D96-6A41-4FDE-87E4-AE3A4ECB6818}" name="Column5848"/>
    <tableColumn id="5849" xr3:uid="{3413FF8F-F7D4-4220-AD82-23B7ED3AC6F4}" name="Column5849"/>
    <tableColumn id="5850" xr3:uid="{6F2CA32F-A653-4FC8-AB05-EA409AAD805A}" name="Column5850"/>
    <tableColumn id="5851" xr3:uid="{1CBEAD6C-A9EC-4F4B-9EA5-694DE7C34208}" name="Column5851"/>
    <tableColumn id="5852" xr3:uid="{2E2A5C8A-6DDB-47D7-BB90-BCBD688FB087}" name="Column5852"/>
    <tableColumn id="5853" xr3:uid="{09F23A02-12F4-48F1-8F06-002E7F08935A}" name="Column5853"/>
    <tableColumn id="5854" xr3:uid="{638E2BED-7A32-41A9-ADC3-665DA0FA8BE1}" name="Column5854"/>
    <tableColumn id="5855" xr3:uid="{EC47D35C-673B-4705-A1A3-881E197BE2B0}" name="Column5855"/>
    <tableColumn id="5856" xr3:uid="{CEA82DE7-E463-46B9-8464-8900AF7E606E}" name="Column5856"/>
    <tableColumn id="5857" xr3:uid="{264C56A8-6C27-4CB9-85D7-4C3685DAB7EE}" name="Column5857"/>
    <tableColumn id="5858" xr3:uid="{1D460694-F92A-42A3-A593-6493E661BA13}" name="Column5858"/>
    <tableColumn id="5859" xr3:uid="{492A6A45-8F5C-4E76-8C54-810B76B792C2}" name="Column5859"/>
    <tableColumn id="5860" xr3:uid="{95568741-4F5C-4C56-A114-6BA41C986A04}" name="Column5860"/>
    <tableColumn id="5861" xr3:uid="{D133EAB8-E552-4EDE-A07C-2D1DA4F314A5}" name="Column5861"/>
    <tableColumn id="5862" xr3:uid="{54B12D67-24C5-430B-ADC2-F310AD233A70}" name="Column5862"/>
    <tableColumn id="5863" xr3:uid="{CBA52874-074B-47DA-AFA1-0A502B42EBE8}" name="Column5863"/>
    <tableColumn id="5864" xr3:uid="{78448014-B1F3-412A-BD82-5AD0FF52C478}" name="Column5864"/>
    <tableColumn id="5865" xr3:uid="{90BDB2D8-1F4B-46BE-B631-1C5572E83C1F}" name="Column5865"/>
    <tableColumn id="5866" xr3:uid="{57A46982-B650-430B-A60A-76C99DDE32E9}" name="Column5866"/>
    <tableColumn id="5867" xr3:uid="{CF8D7A94-C0A8-4CA6-BC18-2738C62A1726}" name="Column5867"/>
    <tableColumn id="5868" xr3:uid="{7106DA17-C079-4FFA-8497-6FB92F231367}" name="Column5868"/>
    <tableColumn id="5869" xr3:uid="{0523F3E2-8925-4A2B-904F-93985036F3E6}" name="Column5869"/>
    <tableColumn id="5870" xr3:uid="{39287433-CF22-4171-A02E-575DF4086F29}" name="Column5870"/>
    <tableColumn id="5871" xr3:uid="{4DC8C95C-5D6D-49B8-A948-D34E22325A87}" name="Column5871"/>
    <tableColumn id="5872" xr3:uid="{563EEE52-DCC3-47B7-99CB-A74947E2401C}" name="Column5872"/>
    <tableColumn id="5873" xr3:uid="{3CF9840D-261B-42FB-8926-7B90EFF1BA45}" name="Column5873"/>
    <tableColumn id="5874" xr3:uid="{DA4B7330-D78A-4D9D-B6FA-86565451F9F0}" name="Column5874"/>
    <tableColumn id="5875" xr3:uid="{D214172B-1ADE-45CE-82FF-225CA07C55B9}" name="Column5875"/>
    <tableColumn id="5876" xr3:uid="{EEF5D560-4B29-405E-81C3-EDEAC1812C03}" name="Column5876"/>
    <tableColumn id="5877" xr3:uid="{49BBB478-3AF4-4374-9271-D1CA6A4A3DD9}" name="Column5877"/>
    <tableColumn id="5878" xr3:uid="{84D98A7C-6F0D-4A67-A5F5-2E5930E073EF}" name="Column5878"/>
    <tableColumn id="5879" xr3:uid="{F8847D57-6E07-40AF-881B-B4F904D54E16}" name="Column5879"/>
    <tableColumn id="5880" xr3:uid="{79285BF6-6B38-4B59-87CF-2F597DEFE43C}" name="Column5880"/>
    <tableColumn id="5881" xr3:uid="{F1FDE002-116A-4231-BB49-00C4BE5CA2FB}" name="Column5881"/>
    <tableColumn id="5882" xr3:uid="{8A4A6603-B2AA-4732-ABE5-205658F0F4FD}" name="Column5882"/>
    <tableColumn id="5883" xr3:uid="{CD553C36-F246-4A28-9235-8570DD9CA890}" name="Column5883"/>
    <tableColumn id="5884" xr3:uid="{7A042DCE-C640-4A66-9FFB-13C34B23ED5E}" name="Column5884"/>
    <tableColumn id="5885" xr3:uid="{E0330B35-2D12-4CC7-BD88-F0FEE1346926}" name="Column5885"/>
    <tableColumn id="5886" xr3:uid="{4DE899B4-62AE-4F35-AE27-7254AE2F5808}" name="Column5886"/>
    <tableColumn id="5887" xr3:uid="{F8BD46B9-84A6-4B06-B3B4-2F5DD8C4375F}" name="Column5887"/>
    <tableColumn id="5888" xr3:uid="{E065136F-EFA7-4771-9224-F0542F06AD79}" name="Column5888"/>
    <tableColumn id="5889" xr3:uid="{A3201055-71C5-4493-8AF0-3484D648E824}" name="Column5889"/>
    <tableColumn id="5890" xr3:uid="{47CD0DCD-3B9C-4826-856B-2C6459762DD5}" name="Column5890"/>
    <tableColumn id="5891" xr3:uid="{2D98E8F0-798B-4EE6-843B-5C7DB079F8C2}" name="Column5891"/>
    <tableColumn id="5892" xr3:uid="{73407239-2CB9-4CA4-B860-A0A81D65CC27}" name="Column5892"/>
    <tableColumn id="5893" xr3:uid="{83F30B4F-38EA-4152-94D1-FA1A8E73F241}" name="Column5893"/>
    <tableColumn id="5894" xr3:uid="{118C1F0E-6DDB-4403-B080-FCD862CC89DE}" name="Column5894"/>
    <tableColumn id="5895" xr3:uid="{D05A183E-D9D6-4D56-B7E0-C14E173D21BE}" name="Column5895"/>
    <tableColumn id="5896" xr3:uid="{19ED5592-7CC8-460E-8717-6CE642951E9B}" name="Column5896"/>
    <tableColumn id="5897" xr3:uid="{0B99A23C-8CEC-4915-B5F1-B9C41387E2EE}" name="Column5897"/>
    <tableColumn id="5898" xr3:uid="{42DF4768-D7D6-47B9-A7A1-864BB9073781}" name="Column5898"/>
    <tableColumn id="5899" xr3:uid="{8BF617F4-5AEE-4D33-A30D-D1ACBAD86980}" name="Column5899"/>
    <tableColumn id="5900" xr3:uid="{9E7E153A-FADF-4A67-A536-9C120A2116D6}" name="Column5900"/>
    <tableColumn id="5901" xr3:uid="{D58355F6-FE9C-43BC-B961-35401BDF0EBC}" name="Column5901"/>
    <tableColumn id="5902" xr3:uid="{E6F43532-64A8-4755-9672-FBFC9A47B3B2}" name="Column5902"/>
    <tableColumn id="5903" xr3:uid="{A7902174-6525-4157-AE95-479C2BC84BAA}" name="Column5903"/>
    <tableColumn id="5904" xr3:uid="{966EBB01-1C32-4370-869F-235B23CC4C9B}" name="Column5904"/>
    <tableColumn id="5905" xr3:uid="{2F56172A-2F36-46C1-A87F-F3245C5A53D9}" name="Column5905"/>
    <tableColumn id="5906" xr3:uid="{13518433-784C-4C6B-8AB5-9459CEC22544}" name="Column5906"/>
    <tableColumn id="5907" xr3:uid="{FA89A022-0CE8-4921-82EB-D46139D47A26}" name="Column5907"/>
    <tableColumn id="5908" xr3:uid="{C644049A-9E8C-438B-8BF3-204BD66A78A6}" name="Column5908"/>
    <tableColumn id="5909" xr3:uid="{42FB042A-D821-4F71-B397-7618321585E9}" name="Column5909"/>
    <tableColumn id="5910" xr3:uid="{8A388898-ED19-4226-A1E6-A76987F31178}" name="Column5910"/>
    <tableColumn id="5911" xr3:uid="{68E98571-337F-48AB-A358-81199EEC010E}" name="Column5911"/>
    <tableColumn id="5912" xr3:uid="{8E1D68C7-6E7A-4730-A905-58AC2C801150}" name="Column5912"/>
    <tableColumn id="5913" xr3:uid="{17CA081B-64C1-40E4-884A-D2C314877574}" name="Column5913"/>
    <tableColumn id="5914" xr3:uid="{BD889208-2B17-4095-94FD-5DD524F0584E}" name="Column5914"/>
    <tableColumn id="5915" xr3:uid="{B80A27E1-384F-4E60-B7EC-0D8E7E77AE46}" name="Column5915"/>
    <tableColumn id="5916" xr3:uid="{7E0818EE-1724-4499-B148-DCB1F924468B}" name="Column5916"/>
    <tableColumn id="5917" xr3:uid="{9FB4C301-2C62-4EEA-86FA-562A234F855C}" name="Column5917"/>
    <tableColumn id="5918" xr3:uid="{A15BB537-4F49-446F-AB51-4A6959BCC391}" name="Column5918"/>
    <tableColumn id="5919" xr3:uid="{410C3382-EF76-478E-A9EA-145DADFB069E}" name="Column5919"/>
    <tableColumn id="5920" xr3:uid="{C64AE903-AE35-484F-BE75-F4E3BA70BAE3}" name="Column5920"/>
    <tableColumn id="5921" xr3:uid="{3D2BCF17-C0E1-413F-95BA-C7BF5B8EB227}" name="Column5921"/>
    <tableColumn id="5922" xr3:uid="{75654F22-9EAB-489A-839D-6E87EC47F0D4}" name="Column5922"/>
    <tableColumn id="5923" xr3:uid="{B874371C-65D4-4021-AEBE-B53488181559}" name="Column5923"/>
    <tableColumn id="5924" xr3:uid="{19F3CCCB-EADB-4544-859D-C05F6432031B}" name="Column5924"/>
    <tableColumn id="5925" xr3:uid="{C9F885F3-A839-406F-8F45-1C4DDC06BB28}" name="Column5925"/>
    <tableColumn id="5926" xr3:uid="{BAB8B2A8-716F-44E9-AD05-081F0CD0224B}" name="Column5926"/>
    <tableColumn id="5927" xr3:uid="{900F5472-7A86-448C-8D59-2709C3D22EBC}" name="Column5927"/>
    <tableColumn id="5928" xr3:uid="{7211AEED-FEB1-4AFF-AA9E-FC75C85F882A}" name="Column5928"/>
    <tableColumn id="5929" xr3:uid="{4C9ACB04-499B-439D-803B-FAE2F864B868}" name="Column5929"/>
    <tableColumn id="5930" xr3:uid="{C190ED4C-F918-4889-8BFE-E8797476F2E4}" name="Column5930"/>
    <tableColumn id="5931" xr3:uid="{12A029DC-8AA3-4642-8699-BCAC6A1C3353}" name="Column5931"/>
    <tableColumn id="5932" xr3:uid="{41DA506C-64FA-4261-9741-E7617D02C2DE}" name="Column5932"/>
    <tableColumn id="5933" xr3:uid="{130A39EC-7C78-4A91-9416-590CED3BEB33}" name="Column5933"/>
    <tableColumn id="5934" xr3:uid="{2EE1EE33-71AE-4C9B-B4B9-92DEF1C425E1}" name="Column5934"/>
    <tableColumn id="5935" xr3:uid="{D2152BEC-98BE-4371-9782-B0B5051F9F9F}" name="Column5935"/>
    <tableColumn id="5936" xr3:uid="{9CB262CC-C4C5-4921-A9B2-299A79A85DAC}" name="Column5936"/>
    <tableColumn id="5937" xr3:uid="{41163942-4FE8-4148-B68C-9832E876C559}" name="Column5937"/>
    <tableColumn id="5938" xr3:uid="{A4E59C55-A8B6-4BEE-89F6-0D928E20972A}" name="Column5938"/>
    <tableColumn id="5939" xr3:uid="{63A91060-E118-4388-AF30-8A4C50D507B5}" name="Column5939"/>
    <tableColumn id="5940" xr3:uid="{AAF9729F-CD1B-4307-8806-ADCF6FA6D9CB}" name="Column5940"/>
    <tableColumn id="5941" xr3:uid="{8FFE26A1-7D09-4CD8-A3C7-8E7DA2C8FAD6}" name="Column5941"/>
    <tableColumn id="5942" xr3:uid="{F50E1F49-93FB-4859-BCBD-32DA33DFB8F4}" name="Column5942"/>
    <tableColumn id="5943" xr3:uid="{EF017313-C822-4A5D-BE81-BE6434B0028D}" name="Column5943"/>
    <tableColumn id="5944" xr3:uid="{0C5E8C9C-2E72-4582-8798-CF9EF16BA460}" name="Column5944"/>
    <tableColumn id="5945" xr3:uid="{77FBD00F-C9C8-4EB5-B711-96347235C034}" name="Column5945"/>
    <tableColumn id="5946" xr3:uid="{BD3D0849-5EEC-4ADD-A165-D5D099DFC1D5}" name="Column5946"/>
    <tableColumn id="5947" xr3:uid="{73562631-82F9-4B78-8849-D65EBB2CA99B}" name="Column5947"/>
    <tableColumn id="5948" xr3:uid="{32DA4F9D-3D8D-4CB2-B70C-8BAFA204A66A}" name="Column5948"/>
    <tableColumn id="5949" xr3:uid="{F31B8D9C-C643-4C3D-9080-FB8AE29B5ADA}" name="Column5949"/>
    <tableColumn id="5950" xr3:uid="{ED78F8A3-074A-463C-BE3D-9CC3A4CD18D3}" name="Column5950"/>
    <tableColumn id="5951" xr3:uid="{23ABA53C-2C65-45E8-902A-C9EEA214FFD0}" name="Column5951"/>
    <tableColumn id="5952" xr3:uid="{20AC1C77-D2C0-416D-87E7-17FB43536E05}" name="Column5952"/>
    <tableColumn id="5953" xr3:uid="{E450E9A7-73D0-4639-A4E3-53CDC8CA1F29}" name="Column5953"/>
    <tableColumn id="5954" xr3:uid="{B3B1BCA3-FC19-4A24-927D-EEE4D06A38B8}" name="Column5954"/>
    <tableColumn id="5955" xr3:uid="{0306D393-D468-46A8-9DD7-64415B18E434}" name="Column5955"/>
    <tableColumn id="5956" xr3:uid="{2BD44EB9-AB09-40F2-80DE-0E6E0A37B2D3}" name="Column5956"/>
    <tableColumn id="5957" xr3:uid="{4A24FBBE-9B52-4D25-8A57-FC45B208F2F6}" name="Column5957"/>
    <tableColumn id="5958" xr3:uid="{A7323115-0A32-4312-87BF-9CE5DA916709}" name="Column5958"/>
    <tableColumn id="5959" xr3:uid="{1DE36631-314C-4441-8579-5534746CE05E}" name="Column5959"/>
    <tableColumn id="5960" xr3:uid="{54A09F25-712A-4A69-B160-1B1417A9648B}" name="Column5960"/>
    <tableColumn id="5961" xr3:uid="{825CC7EA-E4D5-4E82-8B64-B29B97C0118C}" name="Column5961"/>
    <tableColumn id="5962" xr3:uid="{DE5711FA-3F5B-4B7C-A4D9-0DD34DB1B09F}" name="Column5962"/>
    <tableColumn id="5963" xr3:uid="{DD7698B8-76A9-40D5-A93B-97D7A777BDE7}" name="Column5963"/>
    <tableColumn id="5964" xr3:uid="{1B100862-B448-4BBA-81E9-E9A9C1A5B07E}" name="Column5964"/>
    <tableColumn id="5965" xr3:uid="{B6CB4450-7254-42BD-8F12-13EDF0C8E7C1}" name="Column5965"/>
    <tableColumn id="5966" xr3:uid="{CD4A075C-D72E-463D-8748-11478DA40254}" name="Column5966"/>
    <tableColumn id="5967" xr3:uid="{8D93B2DC-E47A-424B-9516-7407AA3CE377}" name="Column5967"/>
    <tableColumn id="5968" xr3:uid="{85BEEA55-5C75-4824-AA55-11C8CC30941A}" name="Column5968"/>
    <tableColumn id="5969" xr3:uid="{D0F4B0C4-6608-47D3-A2A0-98CB2083E580}" name="Column5969"/>
    <tableColumn id="5970" xr3:uid="{4B334A3D-7352-48EF-A32D-17A11BF55A82}" name="Column5970"/>
    <tableColumn id="5971" xr3:uid="{21E41C4A-7A84-4732-89BD-00A4492642EC}" name="Column5971"/>
    <tableColumn id="5972" xr3:uid="{C9486A56-3C1D-4804-B795-AFCBAE68827D}" name="Column5972"/>
    <tableColumn id="5973" xr3:uid="{D6D6F8E0-0F72-448B-88E2-5A753AFB71E9}" name="Column5973"/>
    <tableColumn id="5974" xr3:uid="{0388098E-BF21-4092-A529-35B258857B58}" name="Column5974"/>
    <tableColumn id="5975" xr3:uid="{BFE11777-B9B5-448B-A292-2EDD6D46EB6C}" name="Column5975"/>
    <tableColumn id="5976" xr3:uid="{BB729917-70CC-4C47-B747-B6D2D8A493E7}" name="Column5976"/>
    <tableColumn id="5977" xr3:uid="{6E2BD23E-8D84-44EB-AD48-758D07E36B1D}" name="Column5977"/>
    <tableColumn id="5978" xr3:uid="{F4D6D190-7ED2-4E81-BFBC-37ADFE42E035}" name="Column5978"/>
    <tableColumn id="5979" xr3:uid="{5BCC248D-1D57-4D88-B513-7E2CD5E98615}" name="Column5979"/>
    <tableColumn id="5980" xr3:uid="{3CDA9A98-CE54-40E2-B744-84F85AE42ADF}" name="Column5980"/>
    <tableColumn id="5981" xr3:uid="{DA6B0B74-4B69-46BE-9F42-9FFF8035A94B}" name="Column5981"/>
    <tableColumn id="5982" xr3:uid="{2665DC66-833C-4541-813E-E0EDF02DD759}" name="Column5982"/>
    <tableColumn id="5983" xr3:uid="{4F43F46E-BF1D-40F2-8E45-6D7D8DAE6C62}" name="Column5983"/>
    <tableColumn id="5984" xr3:uid="{AA8C0885-612C-4BCE-AE83-E46CC32EE290}" name="Column5984"/>
    <tableColumn id="5985" xr3:uid="{ECFF6EEA-9AD0-4559-9BCD-CB39B680B1C0}" name="Column5985"/>
    <tableColumn id="5986" xr3:uid="{55FD5265-AFB4-4F18-9BD2-808C62ECD375}" name="Column5986"/>
    <tableColumn id="5987" xr3:uid="{6BC5BE98-3699-421D-9F5C-413F60D6016B}" name="Column5987"/>
    <tableColumn id="5988" xr3:uid="{323F5847-CB8F-4DC1-B385-BE53CE0E6D19}" name="Column5988"/>
    <tableColumn id="5989" xr3:uid="{A1E4FEF8-25EF-4802-BC87-8C14F8319220}" name="Column5989"/>
    <tableColumn id="5990" xr3:uid="{AF19FFE7-4831-487E-838E-72C52A66A16A}" name="Column5990"/>
    <tableColumn id="5991" xr3:uid="{68469F68-E3AF-4F83-969E-BDAA837D7B32}" name="Column5991"/>
    <tableColumn id="5992" xr3:uid="{B13D8898-C36A-4E33-B573-BE1F2CBF305F}" name="Column5992"/>
    <tableColumn id="5993" xr3:uid="{9E2C3828-90C4-4C77-944C-A072C14B0A62}" name="Column5993"/>
    <tableColumn id="5994" xr3:uid="{86F3ECF9-40CA-4088-9A3D-2B4529773FBC}" name="Column5994"/>
    <tableColumn id="5995" xr3:uid="{9BAB7F4A-DC6F-4B02-A879-C55E260C9749}" name="Column5995"/>
    <tableColumn id="5996" xr3:uid="{6A1945F0-332E-4C50-8C70-266B0E3756B4}" name="Column5996"/>
    <tableColumn id="5997" xr3:uid="{53F9522F-424D-4744-939D-24345B1AA848}" name="Column5997"/>
    <tableColumn id="5998" xr3:uid="{4AF11657-2732-4865-AF63-3E9121BF44B4}" name="Column5998"/>
    <tableColumn id="5999" xr3:uid="{E72ED442-935D-457C-A8C0-ABC7AFF8AEF6}" name="Column5999"/>
    <tableColumn id="6000" xr3:uid="{4174E3CE-0E41-47CE-A875-95399F80EF4D}" name="Column6000"/>
    <tableColumn id="6001" xr3:uid="{9AF3A20B-9BCC-431F-B193-53A52CD1F683}" name="Column6001"/>
    <tableColumn id="6002" xr3:uid="{A9E18E32-0C54-4CBC-AB9C-C6AD1FF43822}" name="Column6002"/>
    <tableColumn id="6003" xr3:uid="{7163326C-947F-4479-B100-9439CA49CAEE}" name="Column6003"/>
    <tableColumn id="6004" xr3:uid="{919715B5-8F94-4F45-BA89-9AF6ED4AC4EB}" name="Column6004"/>
    <tableColumn id="6005" xr3:uid="{0D2B1BEB-5278-45A4-AE46-BDA3A8A2AC39}" name="Column6005"/>
    <tableColumn id="6006" xr3:uid="{BDB28A8B-94C1-46C9-9D93-5D7FB27C71CC}" name="Column6006"/>
    <tableColumn id="6007" xr3:uid="{E7387535-5207-42BE-BF7B-2735DA1B12F1}" name="Column6007"/>
    <tableColumn id="6008" xr3:uid="{BBB6720F-8C41-4973-85D6-485D484C0C21}" name="Column6008"/>
    <tableColumn id="6009" xr3:uid="{51A4E483-ABA5-40CA-8B11-4C6C878DC785}" name="Column6009"/>
    <tableColumn id="6010" xr3:uid="{51632A71-A61D-4707-AA4F-5F8BF0AF5CC4}" name="Column6010"/>
    <tableColumn id="6011" xr3:uid="{7EF461E5-3C0F-4410-8008-02736182D68F}" name="Column6011"/>
    <tableColumn id="6012" xr3:uid="{9D5E3A9E-9F2F-4EB1-8C7B-62DDD9E28B3E}" name="Column6012"/>
    <tableColumn id="6013" xr3:uid="{50D862C0-1416-4CE2-B69D-7FD9431F3A5A}" name="Column6013"/>
    <tableColumn id="6014" xr3:uid="{695220F5-F294-4B7B-A4B5-8E787690F0AC}" name="Column6014"/>
    <tableColumn id="6015" xr3:uid="{B4B4FFB3-78BD-43C6-A85B-BF7911B364F5}" name="Column6015"/>
    <tableColumn id="6016" xr3:uid="{3C9A7F84-197E-4ADE-B86E-B9969B7D6C74}" name="Column6016"/>
    <tableColumn id="6017" xr3:uid="{9F8369B7-B2D6-4A0D-B4D4-00BE43F6D4C4}" name="Column6017"/>
    <tableColumn id="6018" xr3:uid="{60486752-AFE2-4261-B058-A4DA6433D650}" name="Column6018"/>
    <tableColumn id="6019" xr3:uid="{97DBC9D5-D0EB-433F-9FE1-4EC1E9834963}" name="Column6019"/>
    <tableColumn id="6020" xr3:uid="{07EBD03A-E778-429C-9F3E-EB948303ED21}" name="Column6020"/>
    <tableColumn id="6021" xr3:uid="{6695B2CD-3D6C-4A42-93B4-D87393AD4AD4}" name="Column6021"/>
    <tableColumn id="6022" xr3:uid="{CDAAD5A5-5F47-4E3B-8698-2F289F98DC6D}" name="Column6022"/>
    <tableColumn id="6023" xr3:uid="{CE3E80E2-A7ED-44A2-BF09-EFFD22342FF4}" name="Column6023"/>
    <tableColumn id="6024" xr3:uid="{8D5C16DF-A312-4E29-9639-536ABFE5F71E}" name="Column6024"/>
    <tableColumn id="6025" xr3:uid="{48E555E5-0579-4B26-95FB-70DA49F7CABA}" name="Column6025"/>
    <tableColumn id="6026" xr3:uid="{FFA559E3-E778-4287-9481-09519B1D2C81}" name="Column6026"/>
    <tableColumn id="6027" xr3:uid="{D1ECD963-90E2-4CAD-9441-006140AFFA1F}" name="Column6027"/>
    <tableColumn id="6028" xr3:uid="{D67C57DA-0AAA-4A62-8512-8DA8F6757762}" name="Column6028"/>
    <tableColumn id="6029" xr3:uid="{EEF05B45-042E-4B54-B175-65202B936BC3}" name="Column6029"/>
    <tableColumn id="6030" xr3:uid="{060417B1-1543-40E2-8186-6D7E74FBE3F7}" name="Column6030"/>
    <tableColumn id="6031" xr3:uid="{00F599B1-0BC4-404A-B07E-73D6D1289617}" name="Column6031"/>
    <tableColumn id="6032" xr3:uid="{25E05441-E6DE-473F-806B-2B3F75454550}" name="Column6032"/>
    <tableColumn id="6033" xr3:uid="{0CECECF4-A60E-41EA-9303-97D6DC3479FA}" name="Column6033"/>
    <tableColumn id="6034" xr3:uid="{82E549EE-FD8E-4411-8242-B53B99D761E3}" name="Column6034"/>
    <tableColumn id="6035" xr3:uid="{2F82F908-01CA-44DC-B9E4-5EC1223A8F98}" name="Column6035"/>
    <tableColumn id="6036" xr3:uid="{72CC1612-47D5-4110-A656-F37135C6465A}" name="Column6036"/>
    <tableColumn id="6037" xr3:uid="{93668750-BBFE-4C6E-AA78-630E213F15F1}" name="Column6037"/>
    <tableColumn id="6038" xr3:uid="{14A1E3D3-E649-49D2-A7DC-C69E071507E1}" name="Column6038"/>
    <tableColumn id="6039" xr3:uid="{DD0508DC-DB36-4144-99BA-D4E4EFDDB5A2}" name="Column6039"/>
    <tableColumn id="6040" xr3:uid="{DCD49EAD-3899-4B61-A543-86E6CF5D7929}" name="Column6040"/>
    <tableColumn id="6041" xr3:uid="{B66E8B44-14F9-4690-A296-107CF9AF2A70}" name="Column6041"/>
    <tableColumn id="6042" xr3:uid="{2680E807-6324-4C80-B981-BAFC23DA1795}" name="Column6042"/>
    <tableColumn id="6043" xr3:uid="{A8D56363-C7F1-4B26-87FB-64A96797EF55}" name="Column6043"/>
    <tableColumn id="6044" xr3:uid="{AA4B0992-DD28-45F9-80DC-0D7A914C2764}" name="Column6044"/>
    <tableColumn id="6045" xr3:uid="{36480F88-9F1C-432B-A976-D016447353DB}" name="Column6045"/>
    <tableColumn id="6046" xr3:uid="{3EDA31B9-B6BF-4402-B660-5FC6709AE4EB}" name="Column6046"/>
    <tableColumn id="6047" xr3:uid="{B0500E23-8F5F-4971-A985-94B94FE07701}" name="Column6047"/>
    <tableColumn id="6048" xr3:uid="{C529655F-D893-4364-B7BB-D61A4AEE18E0}" name="Column6048"/>
    <tableColumn id="6049" xr3:uid="{DD560C2F-F22D-4FC1-900D-A2506577C712}" name="Column6049"/>
    <tableColumn id="6050" xr3:uid="{3FEA4AB7-658E-40BE-A5CC-47F9FF71A6E1}" name="Column6050"/>
    <tableColumn id="6051" xr3:uid="{DB930633-A47D-45A2-BA6F-A6A99CFEEE7B}" name="Column6051"/>
    <tableColumn id="6052" xr3:uid="{5331EDF9-6C5C-4817-9A62-F25215ED5C22}" name="Column6052"/>
    <tableColumn id="6053" xr3:uid="{A28EF2DE-F041-49B7-822F-CA01689D9A75}" name="Column6053"/>
    <tableColumn id="6054" xr3:uid="{53E96C7F-4719-4F90-83CD-45B8EEF24D14}" name="Column6054"/>
    <tableColumn id="6055" xr3:uid="{129D6CB5-37E7-4B70-83B7-6CE2FE74DD3A}" name="Column6055"/>
    <tableColumn id="6056" xr3:uid="{DFE8FB1B-C745-4E4D-B714-BF7F3BFE17F6}" name="Column6056"/>
    <tableColumn id="6057" xr3:uid="{204DEDAB-A434-46FA-8E59-DC93B9BB861A}" name="Column6057"/>
    <tableColumn id="6058" xr3:uid="{017FF4AC-7FD0-48F5-B5E9-FBB0569B53B3}" name="Column6058"/>
    <tableColumn id="6059" xr3:uid="{7DD343FE-C1E7-4130-9BE9-50D9F080F7F8}" name="Column6059"/>
    <tableColumn id="6060" xr3:uid="{F5153635-1E94-429C-B449-11A68DF3E2C7}" name="Column6060"/>
    <tableColumn id="6061" xr3:uid="{BC180450-FBB3-4F2E-8B46-9E79CAEA3E2F}" name="Column6061"/>
    <tableColumn id="6062" xr3:uid="{8EDA36A8-452A-4D6D-AC7A-7F646D7E8269}" name="Column6062"/>
    <tableColumn id="6063" xr3:uid="{3155DA4F-1B1F-44D9-A0A3-95A11A0E1B68}" name="Column6063"/>
    <tableColumn id="6064" xr3:uid="{3B9AA68B-E40F-4606-8EDA-39560FCD6C4B}" name="Column6064"/>
    <tableColumn id="6065" xr3:uid="{64A345B6-2F16-4BBC-8F67-B80359A5D54A}" name="Column6065"/>
    <tableColumn id="6066" xr3:uid="{19A13AB5-29DF-411D-9DE5-D731ACF591DC}" name="Column6066"/>
    <tableColumn id="6067" xr3:uid="{CB1E96BE-9750-427D-B04F-55D09F273A97}" name="Column6067"/>
    <tableColumn id="6068" xr3:uid="{F2AD139D-079B-4FF8-9258-EE23678AEC84}" name="Column6068"/>
    <tableColumn id="6069" xr3:uid="{7E46DF42-B691-4C1F-BE3A-33397EE0A4FE}" name="Column6069"/>
    <tableColumn id="6070" xr3:uid="{0A7D1881-C2E3-46ED-8292-C10035079957}" name="Column6070"/>
    <tableColumn id="6071" xr3:uid="{498FC3E8-5103-456F-861D-24CB97EE3CFA}" name="Column6071"/>
    <tableColumn id="6072" xr3:uid="{D73CF3F9-17D3-46A3-8787-70C9646EE4A0}" name="Column6072"/>
    <tableColumn id="6073" xr3:uid="{672938EE-F4A9-47D4-B75E-6B187C4526BA}" name="Column6073"/>
    <tableColumn id="6074" xr3:uid="{77A3DEE1-66EE-4121-AD83-6A2E815A1540}" name="Column6074"/>
    <tableColumn id="6075" xr3:uid="{7BBCF48C-F383-4A62-839B-50CC8FA1BB55}" name="Column6075"/>
    <tableColumn id="6076" xr3:uid="{15060FEA-4522-4F8F-8A6A-BA2B41F4E985}" name="Column6076"/>
    <tableColumn id="6077" xr3:uid="{7BF176C1-C94B-46C4-9263-EAC01EC5FABA}" name="Column6077"/>
    <tableColumn id="6078" xr3:uid="{0514195B-A7FE-4620-85CF-A47FB1972189}" name="Column6078"/>
    <tableColumn id="6079" xr3:uid="{CDD0353A-FFE5-4729-997D-B26D25605532}" name="Column6079"/>
    <tableColumn id="6080" xr3:uid="{7952DD1B-8114-4278-9640-46C82F5F16ED}" name="Column6080"/>
    <tableColumn id="6081" xr3:uid="{57D053D6-775F-4822-BAF4-B3D4B0757AD6}" name="Column6081"/>
    <tableColumn id="6082" xr3:uid="{DB5C756E-84BC-4224-92B3-62D1539A1BB5}" name="Column6082"/>
    <tableColumn id="6083" xr3:uid="{4275AF8C-AB08-4122-BF07-4434FCB8D9D5}" name="Column6083"/>
    <tableColumn id="6084" xr3:uid="{389D86A9-D584-47E1-8AD0-F192C5E05F7C}" name="Column6084"/>
    <tableColumn id="6085" xr3:uid="{56E8C00E-DEEE-49BC-81FF-FFBA9A98A30B}" name="Column6085"/>
    <tableColumn id="6086" xr3:uid="{291BF243-A51D-4189-8AF2-1A4C0F8A5F14}" name="Column6086"/>
    <tableColumn id="6087" xr3:uid="{60DC340B-3435-4C85-A02D-A67702E2B214}" name="Column6087"/>
    <tableColumn id="6088" xr3:uid="{AAAEA76D-5653-4A4A-9E66-26A4E6A16EFA}" name="Column6088"/>
    <tableColumn id="6089" xr3:uid="{91D78F27-2C42-45EB-AA3B-86BFA1BB5845}" name="Column6089"/>
    <tableColumn id="6090" xr3:uid="{ACD91F15-41D1-4792-89FB-D08E582D1623}" name="Column6090"/>
    <tableColumn id="6091" xr3:uid="{00E6D8EB-F557-412C-8A32-3E151EF4B695}" name="Column6091"/>
    <tableColumn id="6092" xr3:uid="{FF78371C-D2FF-4CC0-A62B-1F1761D520CB}" name="Column6092"/>
    <tableColumn id="6093" xr3:uid="{46828CAD-BDA1-450A-BF7F-BD360B1A2301}" name="Column6093"/>
    <tableColumn id="6094" xr3:uid="{A77821E9-3859-4347-9906-E4A389AA2A65}" name="Column6094"/>
    <tableColumn id="6095" xr3:uid="{E723C170-BFCE-4BBC-9C6D-8E549D523357}" name="Column6095"/>
    <tableColumn id="6096" xr3:uid="{DA09EB1C-A1C0-47AD-8083-C7949E25E801}" name="Column6096"/>
    <tableColumn id="6097" xr3:uid="{89B5EC51-04FD-406D-BB49-F4048608C1A2}" name="Column6097"/>
    <tableColumn id="6098" xr3:uid="{4351A542-037C-4E19-AFB0-AF26B92AB6E2}" name="Column6098"/>
    <tableColumn id="6099" xr3:uid="{E5562C68-3899-41CF-B632-4A1E31D2A95D}" name="Column6099"/>
    <tableColumn id="6100" xr3:uid="{311A6E1E-7F8E-4163-95FC-5370B98A513D}" name="Column6100"/>
    <tableColumn id="6101" xr3:uid="{50053451-E9AA-4E93-9F3B-BF96F6E53550}" name="Column6101"/>
    <tableColumn id="6102" xr3:uid="{EF6FB936-B973-4A1B-B91F-7BDBD17CBF49}" name="Column6102"/>
    <tableColumn id="6103" xr3:uid="{4A0F534C-7082-4045-99D0-E85B9EBC5CDF}" name="Column6103"/>
    <tableColumn id="6104" xr3:uid="{FBD07B65-BE84-48B2-A6CC-CC154C63EDD3}" name="Column6104"/>
    <tableColumn id="6105" xr3:uid="{CC3F22BD-F79F-44A6-BAEE-75E5040AAA51}" name="Column6105"/>
    <tableColumn id="6106" xr3:uid="{6635DCBF-B26B-4422-8278-C1564645AFFC}" name="Column6106"/>
    <tableColumn id="6107" xr3:uid="{010473B8-91D8-4EF9-AF49-E8D173F78A88}" name="Column6107"/>
    <tableColumn id="6108" xr3:uid="{2E8D9178-161A-4E90-8E0A-0D4D2BC3AE3D}" name="Column6108"/>
    <tableColumn id="6109" xr3:uid="{4683562B-F3F4-45CE-BFBC-F46992B49E7E}" name="Column6109"/>
    <tableColumn id="6110" xr3:uid="{97ED1EBF-3CA7-4CC2-B238-E2BC97166456}" name="Column6110"/>
    <tableColumn id="6111" xr3:uid="{B928C319-920D-4B73-928D-0F06FA6A8781}" name="Column6111"/>
    <tableColumn id="6112" xr3:uid="{F8760B41-F54F-4432-B6AF-B3E334134D9D}" name="Column6112"/>
    <tableColumn id="6113" xr3:uid="{0C87AC91-AD04-4991-ADA1-3A206C93FA8B}" name="Column6113"/>
    <tableColumn id="6114" xr3:uid="{8F9AC54E-0659-4FAB-8E4D-AEB58A9EBF6E}" name="Column6114"/>
    <tableColumn id="6115" xr3:uid="{52B0925B-18BB-44C1-8856-7BB464F903FC}" name="Column6115"/>
    <tableColumn id="6116" xr3:uid="{8996FBB4-94F3-4B69-B02D-8696739BD09F}" name="Column6116"/>
    <tableColumn id="6117" xr3:uid="{EC9B9FA5-C0DB-48D5-B2B5-89A7BE7984A0}" name="Column6117"/>
    <tableColumn id="6118" xr3:uid="{82D617C7-E7D3-4D9C-AB8F-AE59A901C4D7}" name="Column6118"/>
    <tableColumn id="6119" xr3:uid="{A3160B71-4A0D-47C7-B3CA-7C918AE32B61}" name="Column6119"/>
    <tableColumn id="6120" xr3:uid="{5753A9FC-6899-4354-B591-0BE3BB5757DD}" name="Column6120"/>
    <tableColumn id="6121" xr3:uid="{3C8C31D2-C034-474C-85AF-D9B0951A8613}" name="Column6121"/>
    <tableColumn id="6122" xr3:uid="{F99AB6C4-2DFF-4E58-B63D-7B11686CF1D1}" name="Column6122"/>
    <tableColumn id="6123" xr3:uid="{1B135BBC-47E4-4261-9A6E-CF05392F24CB}" name="Column6123"/>
    <tableColumn id="6124" xr3:uid="{76289D73-7D28-4BC1-96F5-5D9C47FEF2B5}" name="Column6124"/>
    <tableColumn id="6125" xr3:uid="{CB85E6D5-679D-4618-9A0E-97ECA81BACC6}" name="Column6125"/>
    <tableColumn id="6126" xr3:uid="{823664F5-C002-4118-91FE-18720DF16004}" name="Column6126"/>
    <tableColumn id="6127" xr3:uid="{A779B9CC-1546-42DC-B91B-8FCBA8F2CAE3}" name="Column6127"/>
    <tableColumn id="6128" xr3:uid="{31605121-1081-4806-AD33-FDB8244942E9}" name="Column6128"/>
    <tableColumn id="6129" xr3:uid="{BD9AA3BF-B336-4D8B-8674-CB37F7D6886A}" name="Column6129"/>
    <tableColumn id="6130" xr3:uid="{C3080629-997D-4C83-B206-77D310CE4E16}" name="Column6130"/>
    <tableColumn id="6131" xr3:uid="{8532320D-2BC0-4875-8877-33E186B68144}" name="Column6131"/>
    <tableColumn id="6132" xr3:uid="{9C582CC3-6092-458B-86FE-B40F294427AB}" name="Column6132"/>
    <tableColumn id="6133" xr3:uid="{A7980AA6-CEAC-4A4D-AC20-00D2B15510B1}" name="Column6133"/>
    <tableColumn id="6134" xr3:uid="{46FFD2F2-800E-4845-B50C-2433EB953FF4}" name="Column6134"/>
    <tableColumn id="6135" xr3:uid="{A82BECBD-DC99-4D9A-A45D-215707DB74E8}" name="Column6135"/>
    <tableColumn id="6136" xr3:uid="{F4C486EA-2343-4A08-BF7C-9589B9DF9D0D}" name="Column6136"/>
    <tableColumn id="6137" xr3:uid="{D1954473-E61A-4517-AD6D-7EE5EEB9B027}" name="Column6137"/>
    <tableColumn id="6138" xr3:uid="{D0350CEB-BC5E-42EB-AF9B-FA92CF1C826B}" name="Column6138"/>
    <tableColumn id="6139" xr3:uid="{AF9BDAC0-B61D-49AF-9D08-65CB47C10AA1}" name="Column6139"/>
    <tableColumn id="6140" xr3:uid="{3246FD00-6F6F-470E-B217-8E359584326A}" name="Column6140"/>
    <tableColumn id="6141" xr3:uid="{5929BCDD-0F51-4937-BE33-19520AD94A82}" name="Column6141"/>
    <tableColumn id="6142" xr3:uid="{63F95403-2B7D-452A-9AE6-DC8B72C4984B}" name="Column6142"/>
    <tableColumn id="6143" xr3:uid="{C5B488C5-579D-4E9B-A7CD-F05B3CCC44FF}" name="Column6143"/>
    <tableColumn id="6144" xr3:uid="{370A2498-2E7A-4275-8A0A-42698AD5F896}" name="Column6144"/>
    <tableColumn id="6145" xr3:uid="{B0914024-73E4-46FE-AB36-E0D105F99C3F}" name="Column6145"/>
    <tableColumn id="6146" xr3:uid="{C6747BB3-A7AB-4631-BA9C-09EA2D0A0D30}" name="Column6146"/>
    <tableColumn id="6147" xr3:uid="{456341E2-4917-472F-A8E4-E20CCFD48661}" name="Column6147"/>
    <tableColumn id="6148" xr3:uid="{692A0550-C72E-4A6F-8DAC-1E579700DAF0}" name="Column6148"/>
    <tableColumn id="6149" xr3:uid="{DB46EAC5-43C8-486E-955D-DC7BE7C21A5C}" name="Column6149"/>
    <tableColumn id="6150" xr3:uid="{61875C17-8802-43F1-9422-4A09EE2A138F}" name="Column6150"/>
    <tableColumn id="6151" xr3:uid="{E5D6E054-8230-4044-897C-CDE895FF89D7}" name="Column6151"/>
    <tableColumn id="6152" xr3:uid="{D52A5099-49FA-4FC9-B9F2-458D62FF12EB}" name="Column6152"/>
    <tableColumn id="6153" xr3:uid="{3D76C1CB-65A6-404C-BD41-27661D6D9488}" name="Column6153"/>
    <tableColumn id="6154" xr3:uid="{EEFBFF82-B126-4677-BB9F-15AB0FB2D3FD}" name="Column6154"/>
    <tableColumn id="6155" xr3:uid="{8A187170-5E98-47A2-991C-610C1E3201E6}" name="Column6155"/>
    <tableColumn id="6156" xr3:uid="{B82653FD-577D-4D20-9A64-DFDCE7627CB5}" name="Column6156"/>
    <tableColumn id="6157" xr3:uid="{5BDB3E75-A318-4ECF-9A3F-5AD257C27B31}" name="Column6157"/>
    <tableColumn id="6158" xr3:uid="{823E7DE2-5405-4934-847C-468E3847CE6B}" name="Column6158"/>
    <tableColumn id="6159" xr3:uid="{81B65C16-1976-447A-93FE-1BD339B0EE46}" name="Column6159"/>
    <tableColumn id="6160" xr3:uid="{BF45E2E5-61A4-404D-89B3-0B6D0E49511A}" name="Column6160"/>
    <tableColumn id="6161" xr3:uid="{46A3DE34-43BF-459D-B91D-533162C2485B}" name="Column6161"/>
    <tableColumn id="6162" xr3:uid="{F915D090-08E1-4577-AB39-EB78361148B2}" name="Column6162"/>
    <tableColumn id="6163" xr3:uid="{CB8A2B99-3D20-4C13-B359-3D9EC2AB9EE5}" name="Column6163"/>
    <tableColumn id="6164" xr3:uid="{67054820-781F-49AF-AC90-C0EB40679AB8}" name="Column6164"/>
    <tableColumn id="6165" xr3:uid="{986DFF09-5684-4E8B-9D1D-A6637E4E7E9B}" name="Column6165"/>
    <tableColumn id="6166" xr3:uid="{FD7F4D85-3A69-4228-AC82-BBE385DCE46A}" name="Column6166"/>
    <tableColumn id="6167" xr3:uid="{B36699CA-A460-41D5-9DA8-A1C6A910BCE4}" name="Column6167"/>
    <tableColumn id="6168" xr3:uid="{6D9AF012-A83A-40B4-BBBF-FE11AD2861E3}" name="Column6168"/>
    <tableColumn id="6169" xr3:uid="{C82CD929-C095-4BBF-8841-35459EF87D27}" name="Column6169"/>
    <tableColumn id="6170" xr3:uid="{6FE1E998-8EC3-4759-8DE7-806E88D85DEE}" name="Column6170"/>
    <tableColumn id="6171" xr3:uid="{3C5A4E72-6F3A-48D5-990F-E3738D75D771}" name="Column6171"/>
    <tableColumn id="6172" xr3:uid="{92477152-2742-4BBD-8324-B8C7A16BDFA8}" name="Column6172"/>
    <tableColumn id="6173" xr3:uid="{45089FB4-A449-44B1-99A3-A58FAE078F14}" name="Column6173"/>
    <tableColumn id="6174" xr3:uid="{F3DEFAF7-7871-45CC-8652-797A955B653D}" name="Column6174"/>
    <tableColumn id="6175" xr3:uid="{E1A68860-9FD6-48DE-9556-CC50D951CA06}" name="Column6175"/>
    <tableColumn id="6176" xr3:uid="{D26CBB62-CEC6-49EF-8638-6B4D5E13C20B}" name="Column6176"/>
    <tableColumn id="6177" xr3:uid="{38813068-2C32-4836-8A18-3992163ADF61}" name="Column6177"/>
    <tableColumn id="6178" xr3:uid="{61B92A7B-2F21-4244-9C5C-9503C888F4F0}" name="Column6178"/>
    <tableColumn id="6179" xr3:uid="{2AA072C6-DD4D-4336-A7BB-A063DD9CE41E}" name="Column6179"/>
    <tableColumn id="6180" xr3:uid="{2CA00168-B729-4419-9145-A0D2803BBC75}" name="Column6180"/>
    <tableColumn id="6181" xr3:uid="{79CFAE82-BCDA-4C69-A5AA-124304F07779}" name="Column6181"/>
    <tableColumn id="6182" xr3:uid="{D143CE87-6B6E-4854-8082-A9752F406444}" name="Column6182"/>
    <tableColumn id="6183" xr3:uid="{7C656366-D28E-49F5-B791-B68D01A2A40B}" name="Column6183"/>
    <tableColumn id="6184" xr3:uid="{05B0C184-B12E-4A82-8A9A-8C17F25A7556}" name="Column6184"/>
    <tableColumn id="6185" xr3:uid="{52432D40-1649-4E34-A4DA-7192334519CB}" name="Column6185"/>
    <tableColumn id="6186" xr3:uid="{E9FDFD2B-DCAC-47AE-9292-FFD0A19B3927}" name="Column6186"/>
    <tableColumn id="6187" xr3:uid="{148DBBBD-5382-4C3B-964E-BE49BD34809E}" name="Column6187"/>
    <tableColumn id="6188" xr3:uid="{5CAA6825-D778-47DA-8793-8A9D7552DE00}" name="Column6188"/>
    <tableColumn id="6189" xr3:uid="{9ED9EEA8-6C25-4115-BA4D-25CCE1F60B84}" name="Column6189"/>
    <tableColumn id="6190" xr3:uid="{F974BE98-E7FE-4C24-8AEA-9EBE89C121F1}" name="Column6190"/>
    <tableColumn id="6191" xr3:uid="{4E5CCF16-9B18-46D4-9792-BA6E752B6C9A}" name="Column6191"/>
    <tableColumn id="6192" xr3:uid="{6327740C-89A1-426B-BFCE-EB5EAA43C0E3}" name="Column6192"/>
    <tableColumn id="6193" xr3:uid="{87AD5B09-6899-468C-A53F-FF8B25E424FC}" name="Column6193"/>
    <tableColumn id="6194" xr3:uid="{B78D8772-725F-42EC-A2A0-6F632AD9BF19}" name="Column6194"/>
    <tableColumn id="6195" xr3:uid="{4D78D091-A643-414A-8864-7502E7B391F4}" name="Column6195"/>
    <tableColumn id="6196" xr3:uid="{153E9CEA-62FE-4793-AB62-6D68835F6427}" name="Column6196"/>
    <tableColumn id="6197" xr3:uid="{42C72572-76AD-4A85-A59C-BA259EFB1F6D}" name="Column6197"/>
    <tableColumn id="6198" xr3:uid="{B82B2C46-4750-43AA-B1B3-175C1C0556E3}" name="Column6198"/>
    <tableColumn id="6199" xr3:uid="{FFC69C00-84E8-438B-A6D1-65E0EA6AF9F7}" name="Column6199"/>
    <tableColumn id="6200" xr3:uid="{32D42FF2-BB1C-485D-AE78-B2549BF44204}" name="Column6200"/>
    <tableColumn id="6201" xr3:uid="{44C465C8-DED7-4649-9E5F-76EB212CC585}" name="Column6201"/>
    <tableColumn id="6202" xr3:uid="{DB737656-09E8-4FF5-8D17-5D641E119FEA}" name="Column6202"/>
    <tableColumn id="6203" xr3:uid="{A93827D7-C406-4909-B129-1E60DA6DD2B5}" name="Column6203"/>
    <tableColumn id="6204" xr3:uid="{9B4BBC5C-1754-4418-B191-56C309CED50F}" name="Column6204"/>
    <tableColumn id="6205" xr3:uid="{46D2055B-F31C-49FB-B4D9-5B6C32DEE6E5}" name="Column6205"/>
    <tableColumn id="6206" xr3:uid="{7C76A2B3-A26D-4B0A-B9E5-56684EE0BBF0}" name="Column6206"/>
    <tableColumn id="6207" xr3:uid="{EB636E59-BC9C-44E0-B153-0268A9C0D213}" name="Column6207"/>
    <tableColumn id="6208" xr3:uid="{7D3E095C-725F-4614-9E32-A4DD2521D3DB}" name="Column6208"/>
    <tableColumn id="6209" xr3:uid="{B92A4EE8-E06C-4C6E-AA9D-5278B38AB6E5}" name="Column6209"/>
    <tableColumn id="6210" xr3:uid="{A322C324-59F1-49B9-815E-763922F7E160}" name="Column6210"/>
    <tableColumn id="6211" xr3:uid="{E0974D22-A861-48A4-9C8B-0E2D1EF772C7}" name="Column6211"/>
    <tableColumn id="6212" xr3:uid="{5EB983A6-ECE7-480B-AAD2-7641D25E53BE}" name="Column6212"/>
    <tableColumn id="6213" xr3:uid="{C0AD24CF-B544-4F5E-B8A4-507A6FD356C0}" name="Column6213"/>
    <tableColumn id="6214" xr3:uid="{08D2A637-CD32-47D0-8065-4D512A6E5E73}" name="Column6214"/>
    <tableColumn id="6215" xr3:uid="{60962694-2FB4-43B2-A993-2E9200031D08}" name="Column6215"/>
    <tableColumn id="6216" xr3:uid="{A48713CB-712E-45D6-91A6-1031FD648C4C}" name="Column6216"/>
    <tableColumn id="6217" xr3:uid="{0EE80609-0669-4DDC-857D-365A6660006F}" name="Column6217"/>
    <tableColumn id="6218" xr3:uid="{953F7B65-5371-4EF5-837E-F42BFA11C0D4}" name="Column6218"/>
    <tableColumn id="6219" xr3:uid="{55F910B7-CE49-4278-8863-9E291ABDF922}" name="Column6219"/>
    <tableColumn id="6220" xr3:uid="{A3C00955-38C0-4795-8B1F-7125727A6153}" name="Column6220"/>
    <tableColumn id="6221" xr3:uid="{631A88FC-3E4A-41F5-93E3-83DBAE63B6E5}" name="Column6221"/>
    <tableColumn id="6222" xr3:uid="{5978E6CA-73FA-461C-9F4E-3A342621EE6E}" name="Column6222"/>
    <tableColumn id="6223" xr3:uid="{EC264D5B-63BE-4626-BE66-94C067D0F7B5}" name="Column6223"/>
    <tableColumn id="6224" xr3:uid="{66D7895E-ABBB-4376-83FD-4F5131EF9794}" name="Column6224"/>
    <tableColumn id="6225" xr3:uid="{0E57B63A-D4FF-4FA1-AF03-9E78E4AAADE8}" name="Column6225"/>
    <tableColumn id="6226" xr3:uid="{3969FF4D-D1C7-4DC2-99C4-E28859447AEF}" name="Column6226"/>
    <tableColumn id="6227" xr3:uid="{D8D98206-D4B8-43FD-8209-6EEEABC67808}" name="Column6227"/>
    <tableColumn id="6228" xr3:uid="{B7779837-5AE5-4FCE-A751-8D1F1A56C72D}" name="Column6228"/>
    <tableColumn id="6229" xr3:uid="{5C513FD8-2B8E-423A-BE05-3BD1705FFD28}" name="Column6229"/>
    <tableColumn id="6230" xr3:uid="{96D0F817-6250-43B0-B6F7-B5E0CCDE3325}" name="Column6230"/>
    <tableColumn id="6231" xr3:uid="{4AD141AD-7504-43CF-8F45-DF835130F11B}" name="Column6231"/>
    <tableColumn id="6232" xr3:uid="{7961957E-F487-47C0-8AF0-816831210AFC}" name="Column6232"/>
    <tableColumn id="6233" xr3:uid="{DEF37645-5D4F-42AB-91D6-CD23B5BF9F86}" name="Column6233"/>
    <tableColumn id="6234" xr3:uid="{6A4E67CD-BF7B-49F2-9A8F-6D707FC2BF86}" name="Column6234"/>
    <tableColumn id="6235" xr3:uid="{4E5E7AC6-9F8C-44EB-9942-CAC37A2FF15D}" name="Column6235"/>
    <tableColumn id="6236" xr3:uid="{1D32F6B2-9886-4C5B-9473-CD28A124B322}" name="Column6236"/>
    <tableColumn id="6237" xr3:uid="{C7ABC631-496F-41DB-97AE-DAA16EE00E78}" name="Column6237"/>
    <tableColumn id="6238" xr3:uid="{224A2CD0-AD14-4823-84E1-32BC36DCA829}" name="Column6238"/>
    <tableColumn id="6239" xr3:uid="{DE8440F9-1970-47CB-B5CB-7355F743654E}" name="Column6239"/>
    <tableColumn id="6240" xr3:uid="{5927ECDB-C253-4554-98B6-357AD3B4675B}" name="Column6240"/>
    <tableColumn id="6241" xr3:uid="{87C2A6A2-C391-420E-B32C-7322355CCF51}" name="Column6241"/>
    <tableColumn id="6242" xr3:uid="{97ABF9A4-9195-4C33-9F94-66E53BDD7364}" name="Column6242"/>
    <tableColumn id="6243" xr3:uid="{4A59EF4F-DE0D-4B58-910C-3DD9FDCFB7F6}" name="Column6243"/>
    <tableColumn id="6244" xr3:uid="{5DD41EC2-23CD-4A92-AFD9-9F60743CE352}" name="Column6244"/>
    <tableColumn id="6245" xr3:uid="{42BCBD86-5D71-466F-9EC0-D3C631ECDEDF}" name="Column6245"/>
    <tableColumn id="6246" xr3:uid="{EA2BFE3E-1C2E-484A-AB8A-0AAD1BDBC66E}" name="Column6246"/>
    <tableColumn id="6247" xr3:uid="{AA05111C-6514-4800-8DC9-3041A9F52CE8}" name="Column6247"/>
    <tableColumn id="6248" xr3:uid="{BA0170FF-2CD3-4AAC-8653-6B30494102C8}" name="Column6248"/>
    <tableColumn id="6249" xr3:uid="{19BACB69-60FC-486D-B862-FF40F76F3838}" name="Column6249"/>
    <tableColumn id="6250" xr3:uid="{47330F1A-9A59-4081-BF37-4F46865FBC65}" name="Column6250"/>
    <tableColumn id="6251" xr3:uid="{17CB70B1-F03E-4504-A8EE-5A72CD40B274}" name="Column6251"/>
    <tableColumn id="6252" xr3:uid="{B165E010-D39E-4C01-8573-2C11C481486D}" name="Column6252"/>
    <tableColumn id="6253" xr3:uid="{5190DE82-438D-490C-AF22-8BB0FB89F11D}" name="Column6253"/>
    <tableColumn id="6254" xr3:uid="{C7022CD7-29D6-4EC5-9E18-A4BC04752B04}" name="Column6254"/>
    <tableColumn id="6255" xr3:uid="{A354DC1E-A7EC-41DD-AE10-CD37F65E8D85}" name="Column6255"/>
    <tableColumn id="6256" xr3:uid="{280A2223-6033-41FB-9F2E-2A8D2D3DD9E0}" name="Column6256"/>
    <tableColumn id="6257" xr3:uid="{F6AC62AF-806D-4638-B10E-948940069DE9}" name="Column6257"/>
    <tableColumn id="6258" xr3:uid="{78FBDC4E-4D7D-4994-BB86-7A76C5F04E28}" name="Column6258"/>
    <tableColumn id="6259" xr3:uid="{7D7A6168-B39E-4FD5-B2D8-75A946E1CB29}" name="Column6259"/>
    <tableColumn id="6260" xr3:uid="{EE056E35-CC8B-4F85-B6FB-5530889BEC01}" name="Column6260"/>
    <tableColumn id="6261" xr3:uid="{5C32471F-EF96-41EA-9939-F4FE0CEDBFD4}" name="Column6261"/>
    <tableColumn id="6262" xr3:uid="{4259F53C-B784-4521-B7D2-AA7F495AD5BB}" name="Column6262"/>
    <tableColumn id="6263" xr3:uid="{C84A0F6E-08EF-4AEB-B8E1-7B6A34D77640}" name="Column6263"/>
    <tableColumn id="6264" xr3:uid="{BF600CBF-345A-41D0-A6C4-917A91033BBF}" name="Column6264"/>
    <tableColumn id="6265" xr3:uid="{DB12FC33-1974-4216-AD8A-E942DD9D1839}" name="Column6265"/>
    <tableColumn id="6266" xr3:uid="{AD670997-9AA9-4D94-9EA8-B4A66277D81C}" name="Column6266"/>
    <tableColumn id="6267" xr3:uid="{13327F38-6D31-493C-993D-CF0090D90DA2}" name="Column6267"/>
    <tableColumn id="6268" xr3:uid="{857EE5B0-E792-443D-892A-7613CD37BFA4}" name="Column6268"/>
    <tableColumn id="6269" xr3:uid="{623D7935-CD7F-4A70-A815-4CA2B6B1E2AD}" name="Column6269"/>
    <tableColumn id="6270" xr3:uid="{CC1884DC-908B-484F-A698-4E2AA10165CE}" name="Column6270"/>
    <tableColumn id="6271" xr3:uid="{000C612F-24B8-4012-B9F2-5927A4D50AF2}" name="Column6271"/>
    <tableColumn id="6272" xr3:uid="{F8019A87-B893-4E97-ADDF-E64D417E3330}" name="Column6272"/>
    <tableColumn id="6273" xr3:uid="{469B92B1-57EB-4CA9-81B8-8052F0BEBEF4}" name="Column6273"/>
    <tableColumn id="6274" xr3:uid="{8662FF22-C895-4EB3-BBB8-70DB013F3020}" name="Column6274"/>
    <tableColumn id="6275" xr3:uid="{409D89B1-7294-4364-9139-3AA69792940B}" name="Column6275"/>
    <tableColumn id="6276" xr3:uid="{0C4D8CD6-E0EA-46C9-9ABB-ECDA16F52FC7}" name="Column6276"/>
    <tableColumn id="6277" xr3:uid="{D53E9A18-0B70-4A43-8074-8DEA4BF44E07}" name="Column6277"/>
    <tableColumn id="6278" xr3:uid="{5970B140-3920-4AC6-8121-3B12B82B90D2}" name="Column6278"/>
    <tableColumn id="6279" xr3:uid="{F4E18BDD-B080-4991-AEBB-EFF83144F158}" name="Column6279"/>
    <tableColumn id="6280" xr3:uid="{31317A9C-DC24-43B6-8A9C-89C09756FEF9}" name="Column6280"/>
    <tableColumn id="6281" xr3:uid="{29B187AF-5D1F-46F4-9071-1D24BEE67C08}" name="Column6281"/>
    <tableColumn id="6282" xr3:uid="{B27656E5-6953-4B6F-818F-0ECF2CA5107F}" name="Column6282"/>
    <tableColumn id="6283" xr3:uid="{3C2ADB87-36DA-4888-BF5E-B7F640C861D6}" name="Column6283"/>
    <tableColumn id="6284" xr3:uid="{2B608745-55D4-46C3-8395-4047AAF1234D}" name="Column6284"/>
    <tableColumn id="6285" xr3:uid="{4F114117-E1CB-4633-978B-29334DCF004C}" name="Column6285"/>
    <tableColumn id="6286" xr3:uid="{105A9241-19EA-4D05-BD40-E94C4FC2F6D1}" name="Column6286"/>
    <tableColumn id="6287" xr3:uid="{210AB774-0424-416B-9319-E8FBD8A83679}" name="Column6287"/>
    <tableColumn id="6288" xr3:uid="{DD0C9A80-FD7B-4759-80ED-ABEC8E0E04B2}" name="Column6288"/>
    <tableColumn id="6289" xr3:uid="{3801DDDB-2B26-42AA-819E-A121894AA3BA}" name="Column6289"/>
    <tableColumn id="6290" xr3:uid="{EC112B0B-19BE-4FFC-B177-7348BD141C31}" name="Column6290"/>
    <tableColumn id="6291" xr3:uid="{8421B6F9-099B-4899-A76A-C154AE6D7E75}" name="Column6291"/>
    <tableColumn id="6292" xr3:uid="{68A9278B-3745-40F3-990D-0E5F3AA858C1}" name="Column6292"/>
    <tableColumn id="6293" xr3:uid="{B2919D75-D315-4025-A827-4A1167D7937F}" name="Column6293"/>
    <tableColumn id="6294" xr3:uid="{1F1B2F9E-0540-4D20-95E6-C57700B65CE4}" name="Column6294"/>
    <tableColumn id="6295" xr3:uid="{907B34CB-3780-4D8E-A23D-2399CBCC24C8}" name="Column6295"/>
    <tableColumn id="6296" xr3:uid="{BC4AB580-F002-4F1F-8B55-3A11300849DF}" name="Column6296"/>
    <tableColumn id="6297" xr3:uid="{00607300-1DF2-493D-B3D1-FD6CAA3578C9}" name="Column6297"/>
    <tableColumn id="6298" xr3:uid="{3010C645-CE01-40F7-BC59-B0463DB36E43}" name="Column6298"/>
    <tableColumn id="6299" xr3:uid="{A930A260-2F01-41F6-A812-DEED3B38A0B0}" name="Column6299"/>
    <tableColumn id="6300" xr3:uid="{FADE4C2C-2570-4CA0-A4C6-7E0FF0FD6555}" name="Column6300"/>
    <tableColumn id="6301" xr3:uid="{FD07D8F1-8E63-4080-9386-51CEBF23FA18}" name="Column6301"/>
    <tableColumn id="6302" xr3:uid="{2511477B-1853-4D6D-9307-6332750480EF}" name="Column6302"/>
    <tableColumn id="6303" xr3:uid="{E707BE49-DE50-4231-911F-1150EE974D77}" name="Column6303"/>
    <tableColumn id="6304" xr3:uid="{55B05CC4-09C1-422F-B722-7F867D35493C}" name="Column6304"/>
    <tableColumn id="6305" xr3:uid="{5B69712B-8380-4EBD-853A-82787D8E0C50}" name="Column6305"/>
    <tableColumn id="6306" xr3:uid="{58FA0B36-A731-4126-B6C8-D2BC03A1E2DE}" name="Column6306"/>
    <tableColumn id="6307" xr3:uid="{DCE4A3BA-2CDD-4074-B3F4-DE647C4CB285}" name="Column6307"/>
    <tableColumn id="6308" xr3:uid="{AE2273BB-D50B-4258-9EF0-0BBE37834183}" name="Column6308"/>
    <tableColumn id="6309" xr3:uid="{55D582C7-D5BB-4430-9308-ED1EC30C102F}" name="Column6309"/>
    <tableColumn id="6310" xr3:uid="{2C3EACEB-0852-4A06-A405-45D2EA4BC86D}" name="Column6310"/>
    <tableColumn id="6311" xr3:uid="{899B4FF2-DA8A-4E8A-A6E6-24B9C6176691}" name="Column6311"/>
    <tableColumn id="6312" xr3:uid="{61E291E8-EB32-403F-98ED-77E598F41868}" name="Column6312"/>
    <tableColumn id="6313" xr3:uid="{D1908568-3995-436E-AEA2-A4D570F44B38}" name="Column6313"/>
    <tableColumn id="6314" xr3:uid="{9C06ECC3-9BFD-462D-B928-834F1A38EDAB}" name="Column6314"/>
    <tableColumn id="6315" xr3:uid="{8CC6A649-BEC6-4DA1-A0B5-444EB0E95D8A}" name="Column6315"/>
    <tableColumn id="6316" xr3:uid="{00FB2CBA-4257-4BE8-8B1A-5A1FF53CA6BD}" name="Column6316"/>
    <tableColumn id="6317" xr3:uid="{E51E3160-3BFE-47E5-815A-060CACED706F}" name="Column6317"/>
    <tableColumn id="6318" xr3:uid="{B9714D6D-1CC8-42CB-B054-967B9D6ED1B4}" name="Column6318"/>
    <tableColumn id="6319" xr3:uid="{0E4962E7-4215-47F8-9F1E-0C1B50424675}" name="Column6319"/>
    <tableColumn id="6320" xr3:uid="{29606101-16F9-488C-9681-E7BAA66D6510}" name="Column6320"/>
    <tableColumn id="6321" xr3:uid="{3965351E-FEF4-4368-86F2-C421CEF9022C}" name="Column6321"/>
    <tableColumn id="6322" xr3:uid="{3FF9D5CA-0463-46DE-8737-59A3D323CD5A}" name="Column6322"/>
    <tableColumn id="6323" xr3:uid="{355AB132-2097-46E3-97E2-ACACCCFCE582}" name="Column6323"/>
    <tableColumn id="6324" xr3:uid="{674F6186-9BEF-43F2-9A38-3E361FBD29B8}" name="Column6324"/>
    <tableColumn id="6325" xr3:uid="{25B350EE-C393-4C5B-B653-0CC21C314E0C}" name="Column6325"/>
    <tableColumn id="6326" xr3:uid="{1169079C-B67D-4690-BF10-41ECD7995F79}" name="Column6326"/>
    <tableColumn id="6327" xr3:uid="{D96480EA-8338-4964-B5A0-C3673BE9BD00}" name="Column6327"/>
    <tableColumn id="6328" xr3:uid="{17199D1F-1AB6-493F-8590-0BA1FA8C5DB7}" name="Column6328"/>
    <tableColumn id="6329" xr3:uid="{35E7ABB3-C39F-4D8D-8003-CD67411478DB}" name="Column6329"/>
    <tableColumn id="6330" xr3:uid="{DD19BB1B-F628-4660-B2F9-B8C0B8355136}" name="Column6330"/>
    <tableColumn id="6331" xr3:uid="{EBD85770-FE81-4BEA-AEC0-292F96D482E2}" name="Column6331"/>
    <tableColumn id="6332" xr3:uid="{F7E6CEE8-F5DF-4CEB-B35E-37E015EAC146}" name="Column6332"/>
    <tableColumn id="6333" xr3:uid="{463E17FB-B956-490C-B7A8-19C732FDCDF0}" name="Column6333"/>
    <tableColumn id="6334" xr3:uid="{EDA09DB4-1B8E-4A80-A71B-0AE5332FDBF9}" name="Column6334"/>
    <tableColumn id="6335" xr3:uid="{CA5E136B-E8D6-435B-A050-844127759F5B}" name="Column6335"/>
    <tableColumn id="6336" xr3:uid="{8E4B5D76-273F-4869-8D0E-F0B3DDE29C50}" name="Column6336"/>
    <tableColumn id="6337" xr3:uid="{1DB8FD3B-B786-4292-A436-839458F665BF}" name="Column6337"/>
    <tableColumn id="6338" xr3:uid="{DE1EC663-B61D-4E55-8886-8A2E4744EE6D}" name="Column6338"/>
    <tableColumn id="6339" xr3:uid="{9BD5C6E8-A7E9-47D6-A520-1044ED3237D1}" name="Column6339"/>
    <tableColumn id="6340" xr3:uid="{04E1DB21-A9E6-494E-85D0-6F945DF7F306}" name="Column6340"/>
    <tableColumn id="6341" xr3:uid="{76474092-EC9C-48FD-9085-EEC54F0545ED}" name="Column6341"/>
    <tableColumn id="6342" xr3:uid="{0DA1DE27-5815-4DDF-88F6-770E2DF3F298}" name="Column6342"/>
    <tableColumn id="6343" xr3:uid="{B52E23E2-BEA3-4917-BA8F-3F7BE82740CC}" name="Column6343"/>
    <tableColumn id="6344" xr3:uid="{6DCCCDBF-FE23-44A0-8E94-BF4B50A42CCB}" name="Column6344"/>
    <tableColumn id="6345" xr3:uid="{044CECD1-596F-4040-9E05-8B4968D4DEE0}" name="Column6345"/>
    <tableColumn id="6346" xr3:uid="{A935810D-0884-4E41-A17D-2C8AF880BE51}" name="Column6346"/>
    <tableColumn id="6347" xr3:uid="{FE16490C-755A-4992-A7ED-86E1E7BC78EF}" name="Column6347"/>
    <tableColumn id="6348" xr3:uid="{A3017268-CF44-455D-A23B-EB3F35AA5BF3}" name="Column6348"/>
    <tableColumn id="6349" xr3:uid="{157DDAB9-F02E-4FF2-9FF1-E6B9C283747A}" name="Column6349"/>
    <tableColumn id="6350" xr3:uid="{23D99F58-0B9A-4111-A387-7E08455E38F1}" name="Column6350"/>
    <tableColumn id="6351" xr3:uid="{B631F600-BB17-4B02-95F3-EA10EF236142}" name="Column6351"/>
    <tableColumn id="6352" xr3:uid="{D4D8B2BD-B91E-4062-862A-F2209FAD5E43}" name="Column6352"/>
    <tableColumn id="6353" xr3:uid="{28C20463-7790-4D98-927D-4B0F79070D43}" name="Column6353"/>
    <tableColumn id="6354" xr3:uid="{1A887931-C327-4FCA-98AC-5B99C7C248A0}" name="Column6354"/>
    <tableColumn id="6355" xr3:uid="{4B7AFEED-9DA0-4838-B7F0-18FB5C994776}" name="Column6355"/>
    <tableColumn id="6356" xr3:uid="{F7050785-A730-41C6-8D93-A8187E768CAE}" name="Column6356"/>
    <tableColumn id="6357" xr3:uid="{2E0C6DEB-0423-4815-96F7-44A6816767AF}" name="Column6357"/>
    <tableColumn id="6358" xr3:uid="{0B91DD26-4CED-471F-8734-40A0DA8BB62B}" name="Column6358"/>
    <tableColumn id="6359" xr3:uid="{40ED3F79-A632-496E-A48A-B6C1CC56AEE1}" name="Column6359"/>
    <tableColumn id="6360" xr3:uid="{0BA61A7C-9980-4059-BF1D-F2AC224D7D45}" name="Column6360"/>
    <tableColumn id="6361" xr3:uid="{1AB085B5-EC02-4BBD-9F6A-A0B321EC66BE}" name="Column6361"/>
    <tableColumn id="6362" xr3:uid="{38810772-6CE4-4857-B924-E2F95762DF85}" name="Column6362"/>
    <tableColumn id="6363" xr3:uid="{A897608F-A40D-4346-956E-21D09F03131E}" name="Column6363"/>
    <tableColumn id="6364" xr3:uid="{DCA69F7D-9F6E-4EBB-BFB2-34150B1C0380}" name="Column6364"/>
    <tableColumn id="6365" xr3:uid="{690133DC-B6EE-42C8-BD38-2F14AC81CA4B}" name="Column6365"/>
    <tableColumn id="6366" xr3:uid="{EABF4462-DC6A-4FF6-9387-5C45FC568C4A}" name="Column6366"/>
    <tableColumn id="6367" xr3:uid="{4ADDE131-21AA-4048-81C9-61D45A87933F}" name="Column6367"/>
    <tableColumn id="6368" xr3:uid="{DD8EBC58-EDBB-46C1-9D49-E608F89FA9E8}" name="Column6368"/>
    <tableColumn id="6369" xr3:uid="{5CDCEEAB-A919-4022-9C01-38942CA24912}" name="Column6369"/>
    <tableColumn id="6370" xr3:uid="{A92E5D85-B5DA-4C28-85B0-4EC0C870F860}" name="Column6370"/>
    <tableColumn id="6371" xr3:uid="{D4076FAE-8F4E-4188-B184-31F4E691BBC8}" name="Column6371"/>
    <tableColumn id="6372" xr3:uid="{B62AB714-D809-4A3D-9992-75A7D1B3B2C5}" name="Column6372"/>
    <tableColumn id="6373" xr3:uid="{02968578-7191-4109-8F55-3D526D25C3D9}" name="Column6373"/>
    <tableColumn id="6374" xr3:uid="{3B63C46F-7132-4F22-B5DF-278594F877B3}" name="Column6374"/>
    <tableColumn id="6375" xr3:uid="{30ADE4BC-7A31-475A-8BBE-D74859FAE924}" name="Column6375"/>
    <tableColumn id="6376" xr3:uid="{8BD3931C-1B24-4A6E-A12C-D7A56955E994}" name="Column6376"/>
    <tableColumn id="6377" xr3:uid="{D42CE7A1-B8E9-4052-9273-822C720C2A30}" name="Column6377"/>
    <tableColumn id="6378" xr3:uid="{872C52CC-F46F-48CC-8D94-D95D4CA8E62B}" name="Column6378"/>
    <tableColumn id="6379" xr3:uid="{628DB545-B4D6-4264-A081-6B56CC17FC58}" name="Column6379"/>
    <tableColumn id="6380" xr3:uid="{1A1D6B7A-EE81-4438-ABB8-8516C1DDEFB8}" name="Column6380"/>
    <tableColumn id="6381" xr3:uid="{DFC7223B-6473-482E-B2C7-D10B9B1CB660}" name="Column6381"/>
    <tableColumn id="6382" xr3:uid="{2469811E-6F11-4636-B021-9A494BA7A661}" name="Column6382"/>
    <tableColumn id="6383" xr3:uid="{C02067D4-5396-4F8E-AB73-78696160B39D}" name="Column6383"/>
    <tableColumn id="6384" xr3:uid="{7FF89F7F-B134-4CD7-B169-B108F867701D}" name="Column6384"/>
    <tableColumn id="6385" xr3:uid="{37B0BFC0-F4E8-40E5-9B31-7618B466F84C}" name="Column6385"/>
    <tableColumn id="6386" xr3:uid="{B713E67F-365A-4533-84C9-17733CFD6E4C}" name="Column6386"/>
    <tableColumn id="6387" xr3:uid="{66570672-9B50-4FC7-9920-403A0F8EDD82}" name="Column6387"/>
    <tableColumn id="6388" xr3:uid="{F0F08C82-E10E-458A-86A4-08173B3BD21E}" name="Column6388"/>
    <tableColumn id="6389" xr3:uid="{86051B76-911B-4B20-8C11-F898E7AB1D74}" name="Column6389"/>
    <tableColumn id="6390" xr3:uid="{9B33E1E4-08E7-4B19-990D-E34DBE16A05B}" name="Column6390"/>
    <tableColumn id="6391" xr3:uid="{1CA65BA6-61FA-48AF-BA0B-046953835023}" name="Column6391"/>
    <tableColumn id="6392" xr3:uid="{FA05A299-C50A-425D-ACD2-FC3EE9A9791D}" name="Column6392"/>
    <tableColumn id="6393" xr3:uid="{F5130A2D-2AA5-4981-A03A-8342AB1BCCD6}" name="Column6393"/>
    <tableColumn id="6394" xr3:uid="{586BE4EF-F467-4862-85B6-A4FD94B9E993}" name="Column6394"/>
    <tableColumn id="6395" xr3:uid="{2A1A318C-0CE3-421B-85DE-A7C4260A7FFC}" name="Column6395"/>
    <tableColumn id="6396" xr3:uid="{5FBA3D2C-286F-41BF-8943-E5CF92670D1F}" name="Column6396"/>
    <tableColumn id="6397" xr3:uid="{481292D5-351C-474E-AF54-652F17BCF042}" name="Column6397"/>
    <tableColumn id="6398" xr3:uid="{D1C27B5D-A4B0-4CB3-917D-64DE1CEED93F}" name="Column6398"/>
    <tableColumn id="6399" xr3:uid="{50EC74B8-A17E-419F-A0CF-C5F3387B1015}" name="Column6399"/>
    <tableColumn id="6400" xr3:uid="{54512DF2-5ED4-4268-A311-2DF4CEFB4F37}" name="Column6400"/>
    <tableColumn id="6401" xr3:uid="{1A240146-E5FE-418D-8ECE-838134C8C70A}" name="Column6401"/>
    <tableColumn id="6402" xr3:uid="{B84F16BE-30E6-4C86-BF01-4D1AF6E8D294}" name="Column6402"/>
    <tableColumn id="6403" xr3:uid="{12CF3FBD-6D7D-4052-AD1C-DEC7BF3A1806}" name="Column6403"/>
    <tableColumn id="6404" xr3:uid="{81CE31F1-18A5-46E7-AE7A-94CFA7BC0573}" name="Column6404"/>
    <tableColumn id="6405" xr3:uid="{0CD72859-E90F-412D-BED3-1AC585673837}" name="Column6405"/>
    <tableColumn id="6406" xr3:uid="{A144275F-44B9-4D2C-94A5-578CF7D32E8D}" name="Column6406"/>
    <tableColumn id="6407" xr3:uid="{1F48B4CF-0F91-4DD6-8624-B9F615F8C76F}" name="Column6407"/>
    <tableColumn id="6408" xr3:uid="{CBE0FA3D-043C-4380-B61F-F96FB1F802A0}" name="Column6408"/>
    <tableColumn id="6409" xr3:uid="{536F645B-4990-469B-978E-6D3F1A7BA63C}" name="Column6409"/>
    <tableColumn id="6410" xr3:uid="{95321326-B9E8-4E92-8F7F-749BACA19164}" name="Column6410"/>
    <tableColumn id="6411" xr3:uid="{EB0A0D23-FB77-4F9D-824D-E916B4279F6B}" name="Column6411"/>
    <tableColumn id="6412" xr3:uid="{D108A4D6-9092-4E07-9A90-C17271DEE557}" name="Column6412"/>
    <tableColumn id="6413" xr3:uid="{C1FA1A5B-3445-41F6-B490-051645509F47}" name="Column6413"/>
    <tableColumn id="6414" xr3:uid="{5947B58E-86DB-46F8-AFF2-1BB012C008A9}" name="Column6414"/>
    <tableColumn id="6415" xr3:uid="{FEEB80ED-9BA1-49E4-936B-7D49C6066EAD}" name="Column6415"/>
    <tableColumn id="6416" xr3:uid="{A1218115-F1B9-4BCE-A93E-75041F29C597}" name="Column6416"/>
    <tableColumn id="6417" xr3:uid="{4A6D64EF-3AC0-4D5C-8229-C96FF9C7D954}" name="Column6417"/>
    <tableColumn id="6418" xr3:uid="{7511784D-73A7-48F4-8A9F-CDEFC98A451D}" name="Column6418"/>
    <tableColumn id="6419" xr3:uid="{F4D82F12-77AF-4AE7-984D-7360F6BD289B}" name="Column6419"/>
    <tableColumn id="6420" xr3:uid="{A8E17BB0-10F7-4C51-B3EF-84BB31AE9D36}" name="Column6420"/>
    <tableColumn id="6421" xr3:uid="{F4953FB8-F093-448D-A1DA-1D5A3F261D3F}" name="Column6421"/>
    <tableColumn id="6422" xr3:uid="{8BD644EE-4BC6-4B6A-A4B8-650C2DF7B220}" name="Column6422"/>
    <tableColumn id="6423" xr3:uid="{65D10D3C-203D-41AF-8B78-2DD4AB686141}" name="Column6423"/>
    <tableColumn id="6424" xr3:uid="{1F559204-7517-4B4E-BB15-E3704F5F85F4}" name="Column6424"/>
    <tableColumn id="6425" xr3:uid="{C99AC5B8-C5F4-4782-A76E-2C3F228C8E23}" name="Column6425"/>
    <tableColumn id="6426" xr3:uid="{C1D98E6F-4C90-4F13-B50E-38A4EF99B242}" name="Column6426"/>
    <tableColumn id="6427" xr3:uid="{1E849A2F-E637-4D84-BD66-B21F65CB1EE2}" name="Column6427"/>
    <tableColumn id="6428" xr3:uid="{8EF7D459-6C2A-43D3-B3ED-C9BB099244D2}" name="Column6428"/>
    <tableColumn id="6429" xr3:uid="{E1F5305B-3FAC-4683-9AEB-F19D8266A977}" name="Column6429"/>
    <tableColumn id="6430" xr3:uid="{1C1F731B-7A32-40C8-AC0F-696694A75DBA}" name="Column6430"/>
    <tableColumn id="6431" xr3:uid="{1A48DED7-0254-42B7-8383-C465F18FC31F}" name="Column6431"/>
    <tableColumn id="6432" xr3:uid="{0495C6EB-C3EB-4884-AB0E-62257E178FB1}" name="Column6432"/>
    <tableColumn id="6433" xr3:uid="{BE83FB43-4769-4B6E-9288-94FFAECC61AC}" name="Column6433"/>
    <tableColumn id="6434" xr3:uid="{BEAA147A-0FE3-468B-83BC-39250F227DAD}" name="Column6434"/>
    <tableColumn id="6435" xr3:uid="{1FB33430-6015-4F98-B70F-9A8E79CBF2F9}" name="Column6435"/>
    <tableColumn id="6436" xr3:uid="{BCA47FF5-91EE-40E3-B9C3-867FCDAFE625}" name="Column6436"/>
    <tableColumn id="6437" xr3:uid="{359ABD98-1A0E-456D-8732-2D7E6DA3DCD0}" name="Column6437"/>
    <tableColumn id="6438" xr3:uid="{68D4F3EA-4269-416B-8F3C-662ED541271B}" name="Column6438"/>
    <tableColumn id="6439" xr3:uid="{3E99D50B-C057-4237-8C4B-A1E881238CAA}" name="Column6439"/>
    <tableColumn id="6440" xr3:uid="{89F1A585-C7F9-4CD3-B637-22CCE551A6AF}" name="Column6440"/>
    <tableColumn id="6441" xr3:uid="{E8221D47-81A4-407A-B1F5-748E5AA45D19}" name="Column6441"/>
    <tableColumn id="6442" xr3:uid="{00556F09-BD29-4DE2-887F-3A4DFB032368}" name="Column6442"/>
    <tableColumn id="6443" xr3:uid="{D66FF740-4343-4131-88FE-1FBD7B56F86F}" name="Column6443"/>
    <tableColumn id="6444" xr3:uid="{2C584774-3B63-4E18-BC95-1D30471CB70F}" name="Column6444"/>
    <tableColumn id="6445" xr3:uid="{3D98108D-37B9-4C75-83E8-2ADE90481072}" name="Column6445"/>
    <tableColumn id="6446" xr3:uid="{8D045251-9531-4980-ABFA-531160A3CDCF}" name="Column6446"/>
    <tableColumn id="6447" xr3:uid="{A4FC6BB5-79BB-4D6D-8EDE-B41B15584AB1}" name="Column6447"/>
    <tableColumn id="6448" xr3:uid="{6D234F93-5B7D-46A4-836D-67CB77E6C0D5}" name="Column6448"/>
    <tableColumn id="6449" xr3:uid="{93DF3B12-D189-4444-916B-AC9B2BDCA8B8}" name="Column6449"/>
    <tableColumn id="6450" xr3:uid="{584F9F31-BD1C-40A2-B2DE-87A6672F1C17}" name="Column6450"/>
    <tableColumn id="6451" xr3:uid="{9A81DAA9-AA36-49BF-8B61-8ED949D8F8D6}" name="Column6451"/>
    <tableColumn id="6452" xr3:uid="{17D6F341-4F90-408B-AE47-93702C02F118}" name="Column6452"/>
    <tableColumn id="6453" xr3:uid="{0915F554-B810-446D-9ABD-E4F1B34F9C79}" name="Column6453"/>
    <tableColumn id="6454" xr3:uid="{19EEA89F-74BC-4336-AA8B-6204FA191286}" name="Column6454"/>
    <tableColumn id="6455" xr3:uid="{A22D3401-CD90-4457-A660-005A561E96F4}" name="Column6455"/>
    <tableColumn id="6456" xr3:uid="{36C0D7B0-0613-415D-A371-BD767792A601}" name="Column6456"/>
    <tableColumn id="6457" xr3:uid="{851D7014-7F40-4608-9FB0-94486D810D22}" name="Column6457"/>
    <tableColumn id="6458" xr3:uid="{87CAE3BE-27A7-4513-B91A-AEE56B491E86}" name="Column6458"/>
    <tableColumn id="6459" xr3:uid="{D3AA7252-716C-496F-8DB7-287A4534ACAF}" name="Column6459"/>
    <tableColumn id="6460" xr3:uid="{B2D9B6A1-6C99-40CB-8BEE-08B7F95B0870}" name="Column6460"/>
    <tableColumn id="6461" xr3:uid="{F668227D-55F2-470D-8BE1-A3D619768D5C}" name="Column6461"/>
    <tableColumn id="6462" xr3:uid="{C4842369-FD55-4C24-813F-BBEF361364DC}" name="Column6462"/>
    <tableColumn id="6463" xr3:uid="{536BF17F-21EF-4988-88E5-AF19C3BD71DB}" name="Column6463"/>
    <tableColumn id="6464" xr3:uid="{09F6CF10-0CF9-4458-B783-D67148DE95C2}" name="Column6464"/>
    <tableColumn id="6465" xr3:uid="{C3F1F330-717B-45BF-80DD-D5E89AD824A3}" name="Column6465"/>
    <tableColumn id="6466" xr3:uid="{CA3BAB5B-75AA-4CE8-B4BE-FDCBBBF9AAF1}" name="Column6466"/>
    <tableColumn id="6467" xr3:uid="{8281BA2A-BE4C-4C37-91A3-D513FB9A6DC1}" name="Column6467"/>
    <tableColumn id="6468" xr3:uid="{C9B9190A-D102-4BF1-A335-1391D7C816CC}" name="Column6468"/>
    <tableColumn id="6469" xr3:uid="{FC27C271-5713-492C-AF2D-93F6BF7C0845}" name="Column6469"/>
    <tableColumn id="6470" xr3:uid="{97A5B39F-19A0-4BCC-8AA5-9280CCED3A98}" name="Column6470"/>
    <tableColumn id="6471" xr3:uid="{B1896CFF-5D89-40C8-8CA6-27D737A1D3CE}" name="Column6471"/>
    <tableColumn id="6472" xr3:uid="{532B13A6-0642-4DD3-8F0D-A652139BA2FD}" name="Column6472"/>
    <tableColumn id="6473" xr3:uid="{FC472290-54B5-4E03-9AB2-D3ADEA278545}" name="Column6473"/>
    <tableColumn id="6474" xr3:uid="{25F30D4E-8886-476F-B8F5-00BAC1402680}" name="Column6474"/>
    <tableColumn id="6475" xr3:uid="{3541D9C2-83D8-4BCC-8573-BE6C87DF7C85}" name="Column6475"/>
    <tableColumn id="6476" xr3:uid="{6028C4BB-9128-4343-9F19-FC41D80FEE2D}" name="Column6476"/>
    <tableColumn id="6477" xr3:uid="{765137F2-0A59-4480-9FF2-39FC19D236B2}" name="Column6477"/>
    <tableColumn id="6478" xr3:uid="{5369B309-BBA2-49FF-846A-98149DEFB05D}" name="Column6478"/>
    <tableColumn id="6479" xr3:uid="{DB21D0DD-62BC-4345-9450-4EFB549706F0}" name="Column6479"/>
    <tableColumn id="6480" xr3:uid="{A1945C7F-2BD7-4B73-969D-0BE8E773C2A1}" name="Column6480"/>
    <tableColumn id="6481" xr3:uid="{B7E0D2C5-C07A-40D9-9967-D8C46687384F}" name="Column6481"/>
    <tableColumn id="6482" xr3:uid="{92911711-8DE7-47B2-8284-BE654F913D7E}" name="Column6482"/>
    <tableColumn id="6483" xr3:uid="{C70C30E0-DF9B-4E1D-88F1-AE6B3B1CE983}" name="Column6483"/>
    <tableColumn id="6484" xr3:uid="{4D3C9BE7-C2C8-43E9-891B-D49ECFC84DB1}" name="Column6484"/>
    <tableColumn id="6485" xr3:uid="{CEAF5B25-6A25-45A1-9822-B3852D53875D}" name="Column6485"/>
    <tableColumn id="6486" xr3:uid="{8B19E9BC-CA77-4BAC-B257-2963BD46DA58}" name="Column6486"/>
    <tableColumn id="6487" xr3:uid="{44272D2B-DD52-4B78-987B-645515EED170}" name="Column6487"/>
    <tableColumn id="6488" xr3:uid="{D0F9F834-2BB9-4BEF-9D80-95985B69616A}" name="Column6488"/>
    <tableColumn id="6489" xr3:uid="{70382F7B-4044-44C7-BA92-E7A9C532D859}" name="Column6489"/>
    <tableColumn id="6490" xr3:uid="{F922F26E-2D44-4389-881A-5AFBFDF5FDAE}" name="Column6490"/>
    <tableColumn id="6491" xr3:uid="{CEE56A3E-60BE-4915-9375-F62E84C7F66E}" name="Column6491"/>
    <tableColumn id="6492" xr3:uid="{6D56CAC0-1B87-44F9-BC44-4156BFEA5D27}" name="Column6492"/>
    <tableColumn id="6493" xr3:uid="{B22BB2A5-8786-4CDC-BCD9-DCE350F165AD}" name="Column6493"/>
    <tableColumn id="6494" xr3:uid="{43CC7D4B-ED92-434B-B43A-529EFA837FAB}" name="Column6494"/>
    <tableColumn id="6495" xr3:uid="{2139A3E8-88F9-430A-B4AA-B51646202953}" name="Column6495"/>
    <tableColumn id="6496" xr3:uid="{EF58A979-99CC-4114-8BE8-B123A3727467}" name="Column6496"/>
    <tableColumn id="6497" xr3:uid="{887D6B25-E3BD-441D-9D8D-10E789EC71D1}" name="Column6497"/>
    <tableColumn id="6498" xr3:uid="{6EA8A3C6-735B-4B85-BF33-EED31C47AAE7}" name="Column6498"/>
    <tableColumn id="6499" xr3:uid="{8E830A02-B949-42BE-87D7-5950E6C5E527}" name="Column6499"/>
    <tableColumn id="6500" xr3:uid="{5DE4E7F3-81C5-4CE4-B3F7-EFD67FA6F58D}" name="Column6500"/>
    <tableColumn id="6501" xr3:uid="{E981A95A-7AAB-4732-9D44-E1E914ACCB2A}" name="Column6501"/>
    <tableColumn id="6502" xr3:uid="{EEFB737F-7BD6-4D8F-A171-E8BC7AC91B82}" name="Column6502"/>
    <tableColumn id="6503" xr3:uid="{421A5A23-822E-437D-B1EF-501D00C17603}" name="Column6503"/>
    <tableColumn id="6504" xr3:uid="{4C1E70A2-9F96-4281-A7AD-4C2BE4E57AF3}" name="Column6504"/>
    <tableColumn id="6505" xr3:uid="{4F57B9A2-33FD-4226-B2A0-CD2C0A8DE2BA}" name="Column6505"/>
    <tableColumn id="6506" xr3:uid="{D05D655F-4AC8-486C-98DF-31B93D4A826A}" name="Column6506"/>
    <tableColumn id="6507" xr3:uid="{512EE106-7BA1-44DE-B2E1-9D4CC23F1943}" name="Column6507"/>
    <tableColumn id="6508" xr3:uid="{781BF404-F79E-4746-8444-64415E2075A9}" name="Column6508"/>
    <tableColumn id="6509" xr3:uid="{AE0E5462-84CA-4BE1-A8D3-4688B997F718}" name="Column6509"/>
    <tableColumn id="6510" xr3:uid="{B74015AF-78FA-446B-B102-79914BCF916E}" name="Column6510"/>
    <tableColumn id="6511" xr3:uid="{DA06ABAC-A6B9-49FD-ABEE-E94C2F8E4B45}" name="Column6511"/>
    <tableColumn id="6512" xr3:uid="{3C9B1AB0-78B2-4D4F-B5E9-9AB163760410}" name="Column6512"/>
    <tableColumn id="6513" xr3:uid="{10B77C51-A97B-4A3A-9298-46F9F581AFC0}" name="Column6513"/>
    <tableColumn id="6514" xr3:uid="{4565DEE6-5227-47BB-914A-2D2178CE13C1}" name="Column6514"/>
    <tableColumn id="6515" xr3:uid="{FF21FA8F-5268-405D-8E8A-CC53FA5C6CB5}" name="Column6515"/>
    <tableColumn id="6516" xr3:uid="{9EC34496-E91A-42A1-B0DB-AC99F0C59E5E}" name="Column6516"/>
    <tableColumn id="6517" xr3:uid="{77B3A12B-4645-44FB-8B24-592B241F479F}" name="Column6517"/>
    <tableColumn id="6518" xr3:uid="{3D1915CC-D127-44BD-BBFD-886B6AC19F31}" name="Column6518"/>
    <tableColumn id="6519" xr3:uid="{9B34FD61-C92D-405A-A7C5-D1C1D43EF724}" name="Column6519"/>
    <tableColumn id="6520" xr3:uid="{B5CCCC01-FE29-4277-A052-EA92A8880F0B}" name="Column6520"/>
    <tableColumn id="6521" xr3:uid="{1409D15D-0585-4BF0-84FB-4F1199640FAF}" name="Column6521"/>
    <tableColumn id="6522" xr3:uid="{62FC6530-6017-4E2F-BC47-CD131AB147C6}" name="Column6522"/>
    <tableColumn id="6523" xr3:uid="{6341B69C-2795-4050-98BB-C132615883B7}" name="Column6523"/>
    <tableColumn id="6524" xr3:uid="{8B825326-A358-4411-A6E5-D7064F905F73}" name="Column6524"/>
    <tableColumn id="6525" xr3:uid="{5D949667-193A-4A64-8CFF-5439F8BB9059}" name="Column6525"/>
    <tableColumn id="6526" xr3:uid="{EEE14E72-CA2B-48F2-B71D-9787BB1BA8C1}" name="Column6526"/>
    <tableColumn id="6527" xr3:uid="{A89D6438-C40F-4D8D-8BFA-39B3BAF02F19}" name="Column6527"/>
    <tableColumn id="6528" xr3:uid="{A525BB15-3923-4569-ADE9-8F5E8840DB0A}" name="Column6528"/>
    <tableColumn id="6529" xr3:uid="{80A14CA5-02F8-4FE2-AA4A-1A642EE2F1A0}" name="Column6529"/>
    <tableColumn id="6530" xr3:uid="{EC8889EE-695D-4FF9-911F-79CF6F9DA7C2}" name="Column6530"/>
    <tableColumn id="6531" xr3:uid="{D7623DEC-B10F-4D9D-BCBB-7B9D77E2AE63}" name="Column6531"/>
    <tableColumn id="6532" xr3:uid="{B1B36A1E-955C-49A0-9A98-728C77113713}" name="Column6532"/>
    <tableColumn id="6533" xr3:uid="{1B0B085A-4DD1-45A6-A0D5-55011EDB5245}" name="Column6533"/>
    <tableColumn id="6534" xr3:uid="{63A7D490-566F-46FC-9E64-189B91DE2D17}" name="Column6534"/>
    <tableColumn id="6535" xr3:uid="{D45FC7CD-6DF7-4A42-9172-7CEC53FAC369}" name="Column6535"/>
    <tableColumn id="6536" xr3:uid="{827CA67D-927F-4420-A4F2-3C9EA40D643C}" name="Column6536"/>
    <tableColumn id="6537" xr3:uid="{9E533E36-7A72-46A4-B26B-798608ED1CC7}" name="Column6537"/>
    <tableColumn id="6538" xr3:uid="{F701E6CA-6036-4C64-B68A-B3CBC40DE720}" name="Column6538"/>
    <tableColumn id="6539" xr3:uid="{82C781B0-A747-4615-8BFE-8BBE85B82C1D}" name="Column6539"/>
    <tableColumn id="6540" xr3:uid="{56C06316-5A12-49B5-ABBC-F16F4573F7A9}" name="Column6540"/>
    <tableColumn id="6541" xr3:uid="{B7B62FAD-86A9-49B2-B1E9-34090769CEDD}" name="Column6541"/>
    <tableColumn id="6542" xr3:uid="{82F49B7E-79BA-48DC-86E5-99C64AAC30DD}" name="Column6542"/>
    <tableColumn id="6543" xr3:uid="{861C83BE-930B-4851-9E29-947B304BBEFF}" name="Column6543"/>
    <tableColumn id="6544" xr3:uid="{62583E74-FCB3-46FE-A48D-969456DE9A73}" name="Column6544"/>
    <tableColumn id="6545" xr3:uid="{801A4BAC-7A2A-499A-9DA2-1017EB4576E2}" name="Column6545"/>
    <tableColumn id="6546" xr3:uid="{81CE72BE-4F46-4F5D-B85B-DCE82038D9DA}" name="Column6546"/>
    <tableColumn id="6547" xr3:uid="{BC0B32CC-DBBF-42AB-AD70-D1D24A806609}" name="Column6547"/>
    <tableColumn id="6548" xr3:uid="{D7931332-85BC-416F-89AC-C8FA55B66E21}" name="Column6548"/>
    <tableColumn id="6549" xr3:uid="{F05263EA-7572-41C9-996D-F285E4602117}" name="Column6549"/>
    <tableColumn id="6550" xr3:uid="{23A61770-6A71-49FC-8AAD-BDFC998D7D3F}" name="Column6550"/>
    <tableColumn id="6551" xr3:uid="{AE0F8E66-8AAF-4F94-B64F-0F84932E35CF}" name="Column6551"/>
    <tableColumn id="6552" xr3:uid="{1E6A87B3-27DB-42B7-8336-91687AC82601}" name="Column6552"/>
    <tableColumn id="6553" xr3:uid="{200902DC-9DD4-4F79-82FD-BA9449114630}" name="Column6553"/>
    <tableColumn id="6554" xr3:uid="{8DC3D6D0-69C6-45FB-BEAB-B4E7350ADE9E}" name="Column6554"/>
    <tableColumn id="6555" xr3:uid="{25A451C0-CD8E-4BB7-A6F2-3E920FD2E304}" name="Column6555"/>
    <tableColumn id="6556" xr3:uid="{9E6B441E-50CD-475D-933E-57C911F4AA4C}" name="Column6556"/>
    <tableColumn id="6557" xr3:uid="{35FBDF68-8585-4A9D-A5CB-F8EEDEB19FEA}" name="Column6557"/>
    <tableColumn id="6558" xr3:uid="{C4ACC234-46C9-4958-8933-4B284769848C}" name="Column6558"/>
    <tableColumn id="6559" xr3:uid="{E6E842BB-6032-4C46-9548-0EE564657F41}" name="Column6559"/>
    <tableColumn id="6560" xr3:uid="{13FA8C39-79A0-4186-88DF-9633A472A606}" name="Column6560"/>
    <tableColumn id="6561" xr3:uid="{AFFF9924-B623-42D7-8416-D49EC7DC6029}" name="Column6561"/>
    <tableColumn id="6562" xr3:uid="{2FEB7451-0396-47B6-B615-1F4E1FD4B3EA}" name="Column6562"/>
    <tableColumn id="6563" xr3:uid="{0CCE4983-62E2-4AFF-BB35-5A811256D36E}" name="Column6563"/>
    <tableColumn id="6564" xr3:uid="{92C4B8E0-D3E1-4A53-9B92-1FA076C0A526}" name="Column6564"/>
    <tableColumn id="6565" xr3:uid="{EF649BC3-4CBE-4D39-97B9-6634811BB909}" name="Column6565"/>
    <tableColumn id="6566" xr3:uid="{545FD86E-6385-414F-A716-3684CA4DF0ED}" name="Column6566"/>
    <tableColumn id="6567" xr3:uid="{8B7A87C9-08E1-434B-945B-B789FD7C2317}" name="Column6567"/>
    <tableColumn id="6568" xr3:uid="{5295EADD-9264-4E6E-803F-0D554386C7EF}" name="Column6568"/>
    <tableColumn id="6569" xr3:uid="{11E5A138-A2F9-4985-8D1B-7F51292C548A}" name="Column6569"/>
    <tableColumn id="6570" xr3:uid="{C08136B4-8AC7-4DF2-A6A2-8F172B49678A}" name="Column6570"/>
    <tableColumn id="6571" xr3:uid="{6AEAC376-3353-42A7-ABE8-BB95D6108354}" name="Column6571"/>
    <tableColumn id="6572" xr3:uid="{3D5421EA-2C05-454F-864B-2F66CB5AFFB9}" name="Column6572"/>
    <tableColumn id="6573" xr3:uid="{D8A50DAD-1321-4EE2-8A04-CF19033EF4A0}" name="Column6573"/>
    <tableColumn id="6574" xr3:uid="{9FAD3053-00B0-451F-A59B-BF83F32315EF}" name="Column6574"/>
    <tableColumn id="6575" xr3:uid="{EF5CB90C-99CD-4A38-AA26-74EDAD5815D1}" name="Column6575"/>
    <tableColumn id="6576" xr3:uid="{09151065-3002-447F-8A5A-1DB2D9166E1A}" name="Column6576"/>
    <tableColumn id="6577" xr3:uid="{066A37BE-306A-41B9-882D-582D1A5322C5}" name="Column6577"/>
    <tableColumn id="6578" xr3:uid="{46F5A4FE-9D45-4C7E-93ED-2AAB1921DBBB}" name="Column6578"/>
    <tableColumn id="6579" xr3:uid="{11B1EDFF-601F-4BE4-AC4D-AE45C28D85D8}" name="Column6579"/>
    <tableColumn id="6580" xr3:uid="{1C8F7E2E-54BB-4C7A-9450-0D0712BBD88D}" name="Column6580"/>
    <tableColumn id="6581" xr3:uid="{2F21B727-D507-4A05-9978-E15EA3F4C16A}" name="Column6581"/>
    <tableColumn id="6582" xr3:uid="{EC120E9D-54E9-431C-83A1-697EFBAE634B}" name="Column6582"/>
    <tableColumn id="6583" xr3:uid="{C6B8CBF9-3231-479A-8F3B-A7AF0B64BA66}" name="Column6583"/>
    <tableColumn id="6584" xr3:uid="{18026671-9538-43B0-B987-403D61949FB5}" name="Column6584"/>
    <tableColumn id="6585" xr3:uid="{264047D4-54DC-405A-B2BE-3EBBC600DD32}" name="Column6585"/>
    <tableColumn id="6586" xr3:uid="{4DAE7C9F-F2ED-4039-A6C6-34F81837C20E}" name="Column6586"/>
    <tableColumn id="6587" xr3:uid="{82909694-DF81-4FD9-9384-3F040ECB1EF1}" name="Column6587"/>
    <tableColumn id="6588" xr3:uid="{B4E07856-A0B8-4B88-A0BB-42D09422D8BF}" name="Column6588"/>
    <tableColumn id="6589" xr3:uid="{2E97320A-9082-4024-B6B8-FFE34F196371}" name="Column6589"/>
    <tableColumn id="6590" xr3:uid="{8D37C0B2-7539-4CA4-B6FC-C558C46E1EE9}" name="Column6590"/>
    <tableColumn id="6591" xr3:uid="{2B5A55D6-F7AA-4E11-9490-D3E73D5F6883}" name="Column6591"/>
    <tableColumn id="6592" xr3:uid="{EB72D308-CFC7-4CBB-BA3C-9C45288B0FA6}" name="Column6592"/>
    <tableColumn id="6593" xr3:uid="{3D604196-7E93-4615-9915-C64A9DBB15AA}" name="Column6593"/>
    <tableColumn id="6594" xr3:uid="{9A53AFE8-89C8-41CF-8BC1-BAFD28EC000F}" name="Column6594"/>
    <tableColumn id="6595" xr3:uid="{B022C41A-DD6D-4DE6-A0E1-2C12FB0D40CD}" name="Column6595"/>
    <tableColumn id="6596" xr3:uid="{E187E3CC-091B-405D-BB2F-E7F40FCDA1CD}" name="Column6596"/>
    <tableColumn id="6597" xr3:uid="{ED367F63-0C4C-4572-957A-05CDB79D8EAE}" name="Column6597"/>
    <tableColumn id="6598" xr3:uid="{B4ADA4DE-E35F-46BD-AA81-FD4F10E90E9A}" name="Column6598"/>
    <tableColumn id="6599" xr3:uid="{651888EA-8903-4075-B3A0-9DDD83B20C18}" name="Column6599"/>
    <tableColumn id="6600" xr3:uid="{ADCC5734-A7F0-4B51-875F-9761FD308FC2}" name="Column6600"/>
    <tableColumn id="6601" xr3:uid="{D916F67F-FD7C-4E35-9CDE-ADF2956EFA27}" name="Column6601"/>
    <tableColumn id="6602" xr3:uid="{A994D0F2-9E47-4253-BD09-08D2B4BE2771}" name="Column6602"/>
    <tableColumn id="6603" xr3:uid="{B160DEA9-9F0E-4DA1-B775-E5B77715610F}" name="Column6603"/>
    <tableColumn id="6604" xr3:uid="{AFB90A35-FEF5-4316-B1E7-BA15D8CD6146}" name="Column6604"/>
    <tableColumn id="6605" xr3:uid="{A15C441B-69E8-4A37-A4B0-8574EB47F270}" name="Column6605"/>
    <tableColumn id="6606" xr3:uid="{F43C9FE9-11E2-4447-862A-DACB114028E3}" name="Column6606"/>
    <tableColumn id="6607" xr3:uid="{ACD65ACF-63E7-4B3A-9626-98FA1994A893}" name="Column6607"/>
    <tableColumn id="6608" xr3:uid="{482A79D8-EAAD-440E-971A-59D3B159373A}" name="Column6608"/>
    <tableColumn id="6609" xr3:uid="{DE8D1B87-FB10-4564-8F96-EBEDAC1E2CFC}" name="Column6609"/>
    <tableColumn id="6610" xr3:uid="{1BEC28FF-F40C-4898-A34A-AD71B01EE3BF}" name="Column6610"/>
    <tableColumn id="6611" xr3:uid="{9A57AB27-9AAE-4A4F-9615-91DCDCFD8A5F}" name="Column6611"/>
    <tableColumn id="6612" xr3:uid="{A9DD5362-7073-4534-9176-9AFFA623CDE4}" name="Column6612"/>
    <tableColumn id="6613" xr3:uid="{DB2FD457-F69B-405E-8815-C52681F1ACB9}" name="Column6613"/>
    <tableColumn id="6614" xr3:uid="{BFD3C5FE-ACB6-4EB3-8BBC-475CC8C98A8C}" name="Column6614"/>
    <tableColumn id="6615" xr3:uid="{EA6A093B-B3E3-4BB4-BDAE-5328E069AEFA}" name="Column6615"/>
    <tableColumn id="6616" xr3:uid="{775522F5-ED6D-4DC9-BC8B-00CAFBA8ACC2}" name="Column6616"/>
    <tableColumn id="6617" xr3:uid="{FF986BED-C716-4BA9-9760-70D13261BFCF}" name="Column6617"/>
    <tableColumn id="6618" xr3:uid="{793277D6-1214-4453-924E-BFFAA4B01867}" name="Column6618"/>
    <tableColumn id="6619" xr3:uid="{80083D76-3968-4B35-98D5-E6D95D3AC83B}" name="Column6619"/>
    <tableColumn id="6620" xr3:uid="{3929FF2C-0B0F-40CF-BC93-559026EEDACF}" name="Column6620"/>
    <tableColumn id="6621" xr3:uid="{B0D15C21-BBB9-460D-9B5D-05149400E983}" name="Column6621"/>
    <tableColumn id="6622" xr3:uid="{8851EBC5-F413-46F3-B228-EF6AD8D2B941}" name="Column6622"/>
    <tableColumn id="6623" xr3:uid="{1A476316-A828-4062-8F19-F2E90659E764}" name="Column6623"/>
    <tableColumn id="6624" xr3:uid="{298D893E-E2F4-4E46-B6C5-900AD2BADA67}" name="Column6624"/>
    <tableColumn id="6625" xr3:uid="{BC190325-E090-401B-A215-8C1E32A490F1}" name="Column6625"/>
    <tableColumn id="6626" xr3:uid="{ED43D8E3-5E7E-4FC7-B3F9-C505FA55A0BB}" name="Column6626"/>
    <tableColumn id="6627" xr3:uid="{3F779868-5C30-481C-B6BE-04F31AFECB54}" name="Column6627"/>
    <tableColumn id="6628" xr3:uid="{73D3FFBE-FB91-4A55-9CF1-217CCCD180A8}" name="Column6628"/>
    <tableColumn id="6629" xr3:uid="{C930189C-AC88-4360-BA1D-13343C519082}" name="Column6629"/>
    <tableColumn id="6630" xr3:uid="{9A10050D-168D-4841-AA0C-FEAC4C0B2C6F}" name="Column6630"/>
    <tableColumn id="6631" xr3:uid="{9AB5363A-8215-4D2E-9B6F-A457BFDB73BC}" name="Column6631"/>
    <tableColumn id="6632" xr3:uid="{D1D6CC3F-A939-4CF3-BC57-054B3BC13B26}" name="Column6632"/>
    <tableColumn id="6633" xr3:uid="{085625CF-D72F-4B7B-A7F2-5D291D6F3BE7}" name="Column6633"/>
    <tableColumn id="6634" xr3:uid="{E3245B26-DF71-42CC-8F75-9FF6BD914385}" name="Column6634"/>
    <tableColumn id="6635" xr3:uid="{DC589C46-7F39-4A40-8357-4B4C71A054B3}" name="Column6635"/>
    <tableColumn id="6636" xr3:uid="{B3DA010F-1789-4BDF-9695-140F9BC77617}" name="Column6636"/>
    <tableColumn id="6637" xr3:uid="{ABCC26FA-6928-4B26-BC43-480B745EC9BC}" name="Column6637"/>
    <tableColumn id="6638" xr3:uid="{9C00B308-70BB-4C8D-A8B6-F757AB7BBE3E}" name="Column6638"/>
    <tableColumn id="6639" xr3:uid="{8FE5DF06-DAEF-4A4F-9BB4-1362FB1375CE}" name="Column6639"/>
    <tableColumn id="6640" xr3:uid="{CBEED496-6B78-458D-8BD3-84BC0868CBB9}" name="Column6640"/>
    <tableColumn id="6641" xr3:uid="{FE9E2418-54B6-4514-808F-D9F66F456DD2}" name="Column6641"/>
    <tableColumn id="6642" xr3:uid="{508EA144-7DF6-413B-98BC-6C79AD11AD85}" name="Column6642"/>
    <tableColumn id="6643" xr3:uid="{D5FF9A78-1447-43B5-A042-0D5E7309AEAA}" name="Column6643"/>
    <tableColumn id="6644" xr3:uid="{87266C4D-5372-4D81-9DE9-140A721D1DBB}" name="Column6644"/>
    <tableColumn id="6645" xr3:uid="{9A154132-E915-4E6B-B8B7-217586947E01}" name="Column6645"/>
    <tableColumn id="6646" xr3:uid="{0878AE3D-7743-4DD1-A99E-9510081238A3}" name="Column6646"/>
    <tableColumn id="6647" xr3:uid="{0BB4D997-F51F-4E4B-9C01-08EBF8DE905A}" name="Column6647"/>
    <tableColumn id="6648" xr3:uid="{703E7B0F-A37C-47CF-B161-562C6D1B16F3}" name="Column6648"/>
    <tableColumn id="6649" xr3:uid="{2C5A12DE-ED9E-4A26-BDA9-54037587F80E}" name="Column6649"/>
    <tableColumn id="6650" xr3:uid="{46630540-08E1-4E1C-AAE9-EC867202A6C9}" name="Column6650"/>
    <tableColumn id="6651" xr3:uid="{86398E69-CE19-4BF9-A86F-310E76F6EC70}" name="Column6651"/>
    <tableColumn id="6652" xr3:uid="{E5E1CE25-FCC9-45A3-BE1D-5E7FFDE9BB84}" name="Column6652"/>
    <tableColumn id="6653" xr3:uid="{F93802A8-4FEE-4635-802F-3BD77746625A}" name="Column6653"/>
    <tableColumn id="6654" xr3:uid="{8EEE7322-53A1-41AB-BFEB-2B29D9A6E4BC}" name="Column6654"/>
    <tableColumn id="6655" xr3:uid="{27A158EA-A11C-45A7-B6D4-9D7A6E25E694}" name="Column6655"/>
    <tableColumn id="6656" xr3:uid="{02D590E4-85C4-45BF-A3FE-E0C808F25B5B}" name="Column6656"/>
    <tableColumn id="6657" xr3:uid="{E9B83545-DBD8-4101-A348-8C0FCBC2388E}" name="Column6657"/>
    <tableColumn id="6658" xr3:uid="{CF1B5DB7-C0DE-4A16-B7EF-B74CBAE53E6A}" name="Column6658"/>
    <tableColumn id="6659" xr3:uid="{70A0366E-1613-4E6B-82CF-90CD80C4CE22}" name="Column6659"/>
    <tableColumn id="6660" xr3:uid="{FC66826D-14DF-446C-A54A-3213D71116F2}" name="Column6660"/>
    <tableColumn id="6661" xr3:uid="{6FD0271E-45DA-4870-9787-6966ED61B53B}" name="Column6661"/>
    <tableColumn id="6662" xr3:uid="{E4448FFA-8858-4919-9B52-61726A530973}" name="Column6662"/>
    <tableColumn id="6663" xr3:uid="{B6A522B8-9599-4B28-905F-524F284F4CC0}" name="Column6663"/>
    <tableColumn id="6664" xr3:uid="{FE68C8E6-E685-41EF-B3BB-7E286B9B78A5}" name="Column6664"/>
    <tableColumn id="6665" xr3:uid="{9EF6E515-D0F4-44C8-80EB-830F5FD22E26}" name="Column6665"/>
    <tableColumn id="6666" xr3:uid="{48567895-C7AB-4BA7-B40B-DAF0C948E858}" name="Column6666"/>
    <tableColumn id="6667" xr3:uid="{E78DE82B-FFDC-4D15-89AA-30AE3328ABD6}" name="Column6667"/>
    <tableColumn id="6668" xr3:uid="{1FD74836-E49C-4162-BC00-EDB60AA7D484}" name="Column6668"/>
    <tableColumn id="6669" xr3:uid="{F6F4DD2B-4C30-4D9B-BC52-4563F803958B}" name="Column6669"/>
    <tableColumn id="6670" xr3:uid="{B7B216EA-48E1-4499-B515-64F845B3DED6}" name="Column6670"/>
    <tableColumn id="6671" xr3:uid="{E18F4AAA-1962-47DB-A6E0-663371D65DDB}" name="Column6671"/>
    <tableColumn id="6672" xr3:uid="{38EABABD-2A99-4CCA-9A57-5D65855280C5}" name="Column6672"/>
    <tableColumn id="6673" xr3:uid="{6B4894D3-DFB0-4BE5-9F65-EBB9819EE9F5}" name="Column6673"/>
    <tableColumn id="6674" xr3:uid="{2A48DE49-9B58-4373-B194-686BD5C4498E}" name="Column6674"/>
    <tableColumn id="6675" xr3:uid="{51A7F14A-D75C-4C30-A042-94290536E0FC}" name="Column6675"/>
    <tableColumn id="6676" xr3:uid="{C044E7C1-B5C3-41E0-AB6D-772BB47D53EC}" name="Column6676"/>
    <tableColumn id="6677" xr3:uid="{19C630DC-D67E-49FF-A16D-575F450C60A1}" name="Column6677"/>
    <tableColumn id="6678" xr3:uid="{9900C8A7-1349-4972-A7C6-6EF584D36FA5}" name="Column6678"/>
    <tableColumn id="6679" xr3:uid="{2E9627AE-BF93-492A-86A1-81D42D24DFBA}" name="Column6679"/>
    <tableColumn id="6680" xr3:uid="{661717EC-155A-46EE-BC78-55ED4F0CE560}" name="Column6680"/>
    <tableColumn id="6681" xr3:uid="{B8E093A4-47B6-431F-A1D0-5EAE0EF1B552}" name="Column6681"/>
    <tableColumn id="6682" xr3:uid="{B3D8195D-6C7F-4446-9E6F-56F48968255B}" name="Column6682"/>
    <tableColumn id="6683" xr3:uid="{B607C4F8-8E67-4F8E-8AAF-AF173BEF7490}" name="Column6683"/>
    <tableColumn id="6684" xr3:uid="{083CFB53-0FD9-46BB-9052-28B33882C191}" name="Column6684"/>
    <tableColumn id="6685" xr3:uid="{7FB10AB4-9C69-45C3-8A35-B51D3A64D780}" name="Column6685"/>
    <tableColumn id="6686" xr3:uid="{18EDB223-B046-4BEA-8EC5-F4EADE01D4CA}" name="Column6686"/>
    <tableColumn id="6687" xr3:uid="{2726CCA4-F43F-4D67-8911-8E6567D41DD6}" name="Column6687"/>
    <tableColumn id="6688" xr3:uid="{3BD6263E-F66D-4E16-8E9D-907654B22DC2}" name="Column6688"/>
    <tableColumn id="6689" xr3:uid="{A4FA7FDF-5BFC-4E9D-92A9-CBE0C5170D7D}" name="Column6689"/>
    <tableColumn id="6690" xr3:uid="{729353C1-0231-4702-BAFA-1279C6666CC6}" name="Column6690"/>
    <tableColumn id="6691" xr3:uid="{1514514A-83AC-4154-A531-D4FA4C7AE99A}" name="Column6691"/>
    <tableColumn id="6692" xr3:uid="{F00A5C92-5659-42CB-9E37-9807570B8F7C}" name="Column6692"/>
    <tableColumn id="6693" xr3:uid="{7CA8FB4E-BDFE-4F9C-B634-3AF1C4B1F3CC}" name="Column6693"/>
    <tableColumn id="6694" xr3:uid="{D637162D-8126-4107-BBD6-01361E82693E}" name="Column6694"/>
    <tableColumn id="6695" xr3:uid="{1AA100ED-17E7-4B90-8BE8-F094596FEE7F}" name="Column6695"/>
    <tableColumn id="6696" xr3:uid="{5A751959-1A8A-46D0-93D7-880EBDA28C86}" name="Column6696"/>
    <tableColumn id="6697" xr3:uid="{0705CFB8-FAB4-426E-B065-5374EAB7CF4A}" name="Column6697"/>
    <tableColumn id="6698" xr3:uid="{D59B95F6-891E-4DE0-9756-EFCFF1A76C86}" name="Column6698"/>
    <tableColumn id="6699" xr3:uid="{028CA2B6-48DC-42E3-BF47-8B94A9A63EB9}" name="Column6699"/>
    <tableColumn id="6700" xr3:uid="{0B79CD17-7634-4C20-BFCC-F1CB00CE07B9}" name="Column6700"/>
    <tableColumn id="6701" xr3:uid="{1CBF5FFC-2B51-4C22-B115-C0779D3437D7}" name="Column6701"/>
    <tableColumn id="6702" xr3:uid="{26FF08CC-629B-449E-85D9-AE3D3AC5F06C}" name="Column6702"/>
    <tableColumn id="6703" xr3:uid="{168EDF30-5AB9-4365-9443-765D706F5DC4}" name="Column6703"/>
    <tableColumn id="6704" xr3:uid="{9662A5DC-551B-492E-9618-7CBF23551E23}" name="Column6704"/>
    <tableColumn id="6705" xr3:uid="{B37CD25C-DE7E-4326-9222-523A29FE9235}" name="Column6705"/>
    <tableColumn id="6706" xr3:uid="{900E9A8A-9EAD-4970-9792-079D1769E8C9}" name="Column6706"/>
    <tableColumn id="6707" xr3:uid="{5B2A462C-0959-4378-A354-64E61C8BAE4F}" name="Column6707"/>
    <tableColumn id="6708" xr3:uid="{73D6DFE6-34B1-4C48-93DA-231E9A912F4E}" name="Column6708"/>
    <tableColumn id="6709" xr3:uid="{7ED86487-52D8-45D5-97D4-DB1513A8BCE0}" name="Column6709"/>
    <tableColumn id="6710" xr3:uid="{0E09C77D-A9B7-4E32-8DD8-E123E68F52EF}" name="Column6710"/>
    <tableColumn id="6711" xr3:uid="{E7485790-8A0B-4C7D-B498-D9843F6C643F}" name="Column6711"/>
    <tableColumn id="6712" xr3:uid="{AA56C9CD-B38A-4AF6-B50E-D17B09A2563F}" name="Column6712"/>
    <tableColumn id="6713" xr3:uid="{016BAA73-4BFD-425E-8F10-9885CA7364FB}" name="Column6713"/>
    <tableColumn id="6714" xr3:uid="{AEFC07FC-8DE5-4D16-B4C3-ED69EE38FDC1}" name="Column6714"/>
    <tableColumn id="6715" xr3:uid="{4BC7047D-38E6-4204-AFB8-F15321B8466E}" name="Column6715"/>
    <tableColumn id="6716" xr3:uid="{9BEF516D-C968-416C-9C08-B6138C2671B3}" name="Column6716"/>
    <tableColumn id="6717" xr3:uid="{1622F967-8DEC-465F-98D1-801971A24F91}" name="Column6717"/>
    <tableColumn id="6718" xr3:uid="{16AE3907-6387-4E05-8621-4695B51AFC6D}" name="Column6718"/>
    <tableColumn id="6719" xr3:uid="{22477E98-B8DD-4EF1-AA98-720DCE7E2204}" name="Column6719"/>
    <tableColumn id="6720" xr3:uid="{89AC7248-23DE-44E4-B6DD-CD30E5C9E9A4}" name="Column6720"/>
    <tableColumn id="6721" xr3:uid="{27645336-9942-406B-B232-D167C609C2DA}" name="Column6721"/>
    <tableColumn id="6722" xr3:uid="{338992CF-5A39-4AB2-A7BC-7358F1AE72B8}" name="Column6722"/>
    <tableColumn id="6723" xr3:uid="{279A2BFE-46C5-4FC7-A7EE-1E6778B6FE79}" name="Column6723"/>
    <tableColumn id="6724" xr3:uid="{EE199BDB-3F3F-4535-A305-7686BEE272BF}" name="Column6724"/>
    <tableColumn id="6725" xr3:uid="{AE677280-CE96-4366-BCD0-7BE318A50D41}" name="Column6725"/>
    <tableColumn id="6726" xr3:uid="{B35E6029-C494-4A06-829E-7AD309B26B66}" name="Column6726"/>
    <tableColumn id="6727" xr3:uid="{0AB85F17-5885-46D7-BB3D-1359EF25A2A7}" name="Column6727"/>
    <tableColumn id="6728" xr3:uid="{3BAEEA39-3062-4664-A481-A18E9FED3717}" name="Column6728"/>
    <tableColumn id="6729" xr3:uid="{64209672-3558-497D-AECF-C06F8FCA77F0}" name="Column6729"/>
    <tableColumn id="6730" xr3:uid="{B55A8472-FCF3-48F3-8CEC-F7AAB8C7C46A}" name="Column6730"/>
    <tableColumn id="6731" xr3:uid="{700AD011-C243-47C3-9008-31F572D510FC}" name="Column6731"/>
    <tableColumn id="6732" xr3:uid="{CCADC2A5-23B2-43B7-AC05-651D35AD6AE8}" name="Column6732"/>
    <tableColumn id="6733" xr3:uid="{68E44D5B-5F74-4348-B6F9-E961B687B86F}" name="Column6733"/>
    <tableColumn id="6734" xr3:uid="{7C2F9D64-AD62-4722-BD00-9392B0EA2A38}" name="Column6734"/>
    <tableColumn id="6735" xr3:uid="{786CD4AF-EEBA-4004-9F82-AE575A0251DA}" name="Column6735"/>
    <tableColumn id="6736" xr3:uid="{E6D9C8B1-DED3-461E-BA20-A1B681194433}" name="Column6736"/>
    <tableColumn id="6737" xr3:uid="{71BB6AF3-9430-4D99-9A69-2F65ECDD75D9}" name="Column6737"/>
    <tableColumn id="6738" xr3:uid="{C5DE7212-064D-462B-B15F-9BB9A0017DCC}" name="Column6738"/>
    <tableColumn id="6739" xr3:uid="{D6EBB764-859B-4376-9B33-A8E7D8DB6FEE}" name="Column6739"/>
    <tableColumn id="6740" xr3:uid="{960958D6-B565-4AE4-89AF-530DA1272D3C}" name="Column6740"/>
    <tableColumn id="6741" xr3:uid="{0B15B5EC-D306-4DFB-BA83-3F086846B868}" name="Column6741"/>
    <tableColumn id="6742" xr3:uid="{2A6CA384-F9CE-487C-A3DF-DE3F87226118}" name="Column6742"/>
    <tableColumn id="6743" xr3:uid="{C356ED8E-8479-4B3F-B20E-786ABCE5C5A0}" name="Column6743"/>
    <tableColumn id="6744" xr3:uid="{E13FF3D7-5174-477A-90A4-3CD475051B0A}" name="Column6744"/>
    <tableColumn id="6745" xr3:uid="{EF351C6B-D96D-41DA-8E49-23C6DD12F8DC}" name="Column6745"/>
    <tableColumn id="6746" xr3:uid="{E139F209-53E7-44E6-A9BF-6234A6F368D0}" name="Column6746"/>
    <tableColumn id="6747" xr3:uid="{C2181A5F-C169-436C-B052-9EFB810FC5C3}" name="Column6747"/>
    <tableColumn id="6748" xr3:uid="{FD211A44-509C-46B0-9A34-E7FED961AB8A}" name="Column6748"/>
    <tableColumn id="6749" xr3:uid="{44664E43-4D05-4F3F-9F42-43B496984D6B}" name="Column6749"/>
    <tableColumn id="6750" xr3:uid="{911575F5-89C5-4C94-8AEC-A96CCEFFBE5E}" name="Column6750"/>
    <tableColumn id="6751" xr3:uid="{8773C34A-3A55-4ED7-A554-04A32444CF74}" name="Column6751"/>
    <tableColumn id="6752" xr3:uid="{6508D0C1-A05E-4CC8-930C-854A5594DCEF}" name="Column6752"/>
    <tableColumn id="6753" xr3:uid="{DCCC8489-97AA-4C3C-B3BD-67EF4D329906}" name="Column6753"/>
    <tableColumn id="6754" xr3:uid="{51FDA267-4EBA-4F27-9FE1-A3FD6F166654}" name="Column6754"/>
    <tableColumn id="6755" xr3:uid="{95C7D62A-3903-4B17-A558-9D12BFECC028}" name="Column6755"/>
    <tableColumn id="6756" xr3:uid="{57A707EB-3383-4A46-80B7-E51D08ABFE0B}" name="Column6756"/>
    <tableColumn id="6757" xr3:uid="{5D5FB68F-8BDA-4F57-AD9F-19310591F465}" name="Column6757"/>
    <tableColumn id="6758" xr3:uid="{FB59411C-CC58-4112-B848-BAF784900232}" name="Column6758"/>
    <tableColumn id="6759" xr3:uid="{CF507FFA-EA5D-4FDA-8AF0-BA168B3399F7}" name="Column6759"/>
    <tableColumn id="6760" xr3:uid="{A07E8CFB-4136-49EE-AD6D-5DA464CE01AD}" name="Column6760"/>
    <tableColumn id="6761" xr3:uid="{BC25911C-272D-4927-AE33-3247A57796B7}" name="Column6761"/>
    <tableColumn id="6762" xr3:uid="{433CAA61-DC30-49DE-A010-FFF4F8A26540}" name="Column6762"/>
    <tableColumn id="6763" xr3:uid="{89EF71BF-93B1-41D3-8C3A-FDB42A90525C}" name="Column6763"/>
    <tableColumn id="6764" xr3:uid="{5265F226-6ED8-45B7-BFAB-1B27B1EF9521}" name="Column6764"/>
    <tableColumn id="6765" xr3:uid="{088D8DD4-EED3-48AC-87C7-1C9ACA63CD12}" name="Column6765"/>
    <tableColumn id="6766" xr3:uid="{4E0DF141-D815-4A9B-AAD1-61534D6CA0E4}" name="Column6766"/>
    <tableColumn id="6767" xr3:uid="{7AEE48F2-6728-4F30-BF1F-29597FF7B012}" name="Column6767"/>
    <tableColumn id="6768" xr3:uid="{1E41BE46-B3F1-4C2B-9702-5FDD1586B301}" name="Column6768"/>
    <tableColumn id="6769" xr3:uid="{FF2E7594-485E-471C-B6A8-8510F55E160D}" name="Column6769"/>
    <tableColumn id="6770" xr3:uid="{82ABE54B-97FC-4A67-9BDC-26FED399E5F6}" name="Column6770"/>
    <tableColumn id="6771" xr3:uid="{868047CD-3B0C-48C5-BA8F-9B203D91EC99}" name="Column6771"/>
    <tableColumn id="6772" xr3:uid="{13BE7647-1FF1-4590-B369-57750B5AA401}" name="Column6772"/>
    <tableColumn id="6773" xr3:uid="{75278F69-15FA-4A1E-BA43-9A190541C086}" name="Column6773"/>
    <tableColumn id="6774" xr3:uid="{4DF73D6F-83FC-4239-9624-014A83463500}" name="Column6774"/>
    <tableColumn id="6775" xr3:uid="{70912238-FCF1-45F4-819E-605FDE6B56D4}" name="Column6775"/>
    <tableColumn id="6776" xr3:uid="{16601512-92B4-40C8-8C22-9349845317B8}" name="Column6776"/>
    <tableColumn id="6777" xr3:uid="{1F46DCC7-0165-4EED-AB46-209AA9EBF61D}" name="Column6777"/>
    <tableColumn id="6778" xr3:uid="{3493062C-732B-4353-B833-2F604323DA79}" name="Column6778"/>
    <tableColumn id="6779" xr3:uid="{37735EE7-4DB7-49AD-A52E-614AD83AED53}" name="Column6779"/>
    <tableColumn id="6780" xr3:uid="{9B8B7039-75C6-4F59-A1ED-EDF5242BE96C}" name="Column6780"/>
    <tableColumn id="6781" xr3:uid="{82F8BADC-363E-4CB3-872B-EF43BB99C8FA}" name="Column6781"/>
    <tableColumn id="6782" xr3:uid="{85C93DDD-468B-4E8D-8770-4E80AF581D5F}" name="Column6782"/>
    <tableColumn id="6783" xr3:uid="{0997B2E3-1F77-4BBB-834A-12CC9B769566}" name="Column6783"/>
    <tableColumn id="6784" xr3:uid="{0F0CA765-26B8-4FBA-B947-009329B29BB6}" name="Column6784"/>
    <tableColumn id="6785" xr3:uid="{931E9EDA-4A6A-4027-B094-4A0E50348406}" name="Column6785"/>
    <tableColumn id="6786" xr3:uid="{083D76C5-ABD9-4A20-9C98-4B6365822793}" name="Column6786"/>
    <tableColumn id="6787" xr3:uid="{BFFE3608-58FD-4760-B79A-2E757841D574}" name="Column6787"/>
    <tableColumn id="6788" xr3:uid="{B099CBB7-2144-403B-9532-F331A71B3F99}" name="Column6788"/>
    <tableColumn id="6789" xr3:uid="{5AF784AD-3721-4960-8947-D1053376C7E5}" name="Column6789"/>
    <tableColumn id="6790" xr3:uid="{1D8FFEBD-BD32-4715-B7F6-163A95B8B32B}" name="Column6790"/>
    <tableColumn id="6791" xr3:uid="{118A1AF9-B534-409D-9B33-65E9E4322BD7}" name="Column6791"/>
    <tableColumn id="6792" xr3:uid="{ED848E36-86F3-4F75-8F91-B8940C3E3AC7}" name="Column6792"/>
    <tableColumn id="6793" xr3:uid="{648F5664-0889-42C6-9831-B954A88E208A}" name="Column6793"/>
    <tableColumn id="6794" xr3:uid="{85A843F4-9B39-4D61-B2A7-333DC1D0C7A5}" name="Column6794"/>
    <tableColumn id="6795" xr3:uid="{8839D5D8-2123-4C08-92A1-B4E2574DB767}" name="Column6795"/>
    <tableColumn id="6796" xr3:uid="{BEA24994-2A1E-4DC8-B46F-16938BD4C12D}" name="Column6796"/>
    <tableColumn id="6797" xr3:uid="{791FA421-3B3C-4428-9859-60F3E3A51AA7}" name="Column6797"/>
    <tableColumn id="6798" xr3:uid="{F57D9C27-D0E9-4C87-A86C-9981DAE1D183}" name="Column6798"/>
    <tableColumn id="6799" xr3:uid="{2CAAC971-B914-44CA-A2AD-44C9EC743EBB}" name="Column6799"/>
    <tableColumn id="6800" xr3:uid="{939C0F15-005F-451E-BFE4-9550D1DA6A1F}" name="Column6800"/>
    <tableColumn id="6801" xr3:uid="{A5356A7C-A8B3-4B57-B7B7-C24E90A1CB48}" name="Column6801"/>
    <tableColumn id="6802" xr3:uid="{10FE59CB-C796-4011-82F2-1CDDF693292C}" name="Column6802"/>
    <tableColumn id="6803" xr3:uid="{0B1C9A71-4961-4612-97DA-F902DF8E03A5}" name="Column6803"/>
    <tableColumn id="6804" xr3:uid="{88E9D7FB-138E-4D69-81C3-931781BA7FBF}" name="Column6804"/>
    <tableColumn id="6805" xr3:uid="{57B4D951-65BA-492C-A874-C5EF0D8ABC89}" name="Column6805"/>
    <tableColumn id="6806" xr3:uid="{EA060489-BCC4-49EA-B8D9-70FF34035A44}" name="Column6806"/>
    <tableColumn id="6807" xr3:uid="{A149E075-9B14-4A12-96F6-8C00412EAA33}" name="Column6807"/>
    <tableColumn id="6808" xr3:uid="{9F5DFB28-4190-4D6D-873E-AE9F7658B7D0}" name="Column6808"/>
    <tableColumn id="6809" xr3:uid="{AF7D40F4-9A72-43D5-BC12-6854D811AD45}" name="Column6809"/>
    <tableColumn id="6810" xr3:uid="{965DDD0B-5464-4AA0-A20A-BC964CD6AC25}" name="Column6810"/>
    <tableColumn id="6811" xr3:uid="{6E063867-CCD1-49BF-99AD-3883FF88CCBB}" name="Column6811"/>
    <tableColumn id="6812" xr3:uid="{F0C4B970-351F-4017-A6E8-9461B40258BF}" name="Column6812"/>
    <tableColumn id="6813" xr3:uid="{5B8D9A70-B81E-4000-963D-FDE429C0C0FE}" name="Column6813"/>
    <tableColumn id="6814" xr3:uid="{55204AF1-28D7-4834-855B-8C29A81F8B8A}" name="Column6814"/>
    <tableColumn id="6815" xr3:uid="{43423BFD-D2D0-40D3-8404-069632977423}" name="Column6815"/>
    <tableColumn id="6816" xr3:uid="{3F3C1036-8FAF-4CD0-B501-C4E5A747C0F7}" name="Column6816"/>
    <tableColumn id="6817" xr3:uid="{2C7DECDB-FCBB-4C02-AA49-703F8489E292}" name="Column6817"/>
    <tableColumn id="6818" xr3:uid="{9227D740-DFD3-4E75-9217-8D3F7563FA75}" name="Column6818"/>
    <tableColumn id="6819" xr3:uid="{42D5C1F3-EFDE-4800-BC77-1DEA024028BE}" name="Column6819"/>
    <tableColumn id="6820" xr3:uid="{4C265CA9-EE20-4614-981A-7B014EE0ADF4}" name="Column6820"/>
    <tableColumn id="6821" xr3:uid="{A7A2F899-7B8E-4B37-AC14-65DCB9F0D14F}" name="Column6821"/>
    <tableColumn id="6822" xr3:uid="{389F4FFD-D277-4280-8D81-991F2F42F6FD}" name="Column6822"/>
    <tableColumn id="6823" xr3:uid="{5AE13558-7C13-45F3-B057-037D8FE4B606}" name="Column6823"/>
    <tableColumn id="6824" xr3:uid="{4FFA68DA-EE32-491B-A8F0-D11E1D2E2A12}" name="Column6824"/>
    <tableColumn id="6825" xr3:uid="{D3544852-F2DB-4827-B2F5-CD43AF7F9E1D}" name="Column6825"/>
    <tableColumn id="6826" xr3:uid="{52329409-E55B-4FD7-903C-7EFA05C102CE}" name="Column6826"/>
    <tableColumn id="6827" xr3:uid="{615A0080-9D79-4442-8CBE-458B148EBE02}" name="Column6827"/>
    <tableColumn id="6828" xr3:uid="{035D97B2-D84F-4005-BFF1-08D8F9735C7B}" name="Column6828"/>
    <tableColumn id="6829" xr3:uid="{B96A8A4E-9FB0-4B13-BA8E-4A1F79697372}" name="Column6829"/>
    <tableColumn id="6830" xr3:uid="{4BA60162-485C-4103-BFDF-0B9B42E135BA}" name="Column6830"/>
    <tableColumn id="6831" xr3:uid="{7D54092B-5D4C-45F8-A870-58D9595C4631}" name="Column6831"/>
    <tableColumn id="6832" xr3:uid="{54E17A0E-4FB4-469D-AC51-A23FA446EA9C}" name="Column6832"/>
    <tableColumn id="6833" xr3:uid="{CA972A09-E60D-4299-BFDD-3DC1F5BDC2A1}" name="Column6833"/>
    <tableColumn id="6834" xr3:uid="{45AC107D-42DE-4F70-8B6C-E5D61A180335}" name="Column6834"/>
    <tableColumn id="6835" xr3:uid="{0B7E7680-C59B-43BC-9A71-60DE325EB681}" name="Column6835"/>
    <tableColumn id="6836" xr3:uid="{97EE1E29-B731-4739-AACD-CD69CE0B29A4}" name="Column6836"/>
    <tableColumn id="6837" xr3:uid="{D1D50DD2-F0B7-4ED6-B5FB-5D35A6EDE229}" name="Column6837"/>
    <tableColumn id="6838" xr3:uid="{BB6E8AC3-D348-411F-B1A1-4F5C78236823}" name="Column6838"/>
    <tableColumn id="6839" xr3:uid="{36EB57E6-45C8-48BF-9C1B-258AC7714380}" name="Column6839"/>
    <tableColumn id="6840" xr3:uid="{EF973DB9-ABAC-4D65-A2C0-8BD697C44A4B}" name="Column6840"/>
    <tableColumn id="6841" xr3:uid="{E6ECAA07-D357-4E86-AAB7-A77E9B17AF50}" name="Column6841"/>
    <tableColumn id="6842" xr3:uid="{56F7F137-28AC-443E-8C89-BE9E58A20943}" name="Column6842"/>
    <tableColumn id="6843" xr3:uid="{5DF5F741-B1F1-41DA-BAC4-F17A866C7E35}" name="Column6843"/>
    <tableColumn id="6844" xr3:uid="{7CB0E74B-9C8A-467E-BDAD-96520E8D3CBA}" name="Column6844"/>
    <tableColumn id="6845" xr3:uid="{59010D58-441B-4A74-A565-C994278ED103}" name="Column6845"/>
    <tableColumn id="6846" xr3:uid="{259D635F-65B4-4320-A682-E0D59F04271D}" name="Column6846"/>
    <tableColumn id="6847" xr3:uid="{30D0E4C8-E162-4086-97CA-7B583031C2B4}" name="Column6847"/>
    <tableColumn id="6848" xr3:uid="{7B492528-9820-48F0-B48C-15110263BFE7}" name="Column6848"/>
    <tableColumn id="6849" xr3:uid="{76906DD1-769C-4119-8A8F-424F2E1BAA22}" name="Column6849"/>
    <tableColumn id="6850" xr3:uid="{BCAC73F2-B220-41E9-AF23-F61600EB0097}" name="Column6850"/>
    <tableColumn id="6851" xr3:uid="{66AC53C7-0111-4181-8725-4DE8EDBBA397}" name="Column6851"/>
    <tableColumn id="6852" xr3:uid="{CB4080E0-C6B3-4EE5-A0A7-A5B3E52F8F9A}" name="Column6852"/>
    <tableColumn id="6853" xr3:uid="{2EBF3D21-D412-4C49-80AE-B14A4ECD5162}" name="Column6853"/>
    <tableColumn id="6854" xr3:uid="{D2934C4B-CD8E-4DDA-A4AE-282C4B4DAB0C}" name="Column6854"/>
    <tableColumn id="6855" xr3:uid="{7296C087-ED11-4760-AB6C-AC3FDC5D6FBD}" name="Column6855"/>
    <tableColumn id="6856" xr3:uid="{93E03B4A-4999-4F99-8F31-7375C457D529}" name="Column6856"/>
    <tableColumn id="6857" xr3:uid="{00C363A2-FAFD-4C69-BB4B-28E200A4F5CA}" name="Column6857"/>
    <tableColumn id="6858" xr3:uid="{16407C11-57D5-4BA1-A5DB-A3478207E2CB}" name="Column6858"/>
    <tableColumn id="6859" xr3:uid="{01791A70-B866-4A92-8596-0415F586CA14}" name="Column6859"/>
    <tableColumn id="6860" xr3:uid="{3316F4F4-A6AF-42CF-B529-35CD5526FD2A}" name="Column6860"/>
    <tableColumn id="6861" xr3:uid="{CD194F03-2902-474D-82B2-A91036927BF6}" name="Column6861"/>
    <tableColumn id="6862" xr3:uid="{1F86AF44-0B28-42FB-AC58-1D21DCC5BA40}" name="Column6862"/>
    <tableColumn id="6863" xr3:uid="{DBF2D84B-4C14-4379-AF1B-E7010FD7F05E}" name="Column6863"/>
    <tableColumn id="6864" xr3:uid="{65DFEC73-78CA-4110-9580-3392A364A98F}" name="Column6864"/>
    <tableColumn id="6865" xr3:uid="{0B9015CA-751E-4A45-9CD1-875D39A660CA}" name="Column6865"/>
    <tableColumn id="6866" xr3:uid="{F05CAB9A-DF6C-4711-A1AE-F526C176A4D1}" name="Column6866"/>
    <tableColumn id="6867" xr3:uid="{562BDC93-9477-4CE3-BE6B-100629E98791}" name="Column6867"/>
    <tableColumn id="6868" xr3:uid="{335410E0-F73B-4CDE-A94C-5D368B288874}" name="Column6868"/>
    <tableColumn id="6869" xr3:uid="{AB3E5683-F406-4909-8378-DC66F3DEB50F}" name="Column6869"/>
    <tableColumn id="6870" xr3:uid="{1245ADEB-8A95-4BAC-B87F-0340880411A4}" name="Column6870"/>
    <tableColumn id="6871" xr3:uid="{05461FBF-9485-4211-A8E9-28B1A9065E99}" name="Column6871"/>
    <tableColumn id="6872" xr3:uid="{CEADBA0E-30AE-4264-A386-A9F45ACAAFA4}" name="Column6872"/>
    <tableColumn id="6873" xr3:uid="{29B1354B-45E2-4A5C-911A-1A0388F5DCC7}" name="Column6873"/>
    <tableColumn id="6874" xr3:uid="{09C8FC38-9E9A-49AA-B638-10F4C041503A}" name="Column6874"/>
    <tableColumn id="6875" xr3:uid="{2A43D1BD-F404-4E5F-940E-05A9A8D22108}" name="Column6875"/>
    <tableColumn id="6876" xr3:uid="{BA174AB7-D527-40B1-81DB-7D972179047E}" name="Column6876"/>
    <tableColumn id="6877" xr3:uid="{E8188F4F-B75F-4B4B-AF7E-C27487BE1980}" name="Column6877"/>
    <tableColumn id="6878" xr3:uid="{F169CD37-A01F-4BE2-B1DB-01CC400A94CF}" name="Column6878"/>
    <tableColumn id="6879" xr3:uid="{30B19115-43AC-497C-971D-9AA160D80E7A}" name="Column6879"/>
    <tableColumn id="6880" xr3:uid="{E33DD3D4-1E53-496B-B425-10BFF90E87E4}" name="Column6880"/>
    <tableColumn id="6881" xr3:uid="{29A9370E-776B-4DAA-A7CA-3B4A70FF89CC}" name="Column6881"/>
    <tableColumn id="6882" xr3:uid="{45BFCDD0-DEF0-4B16-B0C3-6DA08835AE87}" name="Column6882"/>
    <tableColumn id="6883" xr3:uid="{5B369B24-623F-43E3-A735-9DA35CD29580}" name="Column6883"/>
    <tableColumn id="6884" xr3:uid="{895EA610-F284-43A2-AFE5-4860A8027A5F}" name="Column6884"/>
    <tableColumn id="6885" xr3:uid="{1BA1253E-9918-430F-8A3B-A81AD85CA44E}" name="Column6885"/>
    <tableColumn id="6886" xr3:uid="{2B549767-4957-4825-B4C8-CA477D0B8F31}" name="Column6886"/>
    <tableColumn id="6887" xr3:uid="{687EC32C-9FFC-48DC-9BD9-338DCC7A963E}" name="Column6887"/>
    <tableColumn id="6888" xr3:uid="{EACA7B0D-6012-4E50-8FCF-F0EBA36C66F0}" name="Column6888"/>
    <tableColumn id="6889" xr3:uid="{185AED47-28B5-45F4-8A12-C46B0C58080D}" name="Column6889"/>
    <tableColumn id="6890" xr3:uid="{5E2D6B8B-A313-4ED5-BC8D-9C3C9E9C0872}" name="Column6890"/>
    <tableColumn id="6891" xr3:uid="{484BA00F-0484-495F-B15A-5FAFE32901A9}" name="Column6891"/>
    <tableColumn id="6892" xr3:uid="{D3CE00C6-F08B-4DD9-885B-190D9374CB16}" name="Column6892"/>
    <tableColumn id="6893" xr3:uid="{4994AD8C-E34E-48EB-93AD-35FA1C78AB20}" name="Column6893"/>
    <tableColumn id="6894" xr3:uid="{11B39887-22C4-4218-B91A-F02E9DEFDF82}" name="Column6894"/>
    <tableColumn id="6895" xr3:uid="{8DAAD625-8276-47E2-BBC1-ECC978320D78}" name="Column6895"/>
    <tableColumn id="6896" xr3:uid="{0FEAC37A-2FB4-4F31-BF52-BE1F7C44FA44}" name="Column6896"/>
    <tableColumn id="6897" xr3:uid="{DD0C6021-87C2-4D80-9010-F86EAE8B5E82}" name="Column6897"/>
    <tableColumn id="6898" xr3:uid="{34E7DFF1-7E16-47F7-9AA0-92FCB105CF37}" name="Column6898"/>
    <tableColumn id="6899" xr3:uid="{7EFE996E-071D-43D5-9588-AAC0FDDDAFCD}" name="Column6899"/>
    <tableColumn id="6900" xr3:uid="{01EDD7DB-9F05-42E4-9E9E-150B63B96204}" name="Column6900"/>
    <tableColumn id="6901" xr3:uid="{4A28FE7B-C411-4B02-AF99-31A2631081AD}" name="Column6901"/>
    <tableColumn id="6902" xr3:uid="{BABBBDC4-60E8-4A70-A40D-5044FF0964E5}" name="Column6902"/>
    <tableColumn id="6903" xr3:uid="{65D681BD-2DE9-46BF-A538-2876ED2D74B1}" name="Column6903"/>
    <tableColumn id="6904" xr3:uid="{6051EDDC-DFD0-45A0-BF7E-DB04A19F6CF2}" name="Column6904"/>
    <tableColumn id="6905" xr3:uid="{D24A0021-4A7E-48C8-9335-118627A0AA3F}" name="Column6905"/>
    <tableColumn id="6906" xr3:uid="{EBA8F44F-239B-440D-9DE0-5997C8093F40}" name="Column6906"/>
    <tableColumn id="6907" xr3:uid="{CB0EBF16-1472-42CB-A85F-7B106AF7273B}" name="Column6907"/>
    <tableColumn id="6908" xr3:uid="{E7C8FB32-8E3D-46D5-9B66-C3B18B8B5193}" name="Column6908"/>
    <tableColumn id="6909" xr3:uid="{196D947C-4D38-456C-8CBE-B6D86439AA95}" name="Column6909"/>
    <tableColumn id="6910" xr3:uid="{823433A9-54BE-459D-A549-D5B3B1AF214A}" name="Column6910"/>
    <tableColumn id="6911" xr3:uid="{349A624D-E367-4036-AE52-406BE22FDC0D}" name="Column6911"/>
    <tableColumn id="6912" xr3:uid="{2E1012F6-5EE7-454D-B924-D2E04188D5DE}" name="Column6912"/>
    <tableColumn id="6913" xr3:uid="{3637BD63-48A7-443E-9321-3E353D2523F3}" name="Column6913"/>
    <tableColumn id="6914" xr3:uid="{C267B186-D14D-4741-97C8-ACF648B23081}" name="Column6914"/>
    <tableColumn id="6915" xr3:uid="{E9038BCA-1F1A-4E8D-8624-8887649B7228}" name="Column6915"/>
    <tableColumn id="6916" xr3:uid="{7B6CB1B9-72FD-4A52-93C8-B6C5B1693EB1}" name="Column6916"/>
    <tableColumn id="6917" xr3:uid="{B4B8DF81-0C8E-466C-808D-D28FA2086584}" name="Column6917"/>
    <tableColumn id="6918" xr3:uid="{D62ED085-6836-47EA-A264-DACB59AA0397}" name="Column6918"/>
    <tableColumn id="6919" xr3:uid="{84AACFCB-BA74-462F-825A-829A4311F93A}" name="Column6919"/>
    <tableColumn id="6920" xr3:uid="{BED0DD49-293E-410C-AFBF-CE45F3401582}" name="Column6920"/>
    <tableColumn id="6921" xr3:uid="{9EE8D62D-B229-4F8D-BDBC-C5C3E941A007}" name="Column6921"/>
    <tableColumn id="6922" xr3:uid="{846F86BE-4C8E-4E61-ABB0-6236882BFB57}" name="Column6922"/>
    <tableColumn id="6923" xr3:uid="{4C262436-D7BB-49CD-9167-9E3534E2472A}" name="Column6923"/>
    <tableColumn id="6924" xr3:uid="{E3EBC26C-3102-4F3C-ACB3-D492C5996392}" name="Column6924"/>
    <tableColumn id="6925" xr3:uid="{6D08E402-FC53-4B30-B906-574CC300F5B2}" name="Column6925"/>
    <tableColumn id="6926" xr3:uid="{866600DC-830D-41F4-B347-AD6AF62591E1}" name="Column6926"/>
    <tableColumn id="6927" xr3:uid="{5B02F899-5251-48AA-B627-720F82C39EA9}" name="Column6927"/>
    <tableColumn id="6928" xr3:uid="{36BD616F-8F73-4BCC-B71C-861FCDDEED9C}" name="Column6928"/>
    <tableColumn id="6929" xr3:uid="{F91172C6-783F-41E9-9C90-B7F64D288CD3}" name="Column6929"/>
    <tableColumn id="6930" xr3:uid="{BFC2F429-0D73-4B90-8098-1B9C615F885E}" name="Column6930"/>
    <tableColumn id="6931" xr3:uid="{C97E8B00-F674-41FB-9A47-8168A1F7E685}" name="Column6931"/>
    <tableColumn id="6932" xr3:uid="{D9B097C6-6B54-434B-A3C2-D95013066DCC}" name="Column6932"/>
    <tableColumn id="6933" xr3:uid="{52574568-BB78-429D-9FFC-83C1E830DEB9}" name="Column6933"/>
    <tableColumn id="6934" xr3:uid="{E48A0290-1F64-468E-AFE3-470879B0E1C3}" name="Column6934"/>
    <tableColumn id="6935" xr3:uid="{EC20BD63-DF06-434B-91C4-0ACE90B4E04F}" name="Column6935"/>
    <tableColumn id="6936" xr3:uid="{399E69F9-EF10-46B9-A200-27EF9F33DEDE}" name="Column6936"/>
    <tableColumn id="6937" xr3:uid="{97722E9B-C7CB-44E2-B055-008C33746FED}" name="Column6937"/>
    <tableColumn id="6938" xr3:uid="{C3A4FA7C-CEBE-4525-8468-683E9A08D9E7}" name="Column6938"/>
    <tableColumn id="6939" xr3:uid="{6A951C41-BDBA-443A-913B-6EC763DB642A}" name="Column6939"/>
    <tableColumn id="6940" xr3:uid="{8C1936C0-7C6F-49F6-AD52-61725A6DEF62}" name="Column6940"/>
    <tableColumn id="6941" xr3:uid="{57B55EB8-8486-4F96-BE84-C6CD86C74ECE}" name="Column6941"/>
    <tableColumn id="6942" xr3:uid="{45B0FC01-1926-49C5-8471-7F8F0CB1C1BC}" name="Column6942"/>
    <tableColumn id="6943" xr3:uid="{9CF33E67-C708-496F-86FD-3647CD8F4D96}" name="Column6943"/>
    <tableColumn id="6944" xr3:uid="{57680C8C-A27C-45A2-A895-A34F77E1BECB}" name="Column6944"/>
    <tableColumn id="6945" xr3:uid="{9BB3A4EA-970D-4239-A2FA-07D255082EFF}" name="Column6945"/>
    <tableColumn id="6946" xr3:uid="{FF74062F-61A2-4736-A771-19A71FB31948}" name="Column6946"/>
    <tableColumn id="6947" xr3:uid="{D3C1F5C9-9E38-48B8-A4B3-C55A89C72C45}" name="Column6947"/>
    <tableColumn id="6948" xr3:uid="{27A7F0E8-F80D-4E66-A365-4D95DBA5DDA1}" name="Column6948"/>
    <tableColumn id="6949" xr3:uid="{92BA70DD-C37E-436F-8E03-F74E4B1DDCA6}" name="Column6949"/>
    <tableColumn id="6950" xr3:uid="{DE156AC0-32F8-49C6-8676-806E067EA046}" name="Column6950"/>
    <tableColumn id="6951" xr3:uid="{45F1983B-B4BC-4DBF-83B0-308CADD895EF}" name="Column6951"/>
    <tableColumn id="6952" xr3:uid="{B234E234-4801-4AD2-BC9E-914EB82C637A}" name="Column6952"/>
    <tableColumn id="6953" xr3:uid="{6A7DFC93-4D08-42FC-AEC2-D6DDBACB5E47}" name="Column6953"/>
    <tableColumn id="6954" xr3:uid="{B710182D-3582-40B3-AEEF-E59483ACC1D2}" name="Column6954"/>
    <tableColumn id="6955" xr3:uid="{8A49CB05-8A1C-41DD-B356-17F89F4A52F7}" name="Column6955"/>
    <tableColumn id="6956" xr3:uid="{A9619B09-A867-4A34-AEC1-76F71F241D00}" name="Column6956"/>
    <tableColumn id="6957" xr3:uid="{077D0FE1-91FD-463D-9DD3-295947F395E4}" name="Column6957"/>
    <tableColumn id="6958" xr3:uid="{231C41AE-2DFD-47AD-A7E1-5ECC51D2A6F7}" name="Column6958"/>
    <tableColumn id="6959" xr3:uid="{C6C0610B-22CF-42EB-ACE8-73464D44F299}" name="Column6959"/>
    <tableColumn id="6960" xr3:uid="{91AF87C2-ABD2-4243-BF38-6DB13936F719}" name="Column6960"/>
    <tableColumn id="6961" xr3:uid="{C3F1181D-20D2-432D-86E0-B1E5091FDA3E}" name="Column6961"/>
    <tableColumn id="6962" xr3:uid="{9AC6A8FD-8A7C-4AB4-A7A6-F3776E8E92E1}" name="Column6962"/>
    <tableColumn id="6963" xr3:uid="{746CD188-3C1D-4529-B750-7B3305311A84}" name="Column6963"/>
    <tableColumn id="6964" xr3:uid="{9E5B3FC6-3284-49EE-90A5-B83503CD8F67}" name="Column6964"/>
    <tableColumn id="6965" xr3:uid="{D3CDD713-499A-418C-BB66-08027C064571}" name="Column6965"/>
    <tableColumn id="6966" xr3:uid="{A591A8CA-48D7-4B7D-9A4C-6BE0FF1000F0}" name="Column6966"/>
    <tableColumn id="6967" xr3:uid="{019A76F5-EABE-4AFF-8F7F-3F166D626371}" name="Column6967"/>
    <tableColumn id="6968" xr3:uid="{825CFB0F-91B3-46BD-A8CF-B5F99E0E7A59}" name="Column6968"/>
    <tableColumn id="6969" xr3:uid="{C0232CC6-AEF4-4464-932E-53E670C58408}" name="Column6969"/>
    <tableColumn id="6970" xr3:uid="{52AE75F9-844D-40E9-8EF1-26D739202CE6}" name="Column6970"/>
    <tableColumn id="6971" xr3:uid="{8A157D2F-2BE0-4A10-B341-F81711E34B37}" name="Column6971"/>
    <tableColumn id="6972" xr3:uid="{5E810492-7496-4C19-9040-BE52A75A1225}" name="Column6972"/>
    <tableColumn id="6973" xr3:uid="{106003A1-5977-4B44-8B14-10E92414D541}" name="Column6973"/>
    <tableColumn id="6974" xr3:uid="{D583E950-2D8F-4DD0-AD30-7AF0EB0A65D1}" name="Column6974"/>
    <tableColumn id="6975" xr3:uid="{74C9F257-2A3F-4740-A027-3AFA950D41DF}" name="Column6975"/>
    <tableColumn id="6976" xr3:uid="{E10BE6B5-4CF0-483B-827D-04CC4A3BEE85}" name="Column6976"/>
    <tableColumn id="6977" xr3:uid="{7594E582-5DC5-4A26-89E0-D6E1F416B663}" name="Column6977"/>
    <tableColumn id="6978" xr3:uid="{7A8340D6-C625-4089-978F-917B5E2CC8D7}" name="Column6978"/>
    <tableColumn id="6979" xr3:uid="{6FD1E8C0-3504-4043-938C-D7B92F45F57D}" name="Column6979"/>
    <tableColumn id="6980" xr3:uid="{F04F08C1-A7F2-49DD-9EA7-A1BE36096A9B}" name="Column6980"/>
    <tableColumn id="6981" xr3:uid="{BE499667-5D81-4F24-84C1-9966CFFD74D8}" name="Column6981"/>
    <tableColumn id="6982" xr3:uid="{7FEA3AB0-36CD-4F48-B734-D6A186BAB09F}" name="Column6982"/>
    <tableColumn id="6983" xr3:uid="{D1BC68A8-C887-4B72-BCF7-8BA2A68C8611}" name="Column6983"/>
    <tableColumn id="6984" xr3:uid="{8712E9A0-878F-4DA6-AC61-7261B94C63B7}" name="Column6984"/>
    <tableColumn id="6985" xr3:uid="{C1271CFF-ED73-4789-B338-3413C64D981A}" name="Column6985"/>
    <tableColumn id="6986" xr3:uid="{2F549B4B-2BA9-4168-B7D9-1681985C3821}" name="Column6986"/>
    <tableColumn id="6987" xr3:uid="{AD4B2E9A-9E11-4469-92B1-058F971BA2F8}" name="Column6987"/>
    <tableColumn id="6988" xr3:uid="{5F889227-1268-45F9-909D-A907396A6137}" name="Column6988"/>
    <tableColumn id="6989" xr3:uid="{3E8879E5-4316-46CF-A998-01F8E8B3CDC1}" name="Column6989"/>
    <tableColumn id="6990" xr3:uid="{0D5DD484-82F5-4355-A89A-88F2DD3522F8}" name="Column6990"/>
    <tableColumn id="6991" xr3:uid="{E3BA017C-D805-4F2C-ADE5-12A1420B9B39}" name="Column6991"/>
    <tableColumn id="6992" xr3:uid="{BFDE5191-0052-4C8E-9841-C0C7AD732213}" name="Column6992"/>
    <tableColumn id="6993" xr3:uid="{7DA9F0B4-AAC5-45F1-9B6A-73BA701DA1C9}" name="Column6993"/>
    <tableColumn id="6994" xr3:uid="{F6BAE02C-B025-44A4-817F-DA5BB0257C1A}" name="Column6994"/>
    <tableColumn id="6995" xr3:uid="{63BB3A2F-9C0C-48F7-B38A-B42351B72C6E}" name="Column6995"/>
    <tableColumn id="6996" xr3:uid="{222653E2-B599-40D6-8AD1-4FC672706BA5}" name="Column6996"/>
    <tableColumn id="6997" xr3:uid="{ED941129-8675-4AA3-80DE-9E2F9D80CA84}" name="Column6997"/>
    <tableColumn id="6998" xr3:uid="{2F38CC62-3AD9-486B-A706-4F8ACD5BB1F5}" name="Column6998"/>
    <tableColumn id="6999" xr3:uid="{2EC6DCBF-7757-49A5-8894-D0E0A5D585A2}" name="Column6999"/>
    <tableColumn id="7000" xr3:uid="{E9885056-7367-4822-BFB2-3062DA67DE26}" name="Column7000"/>
    <tableColumn id="7001" xr3:uid="{88C3E441-C0E7-4D83-854F-86764A63BC8D}" name="Column7001"/>
    <tableColumn id="7002" xr3:uid="{88519A82-6F52-4335-AAA3-399CA36F04C4}" name="Column7002"/>
    <tableColumn id="7003" xr3:uid="{B9A592CD-8DAB-4356-87BA-72F7D87C1C33}" name="Column7003"/>
    <tableColumn id="7004" xr3:uid="{12ACD5EE-86B9-402F-8EB9-5FC8507F3265}" name="Column7004"/>
    <tableColumn id="7005" xr3:uid="{7CCC095F-0866-42FD-952B-63AA6DAC7B10}" name="Column7005"/>
    <tableColumn id="7006" xr3:uid="{A45D6336-533D-406A-9ABF-96BCA3141F07}" name="Column7006"/>
    <tableColumn id="7007" xr3:uid="{433F722B-2D32-4933-A66B-E1C3272057DF}" name="Column7007"/>
    <tableColumn id="7008" xr3:uid="{89D3033A-494A-4F47-AF97-6607757F82E2}" name="Column7008"/>
    <tableColumn id="7009" xr3:uid="{7B884B50-74C4-413C-A9DE-E1EC3A4D2A4B}" name="Column7009"/>
    <tableColumn id="7010" xr3:uid="{33B08F2E-BAB6-4664-89FE-6E6CE76D58FD}" name="Column7010"/>
    <tableColumn id="7011" xr3:uid="{D23F8191-A8D6-472B-868C-7E00677143D9}" name="Column7011"/>
    <tableColumn id="7012" xr3:uid="{5C367315-BAF3-4DFA-A1F5-139B52DE26F8}" name="Column7012"/>
    <tableColumn id="7013" xr3:uid="{41AF1540-F1E5-4CA0-96D7-28A69128C8F9}" name="Column7013"/>
    <tableColumn id="7014" xr3:uid="{6709E6E3-BCD5-4B4A-8E13-27CAFAF8B69F}" name="Column7014"/>
    <tableColumn id="7015" xr3:uid="{C67E821E-B0D6-499A-B42A-5802E22AA02F}" name="Column7015"/>
    <tableColumn id="7016" xr3:uid="{73F304D3-A0BE-4F3A-A51A-08B746F6A061}" name="Column7016"/>
    <tableColumn id="7017" xr3:uid="{FBC9980F-328B-460C-8467-FDDB7D0C6F28}" name="Column7017"/>
    <tableColumn id="7018" xr3:uid="{6FB19E06-2094-49D3-8260-60EEA2DBDA47}" name="Column7018"/>
    <tableColumn id="7019" xr3:uid="{2B678B6D-C910-448C-A287-BC4D50EABF47}" name="Column7019"/>
    <tableColumn id="7020" xr3:uid="{AD39B215-A6B5-4E88-859A-43CF651BCDBB}" name="Column7020"/>
    <tableColumn id="7021" xr3:uid="{8BFD0618-2463-40B9-B513-73E217BF6E22}" name="Column7021"/>
    <tableColumn id="7022" xr3:uid="{8D2FB1DB-6DEE-49C6-AD32-2C67119D9175}" name="Column7022"/>
    <tableColumn id="7023" xr3:uid="{A170BC05-B6E0-4B03-B479-02F5AFCA9573}" name="Column7023"/>
    <tableColumn id="7024" xr3:uid="{4BECE145-4878-4A21-9A13-9D90334CDEB9}" name="Column7024"/>
    <tableColumn id="7025" xr3:uid="{887BF059-01E1-4FBC-BD10-93599EDF683D}" name="Column7025"/>
    <tableColumn id="7026" xr3:uid="{B360A31C-50DE-451D-8547-EDAF05A4E132}" name="Column7026"/>
    <tableColumn id="7027" xr3:uid="{DA310F2D-4A3B-4B6A-A72D-73DB4902C102}" name="Column7027"/>
    <tableColumn id="7028" xr3:uid="{DD0C53B9-177F-4AC0-BFD7-D4B4A19A0F73}" name="Column7028"/>
    <tableColumn id="7029" xr3:uid="{5A19252D-D942-4227-8F21-43018A28DFE9}" name="Column7029"/>
    <tableColumn id="7030" xr3:uid="{3A55B990-377C-4912-95E3-B8757CF03312}" name="Column7030"/>
    <tableColumn id="7031" xr3:uid="{D14C34E5-CA17-4921-84DA-D6A868EC07F0}" name="Column7031"/>
    <tableColumn id="7032" xr3:uid="{170D9D64-4B91-460B-A077-BF23F39639E5}" name="Column7032"/>
    <tableColumn id="7033" xr3:uid="{F6BFA999-F702-4692-81F5-5B9A8F41A4E0}" name="Column7033"/>
    <tableColumn id="7034" xr3:uid="{E0F273BD-9C34-4AA3-A0DF-195B26A39F7E}" name="Column7034"/>
    <tableColumn id="7035" xr3:uid="{4A1E0C0B-4144-42D7-B090-0ED94A46B726}" name="Column7035"/>
    <tableColumn id="7036" xr3:uid="{AC063D5A-C007-4D7C-B9DC-EF76160B958D}" name="Column7036"/>
    <tableColumn id="7037" xr3:uid="{FD350C42-9806-41FB-9CFB-3EF4BBFDEC84}" name="Column7037"/>
    <tableColumn id="7038" xr3:uid="{DA71EE89-1A5C-4E83-BAD7-17854F2CD44E}" name="Column7038"/>
    <tableColumn id="7039" xr3:uid="{B01003D4-0F2D-41D2-BCD9-AFDE2681AF7A}" name="Column7039"/>
    <tableColumn id="7040" xr3:uid="{696D69AD-9BDC-4CB3-8C9A-37532C9DE79D}" name="Column7040"/>
    <tableColumn id="7041" xr3:uid="{3FF32844-D778-44D2-A1E6-0FB05FA67016}" name="Column7041"/>
    <tableColumn id="7042" xr3:uid="{88EEDD09-5EF3-42F1-8E56-29F4D17646D2}" name="Column7042"/>
    <tableColumn id="7043" xr3:uid="{86704ACB-BB96-4E8E-943D-DA5340304FA2}" name="Column7043"/>
    <tableColumn id="7044" xr3:uid="{9AEE9987-D57E-4763-9942-1073C52DE469}" name="Column7044"/>
    <tableColumn id="7045" xr3:uid="{2CDDC0A9-A11D-495F-B50B-D95B05EEF9B7}" name="Column7045"/>
    <tableColumn id="7046" xr3:uid="{269C3B52-F9DB-47BB-B22E-06ED076BE244}" name="Column7046"/>
    <tableColumn id="7047" xr3:uid="{4600DD1A-F8BB-40C8-91C8-54FF9E6CE270}" name="Column7047"/>
    <tableColumn id="7048" xr3:uid="{E7DF2F20-5BC0-403A-BD9C-D3CAA5AC3279}" name="Column7048"/>
    <tableColumn id="7049" xr3:uid="{38352026-E546-45CF-89FF-9298B190F9F2}" name="Column7049"/>
    <tableColumn id="7050" xr3:uid="{5910E864-05A8-4C7E-8829-201685849327}" name="Column7050"/>
    <tableColumn id="7051" xr3:uid="{0C53B67B-1767-4DE5-B7CC-006E908A5860}" name="Column7051"/>
    <tableColumn id="7052" xr3:uid="{9EA83857-64CF-4A7D-BA4B-54A24861E860}" name="Column7052"/>
    <tableColumn id="7053" xr3:uid="{B5CC60B2-52DD-41B5-8915-6AD025A60EB0}" name="Column7053"/>
    <tableColumn id="7054" xr3:uid="{95258978-21FC-4B46-BBFC-225CD8DDA272}" name="Column7054"/>
    <tableColumn id="7055" xr3:uid="{F80F782E-98FE-4E7B-94B9-7BF51DC4D16A}" name="Column7055"/>
    <tableColumn id="7056" xr3:uid="{61BCA8B0-92C6-485A-92D7-32F33266F11F}" name="Column7056"/>
    <tableColumn id="7057" xr3:uid="{7C00C685-5882-4964-AD00-28C2A09FD930}" name="Column7057"/>
    <tableColumn id="7058" xr3:uid="{20C5C6A5-5C7D-4484-92E7-EBB423BCCA11}" name="Column7058"/>
    <tableColumn id="7059" xr3:uid="{74FD38CB-42BA-495F-A1BD-056A2693AE34}" name="Column7059"/>
    <tableColumn id="7060" xr3:uid="{075B7220-8A10-42E6-AFD9-E659C6C6A436}" name="Column7060"/>
    <tableColumn id="7061" xr3:uid="{01E0F033-8944-4800-B687-808E45635F62}" name="Column7061"/>
    <tableColumn id="7062" xr3:uid="{F8FF183D-22F2-43C8-8E2D-5385D7983412}" name="Column7062"/>
    <tableColumn id="7063" xr3:uid="{DB7C520F-C19C-4348-8ECF-E31777798A4F}" name="Column7063"/>
    <tableColumn id="7064" xr3:uid="{7847E37E-CD86-4244-B81B-0A72E6FC3FA2}" name="Column7064"/>
    <tableColumn id="7065" xr3:uid="{1AB6C7EC-7F72-4717-B84A-ED5575B5AEE7}" name="Column7065"/>
    <tableColumn id="7066" xr3:uid="{F903D8BA-213C-475E-B658-1613A499024F}" name="Column7066"/>
    <tableColumn id="7067" xr3:uid="{75EC8FD7-B535-4073-813C-383DB3DA487B}" name="Column7067"/>
    <tableColumn id="7068" xr3:uid="{16BEB3BA-18DD-4BB2-860A-1B6359BB133E}" name="Column7068"/>
    <tableColumn id="7069" xr3:uid="{BE4EDA2E-7823-43D0-935C-9DD66BF7E6F2}" name="Column7069"/>
    <tableColumn id="7070" xr3:uid="{6CB86474-B05A-45E3-ACFD-F755AE1210B4}" name="Column7070"/>
    <tableColumn id="7071" xr3:uid="{616B20CB-A41C-4544-9C4E-5E81C5E13682}" name="Column7071"/>
    <tableColumn id="7072" xr3:uid="{55733F8A-2CEB-44F5-84CC-06F489EECFFB}" name="Column7072"/>
    <tableColumn id="7073" xr3:uid="{87704BE6-C98B-480E-8F2B-08FAC3DC1D47}" name="Column7073"/>
    <tableColumn id="7074" xr3:uid="{048C5C00-2BC8-495A-916C-AD2BF0863874}" name="Column7074"/>
    <tableColumn id="7075" xr3:uid="{FC7CEFC3-8C9B-43F9-BF96-75C950DFF5B2}" name="Column7075"/>
    <tableColumn id="7076" xr3:uid="{B54B570B-F047-4A86-973C-0839C3F01233}" name="Column7076"/>
    <tableColumn id="7077" xr3:uid="{2750433B-1633-4944-83B2-84944009347B}" name="Column7077"/>
    <tableColumn id="7078" xr3:uid="{CB63CB9D-DD2B-4C98-81A9-F26BD3B25107}" name="Column7078"/>
    <tableColumn id="7079" xr3:uid="{B2BE3B0A-5E77-40AE-85D9-B3C72607294F}" name="Column7079"/>
    <tableColumn id="7080" xr3:uid="{75CF176F-7BD9-47EF-9A45-ED3A96082DF8}" name="Column7080"/>
    <tableColumn id="7081" xr3:uid="{EAB0B97C-4259-402C-B0B8-349ABD894454}" name="Column7081"/>
    <tableColumn id="7082" xr3:uid="{E3AD85E7-2D09-47D9-9217-A7ED395E0FBF}" name="Column7082"/>
    <tableColumn id="7083" xr3:uid="{3BEB31F2-2359-4427-9783-BEEC07225574}" name="Column7083"/>
    <tableColumn id="7084" xr3:uid="{C6858363-22EB-4F8A-9DE0-7D8311920970}" name="Column7084"/>
    <tableColumn id="7085" xr3:uid="{4629BFDC-F802-4789-BBBF-EB97FEE56E88}" name="Column7085"/>
    <tableColumn id="7086" xr3:uid="{CBF8510B-D04E-4A92-997D-FCB40A06BAA0}" name="Column7086"/>
    <tableColumn id="7087" xr3:uid="{63AC727D-CB56-4410-9562-78AD94967386}" name="Column7087"/>
    <tableColumn id="7088" xr3:uid="{F4772C64-5694-405C-AFBF-5BE0E40573BF}" name="Column7088"/>
    <tableColumn id="7089" xr3:uid="{34E7CDAC-2F5C-414B-AC92-8FC128E3D6FF}" name="Column7089"/>
    <tableColumn id="7090" xr3:uid="{0AFA049F-1026-4676-9DB1-8E4D8DE39471}" name="Column7090"/>
    <tableColumn id="7091" xr3:uid="{963673E6-0E89-4B67-B1C2-B3BCFDDEB05A}" name="Column7091"/>
    <tableColumn id="7092" xr3:uid="{66BF27C3-C201-4880-B77C-6D09BCDBAAB0}" name="Column7092"/>
    <tableColumn id="7093" xr3:uid="{18B5FAF5-EDB0-4D38-B093-E16B359B3BAA}" name="Column7093"/>
    <tableColumn id="7094" xr3:uid="{39250287-E6C6-4C4F-8906-616FE7D12AA8}" name="Column7094"/>
    <tableColumn id="7095" xr3:uid="{02146BD0-C2F1-4951-B2DE-8B0FCAA7074A}" name="Column7095"/>
    <tableColumn id="7096" xr3:uid="{56BFFD51-E9A0-4A09-9A02-5863FFC7BA68}" name="Column7096"/>
    <tableColumn id="7097" xr3:uid="{6DCD6696-CCE9-47D4-A3EF-B416D7892006}" name="Column7097"/>
    <tableColumn id="7098" xr3:uid="{A6681AD7-272C-4361-B1EA-D289EC2F37A3}" name="Column7098"/>
    <tableColumn id="7099" xr3:uid="{2CA7235C-E29F-4DB7-BAB9-8DF5BC0280CC}" name="Column7099"/>
    <tableColumn id="7100" xr3:uid="{36BD0DC5-FC8E-46AA-A7D6-0F84D4C52088}" name="Column7100"/>
    <tableColumn id="7101" xr3:uid="{6F765731-04DB-4B1B-8888-84B54F896775}" name="Column7101"/>
    <tableColumn id="7102" xr3:uid="{2EC9A18E-B4B8-4A52-BF87-E8014745F9BE}" name="Column7102"/>
    <tableColumn id="7103" xr3:uid="{BBBB9175-A7FD-4AB1-B751-3DF5F11A9AF1}" name="Column7103"/>
    <tableColumn id="7104" xr3:uid="{1F6A6E91-F59E-4ADF-9ADF-9EDBC927434E}" name="Column7104"/>
    <tableColumn id="7105" xr3:uid="{3D5E10D3-1282-40E7-908D-0E0975DC1056}" name="Column7105"/>
    <tableColumn id="7106" xr3:uid="{010A967C-01E8-4FDA-9B47-C7B21BA58373}" name="Column7106"/>
    <tableColumn id="7107" xr3:uid="{7E4F0EB0-27F6-4E4E-AA33-24B52B69B564}" name="Column7107"/>
    <tableColumn id="7108" xr3:uid="{1FCDFDBF-4FEF-48F6-AE4B-F006DC1DD481}" name="Column7108"/>
    <tableColumn id="7109" xr3:uid="{A959DE94-4F51-4824-86EE-D41B524F2564}" name="Column7109"/>
    <tableColumn id="7110" xr3:uid="{065C0701-F5B8-48D6-A452-1594AD3DBD54}" name="Column7110"/>
    <tableColumn id="7111" xr3:uid="{9CE715EE-7C5C-4BCB-8CA1-2AEE75CA25A2}" name="Column7111"/>
    <tableColumn id="7112" xr3:uid="{74BE49C6-9A59-4548-9039-E00A266E92FA}" name="Column7112"/>
    <tableColumn id="7113" xr3:uid="{4D773813-0348-488F-B271-E9AD42A09CC4}" name="Column7113"/>
    <tableColumn id="7114" xr3:uid="{1AF42625-D699-42A6-9479-09900B4B37EA}" name="Column7114"/>
    <tableColumn id="7115" xr3:uid="{236A295E-1317-4571-8F84-FFEADBE275FD}" name="Column7115"/>
    <tableColumn id="7116" xr3:uid="{E59AD633-8630-4EE5-88BB-9B098B76CD0C}" name="Column7116"/>
    <tableColumn id="7117" xr3:uid="{FB5DAD37-6797-4AD5-A85C-A4A3856092C0}" name="Column7117"/>
    <tableColumn id="7118" xr3:uid="{E975B390-4A80-4D9B-B57F-EC8AC3DA4B27}" name="Column7118"/>
    <tableColumn id="7119" xr3:uid="{243AFB41-3773-4F90-BD84-EA65515A9D8A}" name="Column7119"/>
    <tableColumn id="7120" xr3:uid="{17EE7AEC-DCA3-4EDB-9CAF-D2AF802AE483}" name="Column7120"/>
    <tableColumn id="7121" xr3:uid="{0880890B-58C7-4A82-AA97-4803FB9454A4}" name="Column7121"/>
    <tableColumn id="7122" xr3:uid="{E078C59E-A8AB-4BBA-B719-D748BBA91279}" name="Column7122"/>
    <tableColumn id="7123" xr3:uid="{ECD93D85-36EA-459F-9310-C4F43AC053CB}" name="Column7123"/>
    <tableColumn id="7124" xr3:uid="{4D15F527-9470-463B-A1BC-1547CB1AD21C}" name="Column7124"/>
    <tableColumn id="7125" xr3:uid="{B256F9E3-5A2C-4595-BC94-B4E480A5A938}" name="Column7125"/>
    <tableColumn id="7126" xr3:uid="{6C4798A6-7A6F-433D-8E9C-4E28EF37E777}" name="Column7126"/>
    <tableColumn id="7127" xr3:uid="{A8127313-446B-4F12-A267-922FB26F2EEA}" name="Column7127"/>
    <tableColumn id="7128" xr3:uid="{857E246C-6FC0-43A5-8E64-A3201638C86B}" name="Column7128"/>
    <tableColumn id="7129" xr3:uid="{4DEB42C6-0F8C-4EF7-81C2-F91D7CF61036}" name="Column7129"/>
    <tableColumn id="7130" xr3:uid="{C156E3EC-A2CC-4D23-A317-B4759AAAEDE7}" name="Column7130"/>
    <tableColumn id="7131" xr3:uid="{CB571CC0-44F6-4782-B91D-E7C21621D389}" name="Column7131"/>
    <tableColumn id="7132" xr3:uid="{7005FFF7-1DAA-46C5-8DF6-36C96D7A2DFA}" name="Column7132"/>
    <tableColumn id="7133" xr3:uid="{8BF804BC-AF6B-4369-9786-AC17341077CD}" name="Column7133"/>
    <tableColumn id="7134" xr3:uid="{238E87B1-8A8C-4D9E-B9F3-39B29138D11C}" name="Column7134"/>
    <tableColumn id="7135" xr3:uid="{3DA92708-DE00-4848-BBA2-9294B2E0117E}" name="Column7135"/>
    <tableColumn id="7136" xr3:uid="{4E7D0829-6FE2-4B35-BEF2-46506AAD9580}" name="Column7136"/>
    <tableColumn id="7137" xr3:uid="{5A38F15F-CF05-401B-9A7C-CE057335D3A2}" name="Column7137"/>
    <tableColumn id="7138" xr3:uid="{7277160E-380A-4DBD-A38E-61F99577A30A}" name="Column7138"/>
    <tableColumn id="7139" xr3:uid="{67F131A1-406E-4CC9-A356-8E3909979863}" name="Column7139"/>
    <tableColumn id="7140" xr3:uid="{EC0A91E3-23EA-497A-9A0F-45BD7C0D6CA4}" name="Column7140"/>
    <tableColumn id="7141" xr3:uid="{DE3C19FE-840F-4A06-ABA8-8EA6D448E5E5}" name="Column7141"/>
    <tableColumn id="7142" xr3:uid="{E646E3C8-3B53-4056-B25A-48781A500FC8}" name="Column7142"/>
    <tableColumn id="7143" xr3:uid="{9B107F97-51C3-4639-9B49-B342AEB623B9}" name="Column7143"/>
    <tableColumn id="7144" xr3:uid="{5E9EBAD2-0332-4AD3-A7B5-978CA5AB7400}" name="Column7144"/>
    <tableColumn id="7145" xr3:uid="{ADE72982-CA42-4E4D-8DD4-7685A9B480E6}" name="Column7145"/>
    <tableColumn id="7146" xr3:uid="{D9600915-032D-4D12-AEE6-7F08FA24EF8D}" name="Column7146"/>
    <tableColumn id="7147" xr3:uid="{04EDDFFE-9EE6-4D68-B0B8-4D092FB72F5D}" name="Column7147"/>
    <tableColumn id="7148" xr3:uid="{CA2052A1-09C5-4080-890B-6A549B298BDF}" name="Column7148"/>
    <tableColumn id="7149" xr3:uid="{84FDE0AA-AA16-48EC-9523-DE06843412EE}" name="Column7149"/>
    <tableColumn id="7150" xr3:uid="{EF253F82-3B47-4833-B94B-9AFA64005F5C}" name="Column7150"/>
    <tableColumn id="7151" xr3:uid="{FF42A325-B461-4B91-BF85-9EC5198FEA40}" name="Column7151"/>
    <tableColumn id="7152" xr3:uid="{4FC9A1CC-3AD6-48C7-96D9-8526B66F8FC9}" name="Column7152"/>
    <tableColumn id="7153" xr3:uid="{C3A352BA-5DBA-4B6D-9B82-AFAAAB012C76}" name="Column7153"/>
    <tableColumn id="7154" xr3:uid="{878FB844-F611-4A30-8846-072CA2A62B23}" name="Column7154"/>
    <tableColumn id="7155" xr3:uid="{D9D2E569-758A-495B-834C-5DBA336FE38C}" name="Column7155"/>
    <tableColumn id="7156" xr3:uid="{A5E3EFDE-F93A-495D-907C-F4C4528C5176}" name="Column7156"/>
    <tableColumn id="7157" xr3:uid="{0BCEAE09-4CD7-4AD3-BF46-8C4E12494B71}" name="Column7157"/>
    <tableColumn id="7158" xr3:uid="{E1180DC5-63CE-42EC-94CC-B7F2CBB20740}" name="Column7158"/>
    <tableColumn id="7159" xr3:uid="{832904D0-DAFC-452E-8A28-BDA5F7A0DA8E}" name="Column7159"/>
    <tableColumn id="7160" xr3:uid="{23AA61FA-A428-40DE-B866-2C8BF4859BCF}" name="Column7160"/>
    <tableColumn id="7161" xr3:uid="{E82D44A5-A670-43DC-A0EC-C8E33B9604F1}" name="Column7161"/>
    <tableColumn id="7162" xr3:uid="{C14B5BEF-AAD1-46EC-B9E8-B671F47C2508}" name="Column7162"/>
    <tableColumn id="7163" xr3:uid="{A1E07572-A5FD-49A8-B2BD-9E1903356F3F}" name="Column7163"/>
    <tableColumn id="7164" xr3:uid="{60E953B7-6B39-420C-BF7D-1AA933676EED}" name="Column7164"/>
    <tableColumn id="7165" xr3:uid="{2803E340-C035-41AA-BD39-DBF0FFD7ED9B}" name="Column7165"/>
    <tableColumn id="7166" xr3:uid="{60993564-30EB-41CC-B7F4-85D8F5384F6C}" name="Column7166"/>
    <tableColumn id="7167" xr3:uid="{477B4B63-9B11-4DC5-A9D0-2F02A65E47BA}" name="Column7167"/>
    <tableColumn id="7168" xr3:uid="{EB2B8E53-F764-4426-BD39-94B729C0C479}" name="Column7168"/>
    <tableColumn id="7169" xr3:uid="{AFCC68D7-4EC1-42C4-B2D7-638456AE7C88}" name="Column7169"/>
    <tableColumn id="7170" xr3:uid="{04F304D4-0064-48D8-BC0C-30E754A34E10}" name="Column7170"/>
    <tableColumn id="7171" xr3:uid="{85EFEFDA-6F97-465E-B773-C71ABB761FDD}" name="Column7171"/>
    <tableColumn id="7172" xr3:uid="{604933DD-5A3C-4A69-BF8F-EFD62F47A7D2}" name="Column7172"/>
    <tableColumn id="7173" xr3:uid="{ADCA08D6-0B12-48D1-9006-D3945DF1C4B4}" name="Column7173"/>
    <tableColumn id="7174" xr3:uid="{04264C92-A0EB-404F-BBED-2CE2095E249B}" name="Column7174"/>
    <tableColumn id="7175" xr3:uid="{D1DD8650-89DB-4752-987F-5BF77AFD43B0}" name="Column7175"/>
    <tableColumn id="7176" xr3:uid="{6E93BB57-A8D5-485E-8AA7-DE78326B7668}" name="Column7176"/>
    <tableColumn id="7177" xr3:uid="{23A06229-FD87-40AE-806D-72A84E472CDF}" name="Column7177"/>
    <tableColumn id="7178" xr3:uid="{4F691289-FF7C-47C4-B209-232294395B66}" name="Column7178"/>
    <tableColumn id="7179" xr3:uid="{E5F2A90B-BA1E-4EDE-82CC-E372EE192FBB}" name="Column7179"/>
    <tableColumn id="7180" xr3:uid="{4E473142-8431-4E01-AE36-1CC368831BBD}" name="Column7180"/>
    <tableColumn id="7181" xr3:uid="{DA4C9047-DC61-4A9E-B0E1-B6039ABC5CBE}" name="Column7181"/>
    <tableColumn id="7182" xr3:uid="{E40FE696-A333-4395-8A7D-AB99EEFDBC7D}" name="Column7182"/>
    <tableColumn id="7183" xr3:uid="{8702F947-E921-4390-9120-53272DDBB311}" name="Column7183"/>
    <tableColumn id="7184" xr3:uid="{7E41F7FA-804B-4306-9D28-AF629EEB0930}" name="Column7184"/>
    <tableColumn id="7185" xr3:uid="{B27C497F-3264-49F8-B8DB-696BB2354888}" name="Column7185"/>
    <tableColumn id="7186" xr3:uid="{41471200-D644-4E62-918D-4BF9CFD3F6AE}" name="Column7186"/>
    <tableColumn id="7187" xr3:uid="{788FFBAF-8D29-4D4C-901F-59FAAE1D6570}" name="Column7187"/>
    <tableColumn id="7188" xr3:uid="{392132E2-DDE4-4E92-9B14-FAC3719C7603}" name="Column7188"/>
    <tableColumn id="7189" xr3:uid="{D972DA96-9DCA-494A-BA93-3B9AC1B011C2}" name="Column7189"/>
    <tableColumn id="7190" xr3:uid="{A2630F3C-12F5-4D8B-9CCC-853F57C65E19}" name="Column7190"/>
    <tableColumn id="7191" xr3:uid="{8DB2C18F-05A5-49D2-ACDA-0674D36FFC15}" name="Column7191"/>
    <tableColumn id="7192" xr3:uid="{E371480C-E10E-4F9C-A610-39BF63E5B230}" name="Column7192"/>
    <tableColumn id="7193" xr3:uid="{E44E7081-D6E0-4CA3-B52D-80B28D644344}" name="Column7193"/>
    <tableColumn id="7194" xr3:uid="{D5E49999-1575-44B9-A503-97FD85DAEB38}" name="Column7194"/>
    <tableColumn id="7195" xr3:uid="{FB70E5F7-7C48-4216-ADD4-B027B8C0C18B}" name="Column7195"/>
    <tableColumn id="7196" xr3:uid="{36B5A8BA-DD53-4669-A7A5-B6D66CCB8D62}" name="Column7196"/>
    <tableColumn id="7197" xr3:uid="{BA86D412-97EB-4314-998E-0BA96539641E}" name="Column7197"/>
    <tableColumn id="7198" xr3:uid="{28139A20-BFF5-4D8C-B2EC-6F5EBFB8C7B3}" name="Column7198"/>
    <tableColumn id="7199" xr3:uid="{F4D0AB68-54B1-4A71-9FE4-6CCF47D98C80}" name="Column7199"/>
    <tableColumn id="7200" xr3:uid="{17B35774-8903-4914-8381-4440F5A09060}" name="Column7200"/>
    <tableColumn id="7201" xr3:uid="{25DEE8E8-A04C-4DD2-961D-EEC7F8858B5D}" name="Column7201"/>
    <tableColumn id="7202" xr3:uid="{5D618988-BE15-450E-BAD2-ECD28802FFDB}" name="Column7202"/>
    <tableColumn id="7203" xr3:uid="{6453A543-6465-4FD9-8FE7-851217FDDC4D}" name="Column7203"/>
    <tableColumn id="7204" xr3:uid="{84098303-3E92-4A49-A295-6E226F013656}" name="Column7204"/>
    <tableColumn id="7205" xr3:uid="{4D0F5CBA-6CAA-4431-921B-4D9E8DC046A6}" name="Column7205"/>
    <tableColumn id="7206" xr3:uid="{E09B93CB-8044-429D-96F6-5DEA037E8F5E}" name="Column7206"/>
    <tableColumn id="7207" xr3:uid="{BA5B83F6-3933-4FBA-AA17-7435A4C91920}" name="Column7207"/>
    <tableColumn id="7208" xr3:uid="{06292D67-DAE3-4DD4-911A-6C5752445760}" name="Column7208"/>
    <tableColumn id="7209" xr3:uid="{70530066-3615-4736-860E-78640603453B}" name="Column7209"/>
    <tableColumn id="7210" xr3:uid="{A4084FC0-9E33-464F-A807-9EF07F7F02EE}" name="Column7210"/>
    <tableColumn id="7211" xr3:uid="{7D5A1DCB-9D91-4C0A-94AA-25E76BE4B4AB}" name="Column7211"/>
    <tableColumn id="7212" xr3:uid="{6F35E197-0622-4C5E-B64A-7402F007E0D6}" name="Column7212"/>
    <tableColumn id="7213" xr3:uid="{95BAB539-45C4-4601-AE06-0C6F18E9F668}" name="Column7213"/>
    <tableColumn id="7214" xr3:uid="{63F90D60-134F-4614-9FE6-3F3D41C00BAB}" name="Column7214"/>
    <tableColumn id="7215" xr3:uid="{3F3BFE97-2316-42D6-9D9E-3AC0529BB733}" name="Column7215"/>
    <tableColumn id="7216" xr3:uid="{8FE00860-E741-4E94-AE88-1E65636EFA34}" name="Column7216"/>
    <tableColumn id="7217" xr3:uid="{66399628-9338-4071-A5E3-12B24EC969B2}" name="Column7217"/>
    <tableColumn id="7218" xr3:uid="{3FA2834A-0121-40E8-94AD-581BDCD943CA}" name="Column7218"/>
    <tableColumn id="7219" xr3:uid="{86506FE9-22B7-4783-8338-F1D8AAB00BFF}" name="Column7219"/>
    <tableColumn id="7220" xr3:uid="{D46394A3-EE23-4345-BABC-6BDB00BA4A95}" name="Column7220"/>
    <tableColumn id="7221" xr3:uid="{1845A513-4D1F-40C8-8349-DA14463E456F}" name="Column7221"/>
    <tableColumn id="7222" xr3:uid="{1812F2BE-D37E-431F-9F81-FDF16F861FF6}" name="Column7222"/>
    <tableColumn id="7223" xr3:uid="{AB2B6D87-F0A1-4C28-A415-D250E977647A}" name="Column7223"/>
    <tableColumn id="7224" xr3:uid="{593C2F32-53FE-4726-8D7F-E7E7FFDAE179}" name="Column7224"/>
    <tableColumn id="7225" xr3:uid="{53D878FA-E56B-4F2B-8252-9F0C87EFC73C}" name="Column7225"/>
    <tableColumn id="7226" xr3:uid="{725CC50B-83BB-4675-AB72-F9150A516CDB}" name="Column7226"/>
    <tableColumn id="7227" xr3:uid="{191FAFC5-BFCF-4F57-AD1A-76C43456ECB4}" name="Column7227"/>
    <tableColumn id="7228" xr3:uid="{D179F2B9-3319-4207-BBD4-563E9579079E}" name="Column7228"/>
    <tableColumn id="7229" xr3:uid="{F06899D4-74CB-49F0-BA13-E3F718B4216D}" name="Column7229"/>
    <tableColumn id="7230" xr3:uid="{68A5055B-F1A5-493A-99D4-AB50AE192623}" name="Column7230"/>
    <tableColumn id="7231" xr3:uid="{FAC489AD-9D5B-4C8F-B2E8-D4A9F85D04B5}" name="Column7231"/>
    <tableColumn id="7232" xr3:uid="{F7564750-3C10-4FDC-A73E-D81189A6BA94}" name="Column7232"/>
    <tableColumn id="7233" xr3:uid="{15D91990-1755-4485-8882-FEAF18BC825A}" name="Column7233"/>
    <tableColumn id="7234" xr3:uid="{00703F67-4AF2-427D-B68F-7F6FFDCC4081}" name="Column7234"/>
    <tableColumn id="7235" xr3:uid="{C1A526B3-06D5-4FAB-A261-592EB015DE2C}" name="Column7235"/>
    <tableColumn id="7236" xr3:uid="{16D8A3E4-1402-4602-ABAC-4AF014861F74}" name="Column7236"/>
    <tableColumn id="7237" xr3:uid="{0E900ABC-4C94-4E20-A541-D1C1A468BC81}" name="Column7237"/>
    <tableColumn id="7238" xr3:uid="{C1849B76-AF64-4841-B5D5-DF4D41954017}" name="Column7238"/>
    <tableColumn id="7239" xr3:uid="{76C2C498-B964-4D7B-BF22-36C43D3C4E16}" name="Column7239"/>
    <tableColumn id="7240" xr3:uid="{1EBC72CE-EEF1-446A-9740-3B89D782F9AF}" name="Column7240"/>
    <tableColumn id="7241" xr3:uid="{B5893A8C-A7D4-4DF8-9231-70F60C24071B}" name="Column7241"/>
    <tableColumn id="7242" xr3:uid="{0469E138-2787-4180-AB97-E1E2F1078B81}" name="Column7242"/>
    <tableColumn id="7243" xr3:uid="{0F567190-63ED-4BFA-BC44-4F421032B32D}" name="Column7243"/>
    <tableColumn id="7244" xr3:uid="{426E919B-4B58-4E18-A057-CDD51D818657}" name="Column7244"/>
    <tableColumn id="7245" xr3:uid="{BCFBCE98-08E2-4759-8A22-C753A5973FE5}" name="Column7245"/>
    <tableColumn id="7246" xr3:uid="{140C0347-D3B7-4D1E-8BB5-9F0DB81BA1F9}" name="Column7246"/>
    <tableColumn id="7247" xr3:uid="{B80193B3-D826-4518-86DB-4014184DFD6A}" name="Column7247"/>
    <tableColumn id="7248" xr3:uid="{D3A53C34-669F-447F-AEFA-606BBADEB820}" name="Column7248"/>
    <tableColumn id="7249" xr3:uid="{CB1AEFEE-5C23-4689-92B3-E5863334FF9C}" name="Column7249"/>
    <tableColumn id="7250" xr3:uid="{82217E65-13A6-43A6-9C68-78AABB2810A2}" name="Column7250"/>
    <tableColumn id="7251" xr3:uid="{15DD100B-238F-4DFB-9A16-8B0FDD4FE311}" name="Column7251"/>
    <tableColumn id="7252" xr3:uid="{671851E8-3FB5-44C4-B06D-8F65B0A1F846}" name="Column7252"/>
    <tableColumn id="7253" xr3:uid="{21DD1271-3241-4937-AFB8-23DE98993565}" name="Column7253"/>
    <tableColumn id="7254" xr3:uid="{D3091F9A-4C93-4094-BBF7-5308DFB92946}" name="Column7254"/>
    <tableColumn id="7255" xr3:uid="{9A800FFE-F3D8-4DF1-BB83-CB81E2505C34}" name="Column7255"/>
    <tableColumn id="7256" xr3:uid="{74C3C133-02DC-4683-B7C2-86E63B223F07}" name="Column7256"/>
    <tableColumn id="7257" xr3:uid="{C91CC020-10E7-4253-B487-58A17834B7BC}" name="Column7257"/>
    <tableColumn id="7258" xr3:uid="{9B5DE499-69FF-4501-9959-0270A69C8689}" name="Column7258"/>
    <tableColumn id="7259" xr3:uid="{05443B2E-0B14-4A4E-B1EC-4EF151DD3FFA}" name="Column7259"/>
    <tableColumn id="7260" xr3:uid="{47C9FFB2-32DD-441D-8ECA-0C2907E2BE56}" name="Column7260"/>
    <tableColumn id="7261" xr3:uid="{2DEE043E-CE7A-42B5-8E6C-E25004E575B9}" name="Column7261"/>
    <tableColumn id="7262" xr3:uid="{C78B80F8-926D-4A1C-A467-CA1E65B752A6}" name="Column7262"/>
    <tableColumn id="7263" xr3:uid="{95C9B541-171B-4BD9-82FC-8A545939DA18}" name="Column7263"/>
    <tableColumn id="7264" xr3:uid="{4F99A43E-9050-415C-8207-494556468885}" name="Column7264"/>
    <tableColumn id="7265" xr3:uid="{D341DD98-8144-4EC6-8204-12D335C0EA11}" name="Column7265"/>
    <tableColumn id="7266" xr3:uid="{FE386BBE-568A-4F6D-9E08-BC6BB47CFFDD}" name="Column7266"/>
    <tableColumn id="7267" xr3:uid="{47182D3C-5ED8-47A6-8875-3025FC4A4618}" name="Column7267"/>
    <tableColumn id="7268" xr3:uid="{357F86F7-581F-4CE7-BA18-751383565B47}" name="Column7268"/>
    <tableColumn id="7269" xr3:uid="{962B05AE-CAA3-4F77-9C1B-7A4D52E104E7}" name="Column7269"/>
    <tableColumn id="7270" xr3:uid="{F3D6A0E8-9EF6-497D-9453-8A9674CEC9FD}" name="Column7270"/>
    <tableColumn id="7271" xr3:uid="{5F08F330-0159-47EA-8897-BCF20A73F2E9}" name="Column7271"/>
    <tableColumn id="7272" xr3:uid="{BDE26B0D-49C5-44A3-AA0C-6506EBBBF171}" name="Column7272"/>
    <tableColumn id="7273" xr3:uid="{3154FA8C-C722-479C-A099-30CA77CFEC0F}" name="Column7273"/>
    <tableColumn id="7274" xr3:uid="{7BE9F8ED-0993-47A7-8523-E79049644883}" name="Column7274"/>
    <tableColumn id="7275" xr3:uid="{2FFBD521-CA04-4A74-BC7D-A522F8B1FE8C}" name="Column7275"/>
    <tableColumn id="7276" xr3:uid="{C9AAD99F-8858-4B6E-B13F-EA779DB94FB7}" name="Column7276"/>
    <tableColumn id="7277" xr3:uid="{5D9AD635-6955-4D00-98B4-4B98108693DC}" name="Column7277"/>
    <tableColumn id="7278" xr3:uid="{D4877322-EBF7-4307-86AA-4F67E10BE238}" name="Column7278"/>
    <tableColumn id="7279" xr3:uid="{05485C5A-497C-4745-8D6F-15C6A0CE6990}" name="Column7279"/>
    <tableColumn id="7280" xr3:uid="{7BA81D2B-3135-4EB1-B3AA-EC03C9D8654D}" name="Column7280"/>
    <tableColumn id="7281" xr3:uid="{6EDAC294-5A79-4C1D-BD41-46C4909C5EA1}" name="Column7281"/>
    <tableColumn id="7282" xr3:uid="{09CB6E47-BF4A-459D-BE5E-1DC1532D3468}" name="Column7282"/>
    <tableColumn id="7283" xr3:uid="{4F956276-46D7-4A2F-93F5-5E0BB5B72123}" name="Column7283"/>
    <tableColumn id="7284" xr3:uid="{7ED89B85-A8BC-4DA6-BA42-A84B0EC3FC6B}" name="Column7284"/>
    <tableColumn id="7285" xr3:uid="{CC8E43C3-7536-4F67-8CFA-B0599EED49B8}" name="Column7285"/>
    <tableColumn id="7286" xr3:uid="{8F5AEE92-F4FC-4815-BE78-919F12E763E7}" name="Column7286"/>
    <tableColumn id="7287" xr3:uid="{1B1FA4EF-748D-4B41-AB93-E1288A349BB9}" name="Column7287"/>
    <tableColumn id="7288" xr3:uid="{99113C67-C0B3-4F52-84FF-E8CAAEDD4237}" name="Column7288"/>
    <tableColumn id="7289" xr3:uid="{171D1705-DEDD-4EF0-A867-7BBEADCF3169}" name="Column7289"/>
    <tableColumn id="7290" xr3:uid="{20FFAD5C-3353-4063-BF17-DD673631910E}" name="Column7290"/>
    <tableColumn id="7291" xr3:uid="{E4A75557-0D49-4432-923B-5D7C06CB9761}" name="Column7291"/>
    <tableColumn id="7292" xr3:uid="{0C198C09-05D4-4712-AA18-5F91517DAE7A}" name="Column7292"/>
    <tableColumn id="7293" xr3:uid="{DD42F0CA-3AA7-40EF-A873-A7A183D34303}" name="Column7293"/>
    <tableColumn id="7294" xr3:uid="{0DC2A48D-14A2-4A42-BF0E-0D5520ADE303}" name="Column7294"/>
    <tableColumn id="7295" xr3:uid="{A85A04AE-73F8-49CF-B74C-73DA06D6DBAA}" name="Column7295"/>
    <tableColumn id="7296" xr3:uid="{434220DC-EDD7-4DDD-9B0B-3FCD35BCE91B}" name="Column7296"/>
    <tableColumn id="7297" xr3:uid="{041D074E-CC4D-4BB7-BEE6-7E375197490F}" name="Column7297"/>
    <tableColumn id="7298" xr3:uid="{A78F5ECF-026F-4C2F-98B2-72AABE571361}" name="Column7298"/>
    <tableColumn id="7299" xr3:uid="{75E4D283-4F33-4376-A68E-2FB2D713DD0B}" name="Column7299"/>
    <tableColumn id="7300" xr3:uid="{EEFD53BD-F652-46E1-BD6E-F2B3B0023545}" name="Column7300"/>
    <tableColumn id="7301" xr3:uid="{664949F0-66D8-4BDF-937D-09FA99E3F3CE}" name="Column7301"/>
    <tableColumn id="7302" xr3:uid="{7738E59D-E365-48FC-B637-CF1DEAB651F7}" name="Column7302"/>
    <tableColumn id="7303" xr3:uid="{3B0B2907-670A-4200-8B06-BDB3A43DB74A}" name="Column7303"/>
    <tableColumn id="7304" xr3:uid="{C33DCF50-30A0-481B-BAEE-98EBE3A84A5B}" name="Column7304"/>
    <tableColumn id="7305" xr3:uid="{348C1B16-B932-4C65-9B7F-D76C8D5E0DE8}" name="Column7305"/>
    <tableColumn id="7306" xr3:uid="{53CABDD7-A9C3-459A-91AB-551011A64E1D}" name="Column7306"/>
    <tableColumn id="7307" xr3:uid="{DEB8F813-CADC-4353-B92E-D10DAD155CA6}" name="Column7307"/>
    <tableColumn id="7308" xr3:uid="{8D74AFA6-5A45-4DE0-A4A3-95609F90FF5F}" name="Column7308"/>
    <tableColumn id="7309" xr3:uid="{9F7968F1-FAB0-4818-ABC1-874F8FD2FBC1}" name="Column7309"/>
    <tableColumn id="7310" xr3:uid="{2C1A4269-B966-41D7-877A-9EDE6D990603}" name="Column7310"/>
    <tableColumn id="7311" xr3:uid="{D031A1D1-EF2A-44BC-812E-937633D7384E}" name="Column7311"/>
    <tableColumn id="7312" xr3:uid="{195815A3-B7C2-4B41-B015-80A61CC79DDB}" name="Column7312"/>
    <tableColumn id="7313" xr3:uid="{7557031A-11EE-4CBE-81ED-B03D3FFBF31A}" name="Column7313"/>
    <tableColumn id="7314" xr3:uid="{CC449830-0B94-4FCB-9BD5-BFA16F1965F5}" name="Column7314"/>
    <tableColumn id="7315" xr3:uid="{7F412F26-C83D-477E-B973-F6CF6DDB44E0}" name="Column7315"/>
    <tableColumn id="7316" xr3:uid="{4B5C3697-27CD-4637-BD19-D7410747B70C}" name="Column7316"/>
    <tableColumn id="7317" xr3:uid="{8B573077-2EC3-4B37-998B-04FC8A998670}" name="Column7317"/>
    <tableColumn id="7318" xr3:uid="{CA76FE50-4932-4438-B66E-40B6D56A80C0}" name="Column7318"/>
    <tableColumn id="7319" xr3:uid="{7B7501E6-8232-4CD2-89CB-9FDD6E467436}" name="Column7319"/>
    <tableColumn id="7320" xr3:uid="{79A370A4-7FF6-499E-85B8-173D0F655288}" name="Column7320"/>
    <tableColumn id="7321" xr3:uid="{C6CE2BF2-AEBC-4567-A3B2-14EA9642A459}" name="Column7321"/>
    <tableColumn id="7322" xr3:uid="{86827B1C-9B27-46A6-A893-F85A433AE4D4}" name="Column7322"/>
    <tableColumn id="7323" xr3:uid="{443D2C5F-58B3-4B9C-9371-9450D8C30D87}" name="Column7323"/>
    <tableColumn id="7324" xr3:uid="{9AC611DB-2B34-40A0-8BCE-FB5BD2A6BC00}" name="Column7324"/>
    <tableColumn id="7325" xr3:uid="{4A1A08A7-2BC7-4CF7-84AC-3B72BF657511}" name="Column7325"/>
    <tableColumn id="7326" xr3:uid="{531671F3-DC8A-4CD7-9C06-93FB5C77950B}" name="Column7326"/>
    <tableColumn id="7327" xr3:uid="{948F5CC1-6859-480C-8FE5-B1B00E4C2C07}" name="Column7327"/>
    <tableColumn id="7328" xr3:uid="{B62D85D4-6058-4591-9ECF-7D6DD9C29344}" name="Column7328"/>
    <tableColumn id="7329" xr3:uid="{3225703E-E61F-4846-8DBE-F304F988D77E}" name="Column7329"/>
    <tableColumn id="7330" xr3:uid="{50D23525-E0C2-44BF-B35D-6E1FCD555122}" name="Column7330"/>
    <tableColumn id="7331" xr3:uid="{9C42DC8D-FBD1-43FE-BEE5-B994BF4C3399}" name="Column7331"/>
    <tableColumn id="7332" xr3:uid="{E2598C75-1936-4B7B-A2A6-4F4FCFDD6BEB}" name="Column7332"/>
    <tableColumn id="7333" xr3:uid="{0A30CE33-41FF-4B99-BEB0-78E1A2C3C741}" name="Column7333"/>
    <tableColumn id="7334" xr3:uid="{FA5E19D6-1E71-410C-8822-9B7600EC883F}" name="Column7334"/>
    <tableColumn id="7335" xr3:uid="{06271BC0-219A-46C0-8A79-C8526A6CF194}" name="Column7335"/>
    <tableColumn id="7336" xr3:uid="{91981D50-FE43-46DF-8681-536D5FD6AA6A}" name="Column7336"/>
    <tableColumn id="7337" xr3:uid="{FACC42AB-5107-41AC-BAAB-9F1A25114BED}" name="Column7337"/>
    <tableColumn id="7338" xr3:uid="{FDE4487B-23FB-462A-BCEB-745D99B1C06F}" name="Column7338"/>
    <tableColumn id="7339" xr3:uid="{3A002160-267B-4244-9F8A-F72E0DE10C91}" name="Column7339"/>
    <tableColumn id="7340" xr3:uid="{21671D65-1BDA-4630-BCCD-A665B59268D1}" name="Column7340"/>
    <tableColumn id="7341" xr3:uid="{BD25EC84-8C9E-45C8-A101-FF8EEBADB223}" name="Column7341"/>
    <tableColumn id="7342" xr3:uid="{528BC711-9503-4498-AA77-298B3DB0FD35}" name="Column7342"/>
    <tableColumn id="7343" xr3:uid="{8EE62F3D-354D-44FD-ADCD-201306D1A57C}" name="Column7343"/>
    <tableColumn id="7344" xr3:uid="{4245A3C3-3384-4DDE-A8B8-F27588814EC5}" name="Column7344"/>
    <tableColumn id="7345" xr3:uid="{FF6A6167-AF94-45C1-AE18-5475DC92F9BF}" name="Column7345"/>
    <tableColumn id="7346" xr3:uid="{02A9C46C-C28B-4BC5-8791-46FBB87CF609}" name="Column7346"/>
    <tableColumn id="7347" xr3:uid="{38BA8A0E-BEAF-42D9-A171-8B0C188A511C}" name="Column7347"/>
    <tableColumn id="7348" xr3:uid="{F3203AF9-9137-4A9C-8450-9DF9FA666C96}" name="Column7348"/>
    <tableColumn id="7349" xr3:uid="{7DA4D807-51EE-4457-97A9-8ECC4D98B889}" name="Column7349"/>
    <tableColumn id="7350" xr3:uid="{BC716C85-DB1C-417C-99F7-A7B39E0FFC6D}" name="Column7350"/>
    <tableColumn id="7351" xr3:uid="{35889B61-3985-4A58-A2D0-2315FA70534C}" name="Column7351"/>
    <tableColumn id="7352" xr3:uid="{7F6AFA57-C4CC-46E9-ABC4-CF16D5CC0E95}" name="Column7352"/>
    <tableColumn id="7353" xr3:uid="{4DC18CC8-B295-4122-AA34-1A8405A920E2}" name="Column7353"/>
    <tableColumn id="7354" xr3:uid="{E6347BED-0BCD-42D5-A1FF-3CEF9159142D}" name="Column7354"/>
    <tableColumn id="7355" xr3:uid="{23D826A9-DD9B-417E-9AB8-8B11BA95C59C}" name="Column7355"/>
    <tableColumn id="7356" xr3:uid="{43C3E093-9BC5-4815-AEA8-FB03A36F27AB}" name="Column7356"/>
    <tableColumn id="7357" xr3:uid="{860E5E51-C2BF-4527-B579-002E69883497}" name="Column7357"/>
    <tableColumn id="7358" xr3:uid="{650E0673-0823-4172-9EB3-009DC74EA579}" name="Column7358"/>
    <tableColumn id="7359" xr3:uid="{373A8110-730B-4B2F-AABF-2BAF82F08270}" name="Column7359"/>
    <tableColumn id="7360" xr3:uid="{3D5FEEDA-C629-4D74-9C10-8C3F0DEBCDEC}" name="Column7360"/>
    <tableColumn id="7361" xr3:uid="{43EBCC7E-3981-41C1-9682-9BD1CEF2A31E}" name="Column7361"/>
    <tableColumn id="7362" xr3:uid="{C96FDAB2-E1F6-4B3C-8591-8B762629DB39}" name="Column7362"/>
    <tableColumn id="7363" xr3:uid="{7DC49E05-8E15-4685-A892-F85F5BCF623D}" name="Column7363"/>
    <tableColumn id="7364" xr3:uid="{B687CCC4-76A9-4842-AD9D-8845190A4134}" name="Column7364"/>
    <tableColumn id="7365" xr3:uid="{DD5817F1-AAFC-470D-9780-7D8585117A31}" name="Column7365"/>
    <tableColumn id="7366" xr3:uid="{B4A7D1D4-0720-46F5-909D-F2E1E0BCBD01}" name="Column7366"/>
    <tableColumn id="7367" xr3:uid="{71B8C12E-995D-4F36-A88E-2309FDC1C336}" name="Column7367"/>
    <tableColumn id="7368" xr3:uid="{2DB86DD9-BA30-4A41-AE9E-FC3E20B7C06A}" name="Column7368"/>
    <tableColumn id="7369" xr3:uid="{60F5D5DE-137C-4EFB-9DDB-340A7FA99384}" name="Column7369"/>
    <tableColumn id="7370" xr3:uid="{03A4C268-5539-41E2-BB81-8BFB7EC648AA}" name="Column7370"/>
    <tableColumn id="7371" xr3:uid="{0D9C434F-44BE-47E2-8EF8-600B67487311}" name="Column7371"/>
    <tableColumn id="7372" xr3:uid="{C80BB2F2-4473-45FC-A890-B129EA1CF159}" name="Column7372"/>
    <tableColumn id="7373" xr3:uid="{0CD9EA26-5B64-46FD-8D2E-F3DCAB09A465}" name="Column7373"/>
    <tableColumn id="7374" xr3:uid="{06B75F49-C336-4798-9526-01AC10247ACB}" name="Column7374"/>
    <tableColumn id="7375" xr3:uid="{286A1720-0D09-47F2-A794-307614A73F80}" name="Column7375"/>
    <tableColumn id="7376" xr3:uid="{BC2D44E9-3341-4142-A068-2CA0B7542119}" name="Column7376"/>
    <tableColumn id="7377" xr3:uid="{77AE5120-9220-4C5F-BF9D-E2CDDEA6010C}" name="Column7377"/>
    <tableColumn id="7378" xr3:uid="{44062F96-46D0-497B-900A-3A00438EB0BA}" name="Column7378"/>
    <tableColumn id="7379" xr3:uid="{A0E30E88-9062-49A0-B80E-8541947B373C}" name="Column7379"/>
    <tableColumn id="7380" xr3:uid="{D2EB6BE7-CBAF-410E-B81E-F60A1AAD0CEB}" name="Column7380"/>
    <tableColumn id="7381" xr3:uid="{09EC9C49-2965-43C5-8428-9C768362218E}" name="Column7381"/>
    <tableColumn id="7382" xr3:uid="{E6F03BD2-12BE-474A-9BA3-936347D567E3}" name="Column7382"/>
    <tableColumn id="7383" xr3:uid="{76A6C730-C50E-4D20-86D3-347BF6BDAD13}" name="Column7383"/>
    <tableColumn id="7384" xr3:uid="{396C3420-DBB3-411F-93E4-E27EC20D1BE9}" name="Column7384"/>
    <tableColumn id="7385" xr3:uid="{9B52B7FE-DDC5-4A38-B37A-2897780BAEC6}" name="Column7385"/>
    <tableColumn id="7386" xr3:uid="{F9642CF0-330E-42FD-B9C3-8BB1129E4FF8}" name="Column7386"/>
    <tableColumn id="7387" xr3:uid="{CF2C8D42-0C3C-4A32-B8C0-A6695B0E0176}" name="Column7387"/>
    <tableColumn id="7388" xr3:uid="{582E9264-4A65-415D-959A-B26A7AAC69BF}" name="Column7388"/>
    <tableColumn id="7389" xr3:uid="{CF5E16DA-90F6-4AE1-9D41-5CD3884B1773}" name="Column7389"/>
    <tableColumn id="7390" xr3:uid="{CC9EFDBB-F074-48A9-83E6-9818A5A426A0}" name="Column7390"/>
    <tableColumn id="7391" xr3:uid="{F2234CBE-C59C-4CEE-A2F1-DD26897B9EF2}" name="Column7391"/>
    <tableColumn id="7392" xr3:uid="{818D55C7-64AE-4A00-8C71-C573803D47A4}" name="Column7392"/>
    <tableColumn id="7393" xr3:uid="{7DE05766-8DBC-4D5D-B1FD-77F3DA44C339}" name="Column7393"/>
    <tableColumn id="7394" xr3:uid="{8C30F02A-0501-4D8F-84DE-834CDF75375B}" name="Column7394"/>
    <tableColumn id="7395" xr3:uid="{D4199EB5-7E7D-4592-B486-33934E343EF3}" name="Column7395"/>
    <tableColumn id="7396" xr3:uid="{47BCE0A8-CA1E-4781-983F-043FE1DC1D83}" name="Column7396"/>
    <tableColumn id="7397" xr3:uid="{1F8B886E-0312-4BF1-B607-69EFEFDBA32B}" name="Column7397"/>
    <tableColumn id="7398" xr3:uid="{A75FA3B4-6D46-4867-9DFD-3B021D294C39}" name="Column7398"/>
    <tableColumn id="7399" xr3:uid="{85EF6002-9A85-4FA3-AD91-C18502954CB9}" name="Column7399"/>
    <tableColumn id="7400" xr3:uid="{976E7153-7766-45AB-B4DB-A4DEBF718AF9}" name="Column7400"/>
    <tableColumn id="7401" xr3:uid="{5AEF72F1-03E1-4669-84DF-2133BB113F91}" name="Column7401"/>
    <tableColumn id="7402" xr3:uid="{E2C4194D-E436-49A8-A73D-19185BA392D0}" name="Column7402"/>
    <tableColumn id="7403" xr3:uid="{2639D806-8721-49C0-92CC-77630687FF19}" name="Column7403"/>
    <tableColumn id="7404" xr3:uid="{1EAED892-2CF2-4466-9C55-57FCF2C49FF0}" name="Column7404"/>
    <tableColumn id="7405" xr3:uid="{15754439-E640-45F9-A67B-1E591C89EF82}" name="Column7405"/>
    <tableColumn id="7406" xr3:uid="{9F9E00C9-3EED-4B07-9ABD-DE7303AE7E58}" name="Column7406"/>
    <tableColumn id="7407" xr3:uid="{26C5ABD8-313B-4EA7-8FCC-6AB3D250F2AD}" name="Column7407"/>
    <tableColumn id="7408" xr3:uid="{B85C584C-EC7C-44F1-9D04-636CA2901605}" name="Column7408"/>
    <tableColumn id="7409" xr3:uid="{8357ED5E-DBE8-4400-A12D-A44B67AE44B4}" name="Column7409"/>
    <tableColumn id="7410" xr3:uid="{A94C6D3D-20CB-471A-B7A8-416A0FC3CAED}" name="Column7410"/>
    <tableColumn id="7411" xr3:uid="{09B8532C-944D-4155-9511-78F3A506DCA5}" name="Column7411"/>
    <tableColumn id="7412" xr3:uid="{117E3A70-0358-4A84-82CE-2E66B3412257}" name="Column7412"/>
    <tableColumn id="7413" xr3:uid="{8863844B-7FC8-4793-B93E-96D8B2E96EEC}" name="Column7413"/>
    <tableColumn id="7414" xr3:uid="{47DF189F-AF27-450F-BCCF-9AB4796E1A39}" name="Column7414"/>
    <tableColumn id="7415" xr3:uid="{8F0C2D8C-1911-4683-B78E-F89E3885A7DB}" name="Column7415"/>
    <tableColumn id="7416" xr3:uid="{A0CD29A8-C213-44B3-B702-3520A94E704E}" name="Column7416"/>
    <tableColumn id="7417" xr3:uid="{918AF6C0-1ADA-41AA-B871-D770BD0F72FD}" name="Column7417"/>
    <tableColumn id="7418" xr3:uid="{82B70013-C8C2-45F7-8137-2A7B775EFC39}" name="Column7418"/>
    <tableColumn id="7419" xr3:uid="{DDD647AE-41DE-4B0B-A20A-27A12E36EB05}" name="Column7419"/>
    <tableColumn id="7420" xr3:uid="{603FD857-9257-4547-A908-86DB9E051F6E}" name="Column7420"/>
    <tableColumn id="7421" xr3:uid="{8B09FECB-80F3-4BB3-86B6-46372CBB3E38}" name="Column7421"/>
    <tableColumn id="7422" xr3:uid="{93124689-BEAF-4AAB-BE18-FCB8FEA840A5}" name="Column7422"/>
    <tableColumn id="7423" xr3:uid="{F8696ABF-5670-4AE4-B5AA-86FFEF02B136}" name="Column7423"/>
    <tableColumn id="7424" xr3:uid="{0969CC63-5BA8-48B2-B766-1DC009C3B788}" name="Column7424"/>
    <tableColumn id="7425" xr3:uid="{AE31FF72-B64A-4D25-97BF-2154D15172D2}" name="Column7425"/>
    <tableColumn id="7426" xr3:uid="{BD5FF3B5-DF44-47F2-8E73-FFCB51057983}" name="Column7426"/>
    <tableColumn id="7427" xr3:uid="{0FB90129-66F9-40AC-8701-627E7C8EC3FB}" name="Column7427"/>
    <tableColumn id="7428" xr3:uid="{4CC3E315-7581-4A03-8EF1-302806364470}" name="Column7428"/>
    <tableColumn id="7429" xr3:uid="{2CFAACBD-0E49-4E8C-9D1B-3C149E22B62F}" name="Column7429"/>
    <tableColumn id="7430" xr3:uid="{A5C576D2-060C-4CD0-8AC5-D8F20FA34859}" name="Column7430"/>
    <tableColumn id="7431" xr3:uid="{E03EE435-AB4E-4CB9-96B1-9681999532AE}" name="Column7431"/>
    <tableColumn id="7432" xr3:uid="{9D6BFACA-AD69-4FC3-99AD-6A5C35149A64}" name="Column7432"/>
    <tableColumn id="7433" xr3:uid="{5542DD88-F6CB-48FF-B88C-BD62132807D0}" name="Column7433"/>
    <tableColumn id="7434" xr3:uid="{D7DE0A13-E79A-46C3-9BD9-20BD6AE6CE41}" name="Column7434"/>
    <tableColumn id="7435" xr3:uid="{23442C53-CA7C-4F85-85AD-2C3F37669A53}" name="Column7435"/>
    <tableColumn id="7436" xr3:uid="{211702D5-D59E-4287-BEF1-D05135CF6E28}" name="Column7436"/>
    <tableColumn id="7437" xr3:uid="{7530C159-91FE-46D0-B2B1-22A9D638AF5D}" name="Column7437"/>
    <tableColumn id="7438" xr3:uid="{1142D35F-F325-44FA-852F-603DDCF5496B}" name="Column7438"/>
    <tableColumn id="7439" xr3:uid="{9E177077-2270-4559-AA4B-9EFADE0C31CA}" name="Column7439"/>
    <tableColumn id="7440" xr3:uid="{BF26B98A-BD94-447E-8A45-6DF7BC461099}" name="Column7440"/>
    <tableColumn id="7441" xr3:uid="{3EE2E250-AB57-4D86-9C0F-0CC93CF41CAE}" name="Column7441"/>
    <tableColumn id="7442" xr3:uid="{7FE20CF3-1B3D-4988-B8AE-1F54C52D3CA1}" name="Column7442"/>
    <tableColumn id="7443" xr3:uid="{8BFF7BA7-55C8-4660-B718-FB0269BDD177}" name="Column7443"/>
    <tableColumn id="7444" xr3:uid="{36A586FD-3FBA-4FB8-944C-419F357B2D34}" name="Column7444"/>
    <tableColumn id="7445" xr3:uid="{E9F8A0EE-7E86-4A02-9369-4EEF754364F9}" name="Column7445"/>
    <tableColumn id="7446" xr3:uid="{24D8801C-FBE2-4FD6-AC5B-DA3B3D36CBA1}" name="Column7446"/>
    <tableColumn id="7447" xr3:uid="{48B6A32C-3A55-43C7-B09F-D4EA4C9D15E6}" name="Column7447"/>
    <tableColumn id="7448" xr3:uid="{C2583CE7-C548-4582-854F-5E8AD7CB72B7}" name="Column7448"/>
    <tableColumn id="7449" xr3:uid="{878FB4C9-748F-4358-BC87-5B25CA735244}" name="Column7449"/>
    <tableColumn id="7450" xr3:uid="{7A51CBD0-0136-45AD-B601-A668E1A7C5EC}" name="Column7450"/>
    <tableColumn id="7451" xr3:uid="{4F1AA190-FF25-47B9-B958-AEB4718361BF}" name="Column7451"/>
    <tableColumn id="7452" xr3:uid="{E14D4D6E-C016-4D3A-8914-676DBA13922E}" name="Column7452"/>
    <tableColumn id="7453" xr3:uid="{6FA4DF6D-EF0D-4DAD-B477-29CDCD9C3574}" name="Column7453"/>
    <tableColumn id="7454" xr3:uid="{5FDF37A5-B1AD-4A1D-8527-FD8A8CBCD3BD}" name="Column7454"/>
    <tableColumn id="7455" xr3:uid="{EE4B672C-BD9A-4AA6-A44F-39E751C51D40}" name="Column7455"/>
    <tableColumn id="7456" xr3:uid="{0500700A-30E4-4D15-BDE6-1A89B0AD6396}" name="Column7456"/>
    <tableColumn id="7457" xr3:uid="{173D02B2-C642-408F-9E8C-20A14302D112}" name="Column7457"/>
    <tableColumn id="7458" xr3:uid="{BE13138B-3192-4320-8FA9-A1A1365CE043}" name="Column7458"/>
    <tableColumn id="7459" xr3:uid="{230D5A63-628F-4D84-9DE6-AB574D54FFB1}" name="Column7459"/>
    <tableColumn id="7460" xr3:uid="{31362101-88EA-42C4-B4E4-DFC7D04BE2EA}" name="Column7460"/>
    <tableColumn id="7461" xr3:uid="{49080C15-E4C4-4616-A682-AB2FC66332C6}" name="Column7461"/>
    <tableColumn id="7462" xr3:uid="{70E247A4-D93A-4B26-95C9-341C4FB2101B}" name="Column7462"/>
    <tableColumn id="7463" xr3:uid="{FF11D7C6-9117-4C28-8262-B3EFEC93BCDB}" name="Column7463"/>
    <tableColumn id="7464" xr3:uid="{075F272C-A626-45C8-8D40-A823E28FC8F6}" name="Column7464"/>
    <tableColumn id="7465" xr3:uid="{1E91310A-DE1E-4405-9887-F1B942B2B36E}" name="Column7465"/>
    <tableColumn id="7466" xr3:uid="{F315C89D-D8C5-43FD-AC5D-D19D45F6595B}" name="Column7466"/>
    <tableColumn id="7467" xr3:uid="{5AB171CD-7C80-473B-819F-F1760FB3BDB7}" name="Column7467"/>
    <tableColumn id="7468" xr3:uid="{9959AE82-E673-428F-888E-F935D7CE0E71}" name="Column7468"/>
    <tableColumn id="7469" xr3:uid="{F3457FD1-64DC-4906-8DD9-A575C5EEF672}" name="Column7469"/>
    <tableColumn id="7470" xr3:uid="{08CBE6BF-6C2D-4731-BE85-0AFB969EED53}" name="Column7470"/>
    <tableColumn id="7471" xr3:uid="{D0CA65E5-8602-4535-884C-EC19562D54D9}" name="Column7471"/>
    <tableColumn id="7472" xr3:uid="{C7655505-5C86-4C7E-99BE-7838EAEE8C7D}" name="Column7472"/>
    <tableColumn id="7473" xr3:uid="{9714DF9B-1368-4DC3-B1A7-8FBC0373E14A}" name="Column7473"/>
    <tableColumn id="7474" xr3:uid="{1D3230C0-4310-4582-B8DA-8A4BF0CB981A}" name="Column7474"/>
    <tableColumn id="7475" xr3:uid="{2E11667F-72CE-40DA-AD8A-8569C87D46DA}" name="Column7475"/>
    <tableColumn id="7476" xr3:uid="{1D20A649-543C-499D-A66F-B51F3AE13621}" name="Column7476"/>
    <tableColumn id="7477" xr3:uid="{04588EA3-9FB9-48E8-982C-42CA4E14B843}" name="Column7477"/>
    <tableColumn id="7478" xr3:uid="{1AD8132C-05E0-4D29-93AF-F3DD5289BD6F}" name="Column7478"/>
    <tableColumn id="7479" xr3:uid="{C0FCCC8A-C3E2-4506-80CA-6AEEBFB48DBC}" name="Column7479"/>
    <tableColumn id="7480" xr3:uid="{BA2B9325-AC1F-4F5C-A87D-37329FBA3672}" name="Column7480"/>
    <tableColumn id="7481" xr3:uid="{0C653475-F6BB-4DF5-8FDA-6B9172954B37}" name="Column7481"/>
    <tableColumn id="7482" xr3:uid="{4E9C61E0-CD04-411F-81E3-84CA85A9A9F5}" name="Column7482"/>
    <tableColumn id="7483" xr3:uid="{C1F6272C-D0F8-4785-A259-D058F245AADC}" name="Column7483"/>
    <tableColumn id="7484" xr3:uid="{607D1D65-C185-437A-88A4-191B09604CCC}" name="Column7484"/>
    <tableColumn id="7485" xr3:uid="{7DACF73B-BC9D-4B6C-8C8D-D5346A936EBE}" name="Column7485"/>
    <tableColumn id="7486" xr3:uid="{DF87817C-0440-42C6-A424-5AEEAF89F6FD}" name="Column7486"/>
    <tableColumn id="7487" xr3:uid="{0CAC072E-0631-401D-AAAD-06AA2F5AB5E7}" name="Column7487"/>
    <tableColumn id="7488" xr3:uid="{6DF9E18F-A12E-43C3-A16E-6D33A4732C60}" name="Column7488"/>
    <tableColumn id="7489" xr3:uid="{D7DC1372-DBF5-4E37-82B6-04920F08EC7D}" name="Column7489"/>
    <tableColumn id="7490" xr3:uid="{5B8B860F-1770-4BA9-BF81-E6D5C436B5C5}" name="Column7490"/>
    <tableColumn id="7491" xr3:uid="{B8977B45-5A10-4E2B-9D9F-8D7F671FB9E8}" name="Column7491"/>
    <tableColumn id="7492" xr3:uid="{393205EB-7BE8-4253-9563-F99F8EB8B106}" name="Column7492"/>
    <tableColumn id="7493" xr3:uid="{8F739574-86FA-4E62-A6A5-66090AEF4454}" name="Column7493"/>
    <tableColumn id="7494" xr3:uid="{85E4F968-0598-4BC9-BCFA-697F1506F643}" name="Column7494"/>
    <tableColumn id="7495" xr3:uid="{F2A3E0C1-4EEA-4691-9B08-9AC46F1F7E52}" name="Column7495"/>
    <tableColumn id="7496" xr3:uid="{8EBE92C5-1C93-482A-B2CE-E2ACCBD4C62F}" name="Column7496"/>
    <tableColumn id="7497" xr3:uid="{224656DD-65A3-4806-A290-C4CD7041F423}" name="Column7497"/>
    <tableColumn id="7498" xr3:uid="{170BD007-DE07-4A49-8711-77733CBAE417}" name="Column7498"/>
    <tableColumn id="7499" xr3:uid="{30BC1329-7F5A-4E44-BF06-D96D171C1363}" name="Column7499"/>
    <tableColumn id="7500" xr3:uid="{81A7A92B-D24A-4045-8204-75CEB7325B73}" name="Column7500"/>
    <tableColumn id="7501" xr3:uid="{12FB15C7-7E34-40FB-B00E-D18012D9D5B5}" name="Column7501"/>
    <tableColumn id="7502" xr3:uid="{29C1CD2F-C36A-4C72-8EBB-16AFE49DF2A5}" name="Column7502"/>
    <tableColumn id="7503" xr3:uid="{A0619E84-F9D1-4C5A-B8D2-FFAAE2F991AB}" name="Column7503"/>
    <tableColumn id="7504" xr3:uid="{814C3852-474F-41CD-A656-85050665F922}" name="Column7504"/>
    <tableColumn id="7505" xr3:uid="{02E910F7-3E71-4CCD-A299-79E864A27BFB}" name="Column7505"/>
    <tableColumn id="7506" xr3:uid="{222E1CDE-937D-447B-A5E9-FCD5F9576E00}" name="Column7506"/>
    <tableColumn id="7507" xr3:uid="{EC4EAA88-D2A9-497B-A143-E10FCF598EF5}" name="Column7507"/>
    <tableColumn id="7508" xr3:uid="{1206ABF5-7825-4C3A-A26E-195187FCEF28}" name="Column7508"/>
    <tableColumn id="7509" xr3:uid="{8988D244-6A2E-4D37-BEBB-0FB2F5F707ED}" name="Column7509"/>
    <tableColumn id="7510" xr3:uid="{958061E1-0AB7-4094-87F5-2F7EEFDAC0A0}" name="Column7510"/>
    <tableColumn id="7511" xr3:uid="{780AECC9-44C5-4401-84D8-91D4E27F5F61}" name="Column7511"/>
    <tableColumn id="7512" xr3:uid="{C97756CF-B65D-4440-9D49-3C750DF76504}" name="Column7512"/>
    <tableColumn id="7513" xr3:uid="{B94684EC-9F1E-4ECA-A4DD-AB2CA13D46CB}" name="Column7513"/>
    <tableColumn id="7514" xr3:uid="{58EAB25E-FBB3-4D77-93F3-6B17841E2F1A}" name="Column7514"/>
    <tableColumn id="7515" xr3:uid="{11D3261B-5467-43BB-B998-0FE5CFD7A03C}" name="Column7515"/>
    <tableColumn id="7516" xr3:uid="{D32B8013-8F37-470F-98D8-300E8BAB3E4C}" name="Column7516"/>
    <tableColumn id="7517" xr3:uid="{3788832F-753D-4A21-AEFE-769900DE443E}" name="Column7517"/>
    <tableColumn id="7518" xr3:uid="{9EE0FF7C-1546-4A63-BD39-AFBEC3D34CDC}" name="Column7518"/>
    <tableColumn id="7519" xr3:uid="{9E2D769F-C786-4ED7-B6B9-BE0CC12BC103}" name="Column7519"/>
    <tableColumn id="7520" xr3:uid="{F274491A-63E9-4E81-94F2-8A37DA043679}" name="Column7520"/>
    <tableColumn id="7521" xr3:uid="{5C667842-0662-4203-B044-13A1FF207592}" name="Column7521"/>
    <tableColumn id="7522" xr3:uid="{78C84ECE-0E6A-4B67-84E8-D0A7E980FF8D}" name="Column7522"/>
    <tableColumn id="7523" xr3:uid="{854F0D1A-EF54-4A97-A1A6-1B4390DEF923}" name="Column7523"/>
    <tableColumn id="7524" xr3:uid="{D4901A93-2EAC-4B5F-9096-CFBED4ADF9F3}" name="Column7524"/>
    <tableColumn id="7525" xr3:uid="{C34D208A-A3D5-45CD-B585-8D44506DDD1D}" name="Column7525"/>
    <tableColumn id="7526" xr3:uid="{832D2378-8FC4-4CCE-8BD6-2F0131AFB0EC}" name="Column7526"/>
    <tableColumn id="7527" xr3:uid="{75F0ABC6-5FBD-4F11-964A-783DABCC3120}" name="Column7527"/>
    <tableColumn id="7528" xr3:uid="{CDF6A630-BA6A-4A3A-8A5B-20A11DBD5324}" name="Column7528"/>
    <tableColumn id="7529" xr3:uid="{F195DAEA-CD2B-48C0-A68F-7CE7AC79139B}" name="Column7529"/>
    <tableColumn id="7530" xr3:uid="{37D54A45-92E8-4226-AF3A-2D04B9B48804}" name="Column7530"/>
    <tableColumn id="7531" xr3:uid="{406129F4-DE56-475C-8753-D46A5430D668}" name="Column7531"/>
    <tableColumn id="7532" xr3:uid="{F7B855E9-CD81-47B6-87DF-DFC961CD72D2}" name="Column7532"/>
    <tableColumn id="7533" xr3:uid="{8AE9A3D7-5C8F-4BD4-BD9F-929AF9BC2D40}" name="Column7533"/>
    <tableColumn id="7534" xr3:uid="{4FDACE28-0D46-4192-8471-2EF89513F738}" name="Column7534"/>
    <tableColumn id="7535" xr3:uid="{F8EE04E4-1677-4A28-A2E1-26C422565B94}" name="Column7535"/>
    <tableColumn id="7536" xr3:uid="{A0BD3EB2-F1C6-4A5F-B7A0-CECBCA1EAA67}" name="Column7536"/>
    <tableColumn id="7537" xr3:uid="{4BCE0996-4711-4124-BD18-A85277B76432}" name="Column7537"/>
    <tableColumn id="7538" xr3:uid="{C2D7A3DB-2E52-4921-9EBD-F8824098936A}" name="Column7538"/>
    <tableColumn id="7539" xr3:uid="{9A378DE3-1BA9-42A7-BCC8-39BAEBC579EF}" name="Column7539"/>
    <tableColumn id="7540" xr3:uid="{1F4101B5-64D6-4E69-A7F5-F13FCE8125D7}" name="Column7540"/>
    <tableColumn id="7541" xr3:uid="{0CC4A89E-DEA5-4B4B-9817-117BA73391AB}" name="Column7541"/>
    <tableColumn id="7542" xr3:uid="{25E37079-24C6-403A-A2A1-057A73C02E44}" name="Column7542"/>
    <tableColumn id="7543" xr3:uid="{F1E99284-53E5-4229-9E61-42A60B0468CC}" name="Column7543"/>
    <tableColumn id="7544" xr3:uid="{F18C8E1B-5E64-4F3A-96BB-D1CBD0131DBF}" name="Column7544"/>
    <tableColumn id="7545" xr3:uid="{89A4C3AB-3E00-4B25-BDA9-91E294EFECA9}" name="Column7545"/>
    <tableColumn id="7546" xr3:uid="{BE95E0CA-2B87-4878-9D5D-1FCC34B83A98}" name="Column7546"/>
    <tableColumn id="7547" xr3:uid="{2F67C33F-3C7F-4D2A-947D-122A9FF2ECED}" name="Column7547"/>
    <tableColumn id="7548" xr3:uid="{683F8116-2DFA-4B5B-ACA3-D7B6695A25DA}" name="Column7548"/>
    <tableColumn id="7549" xr3:uid="{6112EB13-6A54-43BB-9426-24B5DB731CCC}" name="Column7549"/>
    <tableColumn id="7550" xr3:uid="{6473E096-5B86-4E34-A65A-A7D4B60C98AF}" name="Column7550"/>
    <tableColumn id="7551" xr3:uid="{7299B894-A773-4ABB-B400-9EA771BD5B79}" name="Column7551"/>
    <tableColumn id="7552" xr3:uid="{293DA7F1-B8CB-4B76-96A2-B8873B13F201}" name="Column7552"/>
    <tableColumn id="7553" xr3:uid="{8953C0E1-59A9-4220-821D-0D7A927D6FA2}" name="Column7553"/>
    <tableColumn id="7554" xr3:uid="{279EBBE8-86E5-4666-9D7D-4102FBD7E31C}" name="Column7554"/>
    <tableColumn id="7555" xr3:uid="{44CDD00D-C6F3-483B-9D7F-030A88EE77AE}" name="Column7555"/>
    <tableColumn id="7556" xr3:uid="{AA0DB39C-2733-4918-B58A-7F397262E0FD}" name="Column7556"/>
    <tableColumn id="7557" xr3:uid="{E66DF7FC-AD93-42DE-BE50-271BCE9169C8}" name="Column7557"/>
    <tableColumn id="7558" xr3:uid="{81FFD4AB-7301-4879-A61D-0B4ACF97EA72}" name="Column7558"/>
    <tableColumn id="7559" xr3:uid="{BBC6DAC4-B214-4BAD-BC2F-892C612B9908}" name="Column7559"/>
    <tableColumn id="7560" xr3:uid="{745BC2C9-F001-48E4-A886-B8FC2376C1E5}" name="Column7560"/>
    <tableColumn id="7561" xr3:uid="{6C601BBD-C1E4-44AA-BDED-DA0386B88B13}" name="Column7561"/>
    <tableColumn id="7562" xr3:uid="{52185CB6-6394-476A-BB1C-47D6B11F75FC}" name="Column7562"/>
    <tableColumn id="7563" xr3:uid="{1FBA25C5-45C0-4FD8-A34F-25D897D948F8}" name="Column7563"/>
    <tableColumn id="7564" xr3:uid="{FEF52D0A-9EAF-4D08-9116-3AD116E3A64E}" name="Column7564"/>
    <tableColumn id="7565" xr3:uid="{1C9447FA-71AF-478A-8F5F-B4CBDC842DCF}" name="Column7565"/>
    <tableColumn id="7566" xr3:uid="{6DD3935B-5E78-4120-9000-263D4F81D1B4}" name="Column7566"/>
    <tableColumn id="7567" xr3:uid="{114B4026-8318-4B4D-9D99-B380D86D5F7C}" name="Column7567"/>
    <tableColumn id="7568" xr3:uid="{05EABE0C-58DC-461F-88DA-1C0C953253CA}" name="Column7568"/>
    <tableColumn id="7569" xr3:uid="{B49EAD66-7A06-44BF-86E9-7590608E7DA7}" name="Column7569"/>
    <tableColumn id="7570" xr3:uid="{3C29BF5F-9E06-438D-8DFE-77CC6F3039B2}" name="Column7570"/>
    <tableColumn id="7571" xr3:uid="{32CDD3AF-8C12-487C-98D9-733C5149000D}" name="Column7571"/>
    <tableColumn id="7572" xr3:uid="{15730EF8-DE66-4318-93E4-030B90375C9B}" name="Column7572"/>
    <tableColumn id="7573" xr3:uid="{03764BDB-31B0-4C09-9451-35B13CF4E6B8}" name="Column7573"/>
    <tableColumn id="7574" xr3:uid="{40EA798A-247D-413C-810B-1E54804BD6BB}" name="Column7574"/>
    <tableColumn id="7575" xr3:uid="{A8C16474-8154-4347-BC79-36ABEDA00F52}" name="Column7575"/>
    <tableColumn id="7576" xr3:uid="{DAB1BD78-2F7A-4E5D-87FE-70803CA82910}" name="Column7576"/>
    <tableColumn id="7577" xr3:uid="{003C6E83-42FA-4078-B095-3D4F715D7501}" name="Column7577"/>
    <tableColumn id="7578" xr3:uid="{0F4513DF-A425-4D66-8F9B-4A73518CF501}" name="Column7578"/>
    <tableColumn id="7579" xr3:uid="{F90E5004-A8C2-4F92-994D-37120E8C2AA3}" name="Column7579"/>
    <tableColumn id="7580" xr3:uid="{9FC71A9D-8420-4395-B213-425B6210C24C}" name="Column7580"/>
    <tableColumn id="7581" xr3:uid="{A7C739D8-C091-4B6A-85D5-D5994CA627EE}" name="Column7581"/>
    <tableColumn id="7582" xr3:uid="{63DC762E-FDA5-4611-A5A2-3D98CBFC2138}" name="Column7582"/>
    <tableColumn id="7583" xr3:uid="{7FE755A0-87A7-419A-BDC2-4A20EB1AF6CF}" name="Column7583"/>
    <tableColumn id="7584" xr3:uid="{36435005-F178-430C-84DA-D51DDB4A0D9D}" name="Column7584"/>
    <tableColumn id="7585" xr3:uid="{36974BFA-755D-44C4-B9C4-339E814E74FB}" name="Column7585"/>
    <tableColumn id="7586" xr3:uid="{8186D1CF-2136-4ABA-998F-F20D72938041}" name="Column7586"/>
    <tableColumn id="7587" xr3:uid="{546837CC-6802-4014-AF68-12190720E012}" name="Column7587"/>
    <tableColumn id="7588" xr3:uid="{F574938C-E73C-4271-982A-8C59526DBA19}" name="Column7588"/>
    <tableColumn id="7589" xr3:uid="{71032B99-B8D9-4C11-9A6C-A9B7C9D01896}" name="Column7589"/>
    <tableColumn id="7590" xr3:uid="{CAECFA60-EA49-4291-A937-23148D4BE9A4}" name="Column7590"/>
    <tableColumn id="7591" xr3:uid="{C02C2AD6-23A2-4A4F-AFF7-93FCC74F0FCF}" name="Column7591"/>
    <tableColumn id="7592" xr3:uid="{753F6D06-3F9C-46BB-8D94-DC7F79009070}" name="Column7592"/>
    <tableColumn id="7593" xr3:uid="{0A1E4C67-4F6E-450B-A55F-6C062FF8259A}" name="Column7593"/>
    <tableColumn id="7594" xr3:uid="{9BFD6B0A-A113-46ED-A3BF-5F9FC549B74E}" name="Column7594"/>
    <tableColumn id="7595" xr3:uid="{0FD403AE-5FD1-4967-B890-5554F4AB3981}" name="Column7595"/>
    <tableColumn id="7596" xr3:uid="{3FFFD1C7-EF46-4871-92DA-62E48821329C}" name="Column7596"/>
    <tableColumn id="7597" xr3:uid="{502F76F6-B535-474B-8349-4DC3B08F179D}" name="Column7597"/>
    <tableColumn id="7598" xr3:uid="{441C2FC3-3F87-4DD9-85ED-BB579E088095}" name="Column7598"/>
    <tableColumn id="7599" xr3:uid="{DB81C92B-930F-4EEA-86B3-42C4B088CE72}" name="Column7599"/>
    <tableColumn id="7600" xr3:uid="{59998EC3-A083-4A99-94A4-A3A64D21726C}" name="Column7600"/>
    <tableColumn id="7601" xr3:uid="{F4394821-AB5D-43C7-A9DD-A8B080F25D38}" name="Column7601"/>
    <tableColumn id="7602" xr3:uid="{FC1C146B-0B55-4D97-933E-1C84E4BD6D05}" name="Column7602"/>
    <tableColumn id="7603" xr3:uid="{6B907579-1DE6-4888-8651-E64695555427}" name="Column7603"/>
    <tableColumn id="7604" xr3:uid="{CEF8710B-A88E-48CF-AB47-270BB0709E2B}" name="Column7604"/>
    <tableColumn id="7605" xr3:uid="{A45E5452-4860-47E1-AF11-005A945ECE9A}" name="Column7605"/>
    <tableColumn id="7606" xr3:uid="{5E4F6EC9-978F-4848-96DD-3AB509062948}" name="Column7606"/>
    <tableColumn id="7607" xr3:uid="{5A888908-8163-45EE-97DB-3880215E75CD}" name="Column7607"/>
    <tableColumn id="7608" xr3:uid="{6762E021-BADC-4315-AF02-7E4694F3749B}" name="Column7608"/>
    <tableColumn id="7609" xr3:uid="{EB154620-233F-4127-B6B8-62AFD0539B9B}" name="Column7609"/>
    <tableColumn id="7610" xr3:uid="{A3146AF7-1C66-4264-9E40-9007FE7BA7F5}" name="Column7610"/>
    <tableColumn id="7611" xr3:uid="{3BBB0B74-2685-4311-8394-B47037A78D70}" name="Column7611"/>
    <tableColumn id="7612" xr3:uid="{763A2B5C-9A5C-4474-BF25-6F9D3A4738CB}" name="Column7612"/>
    <tableColumn id="7613" xr3:uid="{510D82BF-3D6D-4A41-A610-E2623858C2B4}" name="Column7613"/>
    <tableColumn id="7614" xr3:uid="{C380DD32-A1B4-40BB-A017-C29844278DA6}" name="Column7614"/>
    <tableColumn id="7615" xr3:uid="{AE06930D-A772-4805-8712-311A66D16AFF}" name="Column7615"/>
    <tableColumn id="7616" xr3:uid="{1A6C9EDC-336F-4061-A846-1D194E6A755E}" name="Column7616"/>
    <tableColumn id="7617" xr3:uid="{8FE4D535-A260-4E65-8CAA-823A4868304F}" name="Column7617"/>
    <tableColumn id="7618" xr3:uid="{5DA15733-8F06-4315-973F-E9021EBBCB7F}" name="Column7618"/>
    <tableColumn id="7619" xr3:uid="{E930BF0D-ED0D-4CF5-8701-BAE1A574033D}" name="Column7619"/>
    <tableColumn id="7620" xr3:uid="{A7E1A09C-826C-4721-AB36-9ADB633A8A3B}" name="Column7620"/>
    <tableColumn id="7621" xr3:uid="{66F58EEA-0B68-4C2A-88C6-5F92C8CD8B85}" name="Column7621"/>
    <tableColumn id="7622" xr3:uid="{58EA1B4F-B7D5-43EF-97BF-38A356F13CE0}" name="Column7622"/>
    <tableColumn id="7623" xr3:uid="{E3BD64E1-6B5E-42A9-928C-324E54A844AC}" name="Column7623"/>
    <tableColumn id="7624" xr3:uid="{4EDC31D5-7A38-4ED5-89FD-3EC11C084281}" name="Column7624"/>
    <tableColumn id="7625" xr3:uid="{4441639D-F2AB-4A01-B9D1-ED7D7D015A0B}" name="Column7625"/>
    <tableColumn id="7626" xr3:uid="{27C672B0-FEDB-4553-AC0F-ACF02970BE77}" name="Column7626"/>
    <tableColumn id="7627" xr3:uid="{C4CFC991-7F6C-488D-A06D-B22F564B2DE5}" name="Column7627"/>
    <tableColumn id="7628" xr3:uid="{727817F1-A61D-49D0-A65D-C29131E12DA9}" name="Column7628"/>
    <tableColumn id="7629" xr3:uid="{85F26012-86C2-4FFF-BC13-A96EA6BB5D6C}" name="Column7629"/>
    <tableColumn id="7630" xr3:uid="{150526C6-5186-419F-8284-856E61FECF9D}" name="Column7630"/>
    <tableColumn id="7631" xr3:uid="{463E8613-B109-4F2C-BB70-EB3F0E997818}" name="Column7631"/>
    <tableColumn id="7632" xr3:uid="{D5688CD7-21F9-4E82-B497-0AAE851828CE}" name="Column7632"/>
    <tableColumn id="7633" xr3:uid="{DA35769C-E81D-4499-ABCF-E388175CD9BB}" name="Column7633"/>
    <tableColumn id="7634" xr3:uid="{2095429F-5330-4574-AA8B-BF74009D6A21}" name="Column7634"/>
    <tableColumn id="7635" xr3:uid="{D748F2F8-6C3B-4B14-B518-8BC75F26E800}" name="Column7635"/>
    <tableColumn id="7636" xr3:uid="{37C34C1F-86B1-4C9C-8E11-CD68308C19BC}" name="Column7636"/>
    <tableColumn id="7637" xr3:uid="{2CAF2515-2CCE-4BF5-8B92-7AA898C846E1}" name="Column7637"/>
    <tableColumn id="7638" xr3:uid="{4918BFBC-68D7-44E2-B698-FDEDEB6B69EA}" name="Column7638"/>
    <tableColumn id="7639" xr3:uid="{7192F914-35B9-4A36-805F-F16A637DB623}" name="Column7639"/>
    <tableColumn id="7640" xr3:uid="{1CFB12ED-5EF0-4025-9F21-D1AD8D2C20A3}" name="Column7640"/>
    <tableColumn id="7641" xr3:uid="{B87B94AE-C5EF-4B44-AF60-FC4E93948D46}" name="Column7641"/>
    <tableColumn id="7642" xr3:uid="{CC071B57-1C16-43CB-B985-CA9E747EBBB4}" name="Column7642"/>
    <tableColumn id="7643" xr3:uid="{6D84EAF9-A78E-463A-ADB6-74EC214F7FA8}" name="Column7643"/>
    <tableColumn id="7644" xr3:uid="{F092A175-BF1A-4652-95CC-E4A19C950B8B}" name="Column7644"/>
    <tableColumn id="7645" xr3:uid="{C5C76DFB-AC1A-4C7D-9122-9CD2A898DCBE}" name="Column7645"/>
    <tableColumn id="7646" xr3:uid="{58CFDAAE-562B-4A45-A595-3FF2612150F3}" name="Column7646"/>
    <tableColumn id="7647" xr3:uid="{54DD6897-90D2-40F7-A6F4-C4F84F4DA4A6}" name="Column7647"/>
    <tableColumn id="7648" xr3:uid="{97F32508-0450-47DC-AE85-23A966F5B897}" name="Column7648"/>
    <tableColumn id="7649" xr3:uid="{78364587-86E1-43E9-9682-CA45836976D3}" name="Column7649"/>
    <tableColumn id="7650" xr3:uid="{1AD49AA1-E325-441A-9264-856BD0E58DED}" name="Column7650"/>
    <tableColumn id="7651" xr3:uid="{0CA3F0A7-2492-410C-9910-72417170CFD1}" name="Column7651"/>
    <tableColumn id="7652" xr3:uid="{F2C1AB80-6A4D-4F94-9A3E-9B637B3408DD}" name="Column7652"/>
    <tableColumn id="7653" xr3:uid="{5BD7C837-3A1D-4765-9940-3E59128DC017}" name="Column7653"/>
    <tableColumn id="7654" xr3:uid="{E633BF7F-82DD-44E0-A497-C2AC1A365561}" name="Column7654"/>
    <tableColumn id="7655" xr3:uid="{BDA7C612-FD56-4C33-8916-0E6C3586B672}" name="Column7655"/>
    <tableColumn id="7656" xr3:uid="{E9590F35-7CCF-4026-BE47-70268A420508}" name="Column7656"/>
    <tableColumn id="7657" xr3:uid="{12A7B2C9-0422-48A9-8383-D9A6C28D290B}" name="Column7657"/>
    <tableColumn id="7658" xr3:uid="{0CA1B82B-141F-43EB-A115-BED5D1A7222C}" name="Column7658"/>
    <tableColumn id="7659" xr3:uid="{76716307-0488-47E3-9FC6-E650261DF0C0}" name="Column7659"/>
    <tableColumn id="7660" xr3:uid="{03AC485A-8247-4864-A6F7-AB2436976D5D}" name="Column7660"/>
    <tableColumn id="7661" xr3:uid="{8CCC1EF4-3F14-4F15-A4D8-6EADCF6603E5}" name="Column7661"/>
    <tableColumn id="7662" xr3:uid="{5BABB9AE-157A-4DEE-9959-1FCFD0F932C9}" name="Column7662"/>
    <tableColumn id="7663" xr3:uid="{A8195A3C-A9B1-44CC-B727-903FCDD6A390}" name="Column7663"/>
    <tableColumn id="7664" xr3:uid="{D8260E0D-FC1C-4C0B-B7F4-721DA4512B57}" name="Column7664"/>
    <tableColumn id="7665" xr3:uid="{6C30B9F1-6224-4434-951A-F1F7684D48AE}" name="Column7665"/>
    <tableColumn id="7666" xr3:uid="{9A421A78-E5D7-4228-9460-B3E1F8736DC6}" name="Column7666"/>
    <tableColumn id="7667" xr3:uid="{B8CFEC7B-E6C5-4BCB-8E5E-FD1A0AD732F8}" name="Column7667"/>
    <tableColumn id="7668" xr3:uid="{FE1CCC8B-4157-4AB9-BE89-F7D0E71308A7}" name="Column7668"/>
    <tableColumn id="7669" xr3:uid="{4F79E60E-C537-4AED-892A-543F399DFB20}" name="Column7669"/>
    <tableColumn id="7670" xr3:uid="{B8B0B3CB-6652-44B3-AD66-39CE73ACEF4B}" name="Column7670"/>
    <tableColumn id="7671" xr3:uid="{B3A7A252-784A-49BE-9F45-4A61E7B7BCA1}" name="Column7671"/>
    <tableColumn id="7672" xr3:uid="{1BA701BE-15A6-4743-BD5D-520920C7FDB8}" name="Column7672"/>
    <tableColumn id="7673" xr3:uid="{228623CF-4145-4F54-9EF0-91610C0523BE}" name="Column7673"/>
    <tableColumn id="7674" xr3:uid="{14B2A117-F6D3-44A2-8673-3DB3316681B1}" name="Column7674"/>
    <tableColumn id="7675" xr3:uid="{8900F7D8-7663-41CD-BDFE-6B505ED77DD5}" name="Column7675"/>
    <tableColumn id="7676" xr3:uid="{5DBE7B6F-B115-4793-AFDF-F2F1F72526B4}" name="Column7676"/>
    <tableColumn id="7677" xr3:uid="{9DC1F4F2-F11E-4417-8CC9-12BDD5A1AC26}" name="Column7677"/>
    <tableColumn id="7678" xr3:uid="{50384932-D9AA-43FB-84F7-D9D9E81E39B0}" name="Column7678"/>
    <tableColumn id="7679" xr3:uid="{592AA640-8095-461C-A506-893C9BC98431}" name="Column7679"/>
    <tableColumn id="7680" xr3:uid="{5B1506B2-B3E7-4ED6-A453-F0C255FDB56B}" name="Column7680"/>
    <tableColumn id="7681" xr3:uid="{72B85744-2118-41FC-888A-3684A55AF2BB}" name="Column7681"/>
    <tableColumn id="7682" xr3:uid="{8AB5C69C-AC11-400D-8472-433F15C46DCA}" name="Column7682"/>
    <tableColumn id="7683" xr3:uid="{6EAC9D7C-2C39-4B50-A409-75E22EAE6F23}" name="Column7683"/>
    <tableColumn id="7684" xr3:uid="{C06297BE-0F2D-41CF-972D-7E87D83A98B3}" name="Column7684"/>
    <tableColumn id="7685" xr3:uid="{15DE4731-0C10-4BAF-ABD7-20C8557F48A3}" name="Column7685"/>
    <tableColumn id="7686" xr3:uid="{5A695D4F-41DD-46C9-9473-13A372B29AA3}" name="Column7686"/>
    <tableColumn id="7687" xr3:uid="{2E7A7EAD-0BFF-431E-BC89-2B1AFDB355F9}" name="Column7687"/>
    <tableColumn id="7688" xr3:uid="{27A11B97-78DC-442A-872D-1744DF952734}" name="Column7688"/>
    <tableColumn id="7689" xr3:uid="{6580D612-893B-4F33-B502-0F0854862037}" name="Column7689"/>
    <tableColumn id="7690" xr3:uid="{104054BA-5158-4B4F-8D33-0E4199D659A3}" name="Column7690"/>
    <tableColumn id="7691" xr3:uid="{0FBED392-4F5B-4D04-8217-83EA7452E0C2}" name="Column7691"/>
    <tableColumn id="7692" xr3:uid="{3FAAC124-4D38-4949-B167-E15BBBADD4FE}" name="Column7692"/>
    <tableColumn id="7693" xr3:uid="{40067BF6-072B-4F10-A0E6-B1281E21B6CE}" name="Column7693"/>
    <tableColumn id="7694" xr3:uid="{53E7E67E-E4D7-4D89-9385-162DED0DC7B5}" name="Column7694"/>
    <tableColumn id="7695" xr3:uid="{BF7C1994-956A-4479-9839-C161F6FE20D7}" name="Column7695"/>
    <tableColumn id="7696" xr3:uid="{7BEF1829-2C51-405F-B254-4311D0A52DED}" name="Column7696"/>
    <tableColumn id="7697" xr3:uid="{C94BE016-F3A1-4B2A-BC03-A548D2DA00DB}" name="Column7697"/>
    <tableColumn id="7698" xr3:uid="{1A54C08C-F6B4-460C-9121-66A5BA5CAE63}" name="Column7698"/>
    <tableColumn id="7699" xr3:uid="{F95666E0-AB8F-45F8-8FB0-970B8E7207F1}" name="Column7699"/>
    <tableColumn id="7700" xr3:uid="{8D28812E-4EC6-4535-8687-304C26927498}" name="Column7700"/>
    <tableColumn id="7701" xr3:uid="{0CB221DC-78A3-4A64-9205-0AECF77BAA69}" name="Column7701"/>
    <tableColumn id="7702" xr3:uid="{2EBC4789-EDF4-4C5A-A8E1-AC9086251916}" name="Column7702"/>
    <tableColumn id="7703" xr3:uid="{86FC909E-5E41-4A9E-9BC1-F4576A4CD393}" name="Column7703"/>
    <tableColumn id="7704" xr3:uid="{F760B30C-B791-493D-BB92-75BE34ABB42C}" name="Column7704"/>
    <tableColumn id="7705" xr3:uid="{517A16E2-1A3E-4458-822D-3E0223299016}" name="Column7705"/>
    <tableColumn id="7706" xr3:uid="{0AA7D253-5CFE-4194-A51E-466B9F623043}" name="Column7706"/>
    <tableColumn id="7707" xr3:uid="{7EE48CEC-6E13-4E26-A603-1CC7BFD71FC3}" name="Column7707"/>
    <tableColumn id="7708" xr3:uid="{C126C415-0E01-4052-BB87-B92EEB4A0C7F}" name="Column7708"/>
    <tableColumn id="7709" xr3:uid="{0A5CB889-9BF7-4DDD-BA62-B9755F6DCD9B}" name="Column7709"/>
    <tableColumn id="7710" xr3:uid="{798427CC-CB50-4B4B-A868-7FAC63DE521E}" name="Column7710"/>
    <tableColumn id="7711" xr3:uid="{C5AC4122-49B3-4F24-8236-CE478E6A13FF}" name="Column7711"/>
    <tableColumn id="7712" xr3:uid="{34C1B6E7-96A0-4FA9-AF1E-24D0514139F1}" name="Column7712"/>
    <tableColumn id="7713" xr3:uid="{5C6DA82D-18DD-437B-89F0-5F91BB17995E}" name="Column7713"/>
    <tableColumn id="7714" xr3:uid="{AF6F77CF-2CDF-4CC7-B887-99CA02280C1A}" name="Column7714"/>
    <tableColumn id="7715" xr3:uid="{C7F41AC0-E1E8-42EB-BA17-6905B7FF5ADC}" name="Column7715"/>
    <tableColumn id="7716" xr3:uid="{BC6D8CE8-8A3F-453B-8BAA-490C62CBF040}" name="Column7716"/>
    <tableColumn id="7717" xr3:uid="{D08395D6-99CC-4791-A8B4-6467967D9BC5}" name="Column7717"/>
    <tableColumn id="7718" xr3:uid="{E532EB74-282F-4334-A83F-7EFB29B4273D}" name="Column7718"/>
    <tableColumn id="7719" xr3:uid="{F6BFB7F7-B8F9-4495-9783-64D9742A8E05}" name="Column7719"/>
    <tableColumn id="7720" xr3:uid="{9FE78A0D-44DB-4513-BF32-D98A0AF9CCFA}" name="Column7720"/>
    <tableColumn id="7721" xr3:uid="{E0BFF81E-B521-4C4D-95ED-BFAE17E7AB77}" name="Column7721"/>
    <tableColumn id="7722" xr3:uid="{BE9DBE4C-9767-4554-9437-CF086A0A8802}" name="Column7722"/>
    <tableColumn id="7723" xr3:uid="{622EB8AC-3F1B-495F-8088-4FEFC6E015E3}" name="Column7723"/>
    <tableColumn id="7724" xr3:uid="{FD6D7027-C7F2-4F2C-A9AC-494D6CFF9556}" name="Column7724"/>
    <tableColumn id="7725" xr3:uid="{0888E652-E79F-4E0C-9132-AEC87776FA7A}" name="Column7725"/>
    <tableColumn id="7726" xr3:uid="{4F26FA76-29AF-42AF-99E9-4EC3988AF20A}" name="Column7726"/>
    <tableColumn id="7727" xr3:uid="{DE5FC576-C334-4BCA-A9A7-F19A041D779F}" name="Column7727"/>
    <tableColumn id="7728" xr3:uid="{399BFED0-5B01-433C-A235-754B11D31704}" name="Column7728"/>
    <tableColumn id="7729" xr3:uid="{DE888C48-CB6A-44E5-8B73-0AB99FD2FD30}" name="Column7729"/>
    <tableColumn id="7730" xr3:uid="{893AF636-2FC4-4025-B1C8-1D5950C19A21}" name="Column7730"/>
    <tableColumn id="7731" xr3:uid="{6904409D-FEBD-4CB6-983E-C990E26BE9EC}" name="Column7731"/>
    <tableColumn id="7732" xr3:uid="{A969E538-B75D-4EA7-932B-474B3703BACD}" name="Column7732"/>
    <tableColumn id="7733" xr3:uid="{0D86289F-75BB-4F80-A2F8-82BD54C32B3A}" name="Column7733"/>
    <tableColumn id="7734" xr3:uid="{4FE84FAB-B0AC-48C0-9F43-D3C0D8B9B871}" name="Column7734"/>
    <tableColumn id="7735" xr3:uid="{8A3465E0-C3C4-4E40-958A-EE5B481FCD6D}" name="Column7735"/>
    <tableColumn id="7736" xr3:uid="{E6F67829-DC81-454D-AFB6-E4A3BEB4D13F}" name="Column7736"/>
    <tableColumn id="7737" xr3:uid="{8EB2C962-B485-4FC0-B29E-AB75AB311410}" name="Column7737"/>
    <tableColumn id="7738" xr3:uid="{5E5F0D85-886F-4582-8603-A464A5DD028E}" name="Column7738"/>
    <tableColumn id="7739" xr3:uid="{185864E7-FC92-4167-89BB-141CDE0ACD8B}" name="Column7739"/>
    <tableColumn id="7740" xr3:uid="{CE1A02E6-D1F2-428D-94D7-A3072C41091D}" name="Column7740"/>
    <tableColumn id="7741" xr3:uid="{4D46C0FA-9CC7-4BCD-B165-67FA22504B1B}" name="Column7741"/>
    <tableColumn id="7742" xr3:uid="{6F5FF78F-CE42-43A4-A3C1-5EEFB873C33C}" name="Column7742"/>
    <tableColumn id="7743" xr3:uid="{807A8C36-4BE7-44B5-94C1-AAA8412E70DD}" name="Column7743"/>
    <tableColumn id="7744" xr3:uid="{5ADF5526-DD8D-45DE-A5AE-A6BBC0AB68E3}" name="Column7744"/>
    <tableColumn id="7745" xr3:uid="{A7A213B9-39ED-4679-A66E-6A56AC49C23B}" name="Column7745"/>
    <tableColumn id="7746" xr3:uid="{8A886768-7A4C-44B9-917D-7F93BB1D6A9B}" name="Column7746"/>
    <tableColumn id="7747" xr3:uid="{AF0D1B31-FA65-4D52-8C6B-44994A7BD12D}" name="Column7747"/>
    <tableColumn id="7748" xr3:uid="{4DB9F770-153B-4D2F-8AED-BF133DFFEB17}" name="Column7748"/>
    <tableColumn id="7749" xr3:uid="{E5467528-0D8C-4CA7-9EC5-4326C2E0B61E}" name="Column7749"/>
    <tableColumn id="7750" xr3:uid="{9ACDBA3D-0D61-495C-BB48-727B6FC7DCCF}" name="Column7750"/>
    <tableColumn id="7751" xr3:uid="{23DABF74-A00B-4509-9F20-912256D9FF1F}" name="Column7751"/>
    <tableColumn id="7752" xr3:uid="{D3774097-1A85-48DB-9E68-B5636C12D430}" name="Column7752"/>
    <tableColumn id="7753" xr3:uid="{496834AA-AE90-439A-A68D-7067EDEE9D50}" name="Column7753"/>
    <tableColumn id="7754" xr3:uid="{78F03875-2127-4750-AD9E-D10DC0941279}" name="Column7754"/>
    <tableColumn id="7755" xr3:uid="{F840276E-D086-48C0-A320-6B308911FE5A}" name="Column7755"/>
    <tableColumn id="7756" xr3:uid="{7AE2EE76-FD47-4EA7-9619-AD22B1B4021C}" name="Column7756"/>
    <tableColumn id="7757" xr3:uid="{96B06364-5576-4B52-B495-F3A3542A7EE2}" name="Column7757"/>
    <tableColumn id="7758" xr3:uid="{E56364F8-7AB4-4A27-A6D9-1C45FA9EBB0C}" name="Column7758"/>
    <tableColumn id="7759" xr3:uid="{34F3F071-BEDA-483F-8284-AC556B331AB1}" name="Column7759"/>
    <tableColumn id="7760" xr3:uid="{111E9812-4448-419E-8E33-364828F28019}" name="Column7760"/>
    <tableColumn id="7761" xr3:uid="{DCA5E022-C34C-4724-B817-BADFDFF2BDF5}" name="Column7761"/>
    <tableColumn id="7762" xr3:uid="{7288042A-EFA1-410B-936B-839B5438F61C}" name="Column7762"/>
    <tableColumn id="7763" xr3:uid="{BBD9A849-927F-4FCE-BED9-2332FCCBAE56}" name="Column7763"/>
    <tableColumn id="7764" xr3:uid="{E4A8C20E-3B43-4D22-8352-E0861EF8C12A}" name="Column7764"/>
    <tableColumn id="7765" xr3:uid="{180AD7A2-AB6E-4089-B5E8-064C02D61283}" name="Column7765"/>
    <tableColumn id="7766" xr3:uid="{F309F685-6CA6-4880-AF52-31A260424A38}" name="Column7766"/>
    <tableColumn id="7767" xr3:uid="{BACCA958-99E9-491F-BBF9-B435DF01A184}" name="Column7767"/>
    <tableColumn id="7768" xr3:uid="{72C0B0B2-75AB-432D-9A95-F014E2768156}" name="Column7768"/>
    <tableColumn id="7769" xr3:uid="{E463152A-ED78-4621-9CC7-EF23FC2944F6}" name="Column7769"/>
    <tableColumn id="7770" xr3:uid="{08C1F89F-811F-48FA-B6A2-AFF94D07749F}" name="Column7770"/>
    <tableColumn id="7771" xr3:uid="{277964BE-2F70-4F3F-BC16-DD36DB0C35EA}" name="Column7771"/>
    <tableColumn id="7772" xr3:uid="{B1E28797-9277-4C66-B304-5C6E2F1BDB7A}" name="Column7772"/>
    <tableColumn id="7773" xr3:uid="{6B7BDFA1-DF0A-46EF-9059-5E182F946407}" name="Column7773"/>
    <tableColumn id="7774" xr3:uid="{35B4584E-6A22-44FC-92CE-80AB7C57DC08}" name="Column7774"/>
    <tableColumn id="7775" xr3:uid="{ABD500F4-868E-4A23-927A-2D0A24C390FD}" name="Column7775"/>
    <tableColumn id="7776" xr3:uid="{9A248DB7-A36F-4C69-BB52-10D26CFE5DB7}" name="Column7776"/>
    <tableColumn id="7777" xr3:uid="{1A84A507-D96E-4204-ADD9-8F52B099F480}" name="Column7777"/>
    <tableColumn id="7778" xr3:uid="{96803F61-03DF-4E21-B29B-F825B1AB9304}" name="Column7778"/>
    <tableColumn id="7779" xr3:uid="{EE69F9EE-DB50-44C2-98D9-8DD79D6EF639}" name="Column7779"/>
    <tableColumn id="7780" xr3:uid="{B9A98062-1C2E-4C8F-B2FF-2D7F1BCA70C1}" name="Column7780"/>
    <tableColumn id="7781" xr3:uid="{26031B37-6E46-452A-8669-8F972F7610D8}" name="Column7781"/>
    <tableColumn id="7782" xr3:uid="{30679498-A685-4F2B-8AAE-948A0DE52FFC}" name="Column7782"/>
    <tableColumn id="7783" xr3:uid="{BE99A1EB-D7EA-4DF8-A6A9-B01D608263F3}" name="Column7783"/>
    <tableColumn id="7784" xr3:uid="{F3AA6219-BBC1-4547-9893-6B64A32A7EDC}" name="Column7784"/>
    <tableColumn id="7785" xr3:uid="{3605026C-4546-414C-971F-CC4E56696DDA}" name="Column7785"/>
    <tableColumn id="7786" xr3:uid="{17D1E0BD-207B-4E48-86B9-4E1D0A600A49}" name="Column7786"/>
    <tableColumn id="7787" xr3:uid="{59EC03DD-C599-49A8-8E8A-578881506A35}" name="Column7787"/>
    <tableColumn id="7788" xr3:uid="{917FA941-DFF0-42C2-978D-5B7C393BADAF}" name="Column7788"/>
    <tableColumn id="7789" xr3:uid="{29A168A2-33F5-4F33-9DB8-12EBA8A86CB3}" name="Column7789"/>
    <tableColumn id="7790" xr3:uid="{AEB1B9E9-2BEB-4F1A-BFD7-3191A99BECA9}" name="Column7790"/>
    <tableColumn id="7791" xr3:uid="{AB2DFF67-1E36-4E18-ADE2-DF232B1CBAE3}" name="Column7791"/>
    <tableColumn id="7792" xr3:uid="{3D57B8FD-D611-484A-B772-42522C5CEBFC}" name="Column7792"/>
    <tableColumn id="7793" xr3:uid="{2C3B1E33-4345-405F-AFEF-6B5FA0A3F81A}" name="Column7793"/>
    <tableColumn id="7794" xr3:uid="{AEBA382D-B1C2-4135-A222-E3655E9DFC8C}" name="Column7794"/>
    <tableColumn id="7795" xr3:uid="{78D671B5-7DCA-4F69-A0B5-F504F011E6D9}" name="Column7795"/>
    <tableColumn id="7796" xr3:uid="{74368E65-5801-4C3D-AE04-58C5C296B002}" name="Column7796"/>
    <tableColumn id="7797" xr3:uid="{40AE275D-5ACE-4E46-8D89-BD7482172F7A}" name="Column7797"/>
    <tableColumn id="7798" xr3:uid="{A150E555-C00E-4F60-A3F1-D9686D3E3142}" name="Column7798"/>
    <tableColumn id="7799" xr3:uid="{E773275A-0E9E-4D20-86DA-BA7B280FE40A}" name="Column7799"/>
    <tableColumn id="7800" xr3:uid="{2DFC1E7B-FF3C-4EC1-B4FD-888FAF87BDAC}" name="Column7800"/>
    <tableColumn id="7801" xr3:uid="{E5BFB46B-19E9-46E1-8CAF-B251E617C611}" name="Column7801"/>
    <tableColumn id="7802" xr3:uid="{DC0FE74A-8E02-4FC5-A44E-EF3E8CC0EFC0}" name="Column7802"/>
    <tableColumn id="7803" xr3:uid="{FDF48030-ABA8-471F-B7B3-9B852D2DF1AD}" name="Column7803"/>
    <tableColumn id="7804" xr3:uid="{DF0C934A-8ED6-4DFC-9FA6-B3B69DB51AA4}" name="Column7804"/>
    <tableColumn id="7805" xr3:uid="{F5AA9E56-E6B2-437B-B858-E61D27F504C3}" name="Column7805"/>
    <tableColumn id="7806" xr3:uid="{E0A64833-5978-4399-BED3-7C65CC4F5414}" name="Column7806"/>
    <tableColumn id="7807" xr3:uid="{7C53DC0C-6E01-4291-B201-E407F2CEE015}" name="Column7807"/>
    <tableColumn id="7808" xr3:uid="{F1CC7A42-2761-48D7-B161-0095F0C3209C}" name="Column7808"/>
    <tableColumn id="7809" xr3:uid="{4EF76046-0D15-4474-B427-64EDA5741AA0}" name="Column7809"/>
    <tableColumn id="7810" xr3:uid="{3DFB9B67-C826-4A15-97C4-324933FCF880}" name="Column7810"/>
    <tableColumn id="7811" xr3:uid="{21FC5AE6-E428-4E25-ACDA-0E6C701CA382}" name="Column7811"/>
    <tableColumn id="7812" xr3:uid="{30374BBE-1386-436E-939C-A1BCAABAA429}" name="Column7812"/>
    <tableColumn id="7813" xr3:uid="{C43F0387-E3C4-42E9-91D7-7ABBA32FA69F}" name="Column7813"/>
    <tableColumn id="7814" xr3:uid="{28A58DA2-F3EE-4A0D-A4A4-EFC4EC8B586E}" name="Column7814"/>
    <tableColumn id="7815" xr3:uid="{4C0118D7-420B-40C0-B4DA-B61F632B748A}" name="Column7815"/>
    <tableColumn id="7816" xr3:uid="{571684FC-84A3-47BD-893F-26E1D0DBB84F}" name="Column7816"/>
    <tableColumn id="7817" xr3:uid="{5B22625A-AC31-4D51-859D-6897FB085682}" name="Column7817"/>
    <tableColumn id="7818" xr3:uid="{715F491C-DE71-43DD-B0FE-5E50CAE6A97A}" name="Column7818"/>
    <tableColumn id="7819" xr3:uid="{53C7CE31-D3E8-4072-B70B-19BEAD027616}" name="Column7819"/>
    <tableColumn id="7820" xr3:uid="{1F24D9C8-B3AA-4A74-A5B2-67B6450F2C37}" name="Column7820"/>
    <tableColumn id="7821" xr3:uid="{E513190D-D0A4-4078-B9D5-96CBDFE5EB06}" name="Column7821"/>
    <tableColumn id="7822" xr3:uid="{59B55E5C-8D0D-4865-8510-ECDDD81FF0A8}" name="Column7822"/>
    <tableColumn id="7823" xr3:uid="{EE2CA657-1E4E-4D81-9EF6-FE45753B7BCC}" name="Column7823"/>
    <tableColumn id="7824" xr3:uid="{F95CB168-0052-45DD-99E0-C8AD9260CDD9}" name="Column7824"/>
    <tableColumn id="7825" xr3:uid="{6539C858-016E-4BE5-8222-A5284D3C7F6A}" name="Column7825"/>
    <tableColumn id="7826" xr3:uid="{D707393E-696B-4243-AB02-DDF87A8AC798}" name="Column7826"/>
    <tableColumn id="7827" xr3:uid="{965C6463-A21D-4C3A-9E8F-6775A90C907E}" name="Column7827"/>
    <tableColumn id="7828" xr3:uid="{13E69510-EF46-4D74-94EF-DF847E9CCDE0}" name="Column7828"/>
    <tableColumn id="7829" xr3:uid="{A694ECB1-D59C-468C-A221-E93744E7267E}" name="Column7829"/>
    <tableColumn id="7830" xr3:uid="{A1A32FFC-6A1B-44B6-A96C-75C51D037318}" name="Column7830"/>
    <tableColumn id="7831" xr3:uid="{E13DE4D6-8DA9-404D-BD11-9102CD837973}" name="Column7831"/>
    <tableColumn id="7832" xr3:uid="{D2837882-6613-4DB7-BA16-E7F15508E966}" name="Column7832"/>
    <tableColumn id="7833" xr3:uid="{CD7386FF-DD1C-48CE-9528-0369AE90A8AD}" name="Column7833"/>
    <tableColumn id="7834" xr3:uid="{CE680E6C-65B7-4167-9013-EB1184307D0B}" name="Column7834"/>
    <tableColumn id="7835" xr3:uid="{586495AE-0DB4-45B6-8CC9-BBB3D626CFB6}" name="Column7835"/>
    <tableColumn id="7836" xr3:uid="{FD392413-D629-4BE3-B2AE-1EC7502A68B0}" name="Column7836"/>
    <tableColumn id="7837" xr3:uid="{B58D0417-C859-47FA-8699-CD7AA7C681E3}" name="Column7837"/>
    <tableColumn id="7838" xr3:uid="{6273F961-2869-4660-917C-9F300E6B0D24}" name="Column7838"/>
    <tableColumn id="7839" xr3:uid="{E15237F6-3C00-46A6-9452-6AC25D7A4D8B}" name="Column7839"/>
    <tableColumn id="7840" xr3:uid="{CA6C1A00-DAD4-4117-BE58-F261BFEA8BDF}" name="Column7840"/>
    <tableColumn id="7841" xr3:uid="{E071C826-E0B3-46AE-8FEE-618049BD0E22}" name="Column7841"/>
    <tableColumn id="7842" xr3:uid="{E72CFC56-DBF8-459E-A60F-509A16154F1A}" name="Column7842"/>
    <tableColumn id="7843" xr3:uid="{5ECE256A-16CA-46A6-82C9-6324125AF535}" name="Column7843"/>
    <tableColumn id="7844" xr3:uid="{E1F285EE-98CF-4FD8-B089-347CF05EAA9E}" name="Column7844"/>
    <tableColumn id="7845" xr3:uid="{C6EBB070-5D9B-46E4-82BA-3918B5721728}" name="Column7845"/>
    <tableColumn id="7846" xr3:uid="{3E468917-1796-4CD4-8FB1-B00521E50F18}" name="Column7846"/>
    <tableColumn id="7847" xr3:uid="{25AA8CB4-FC43-46D9-A8FF-379FDE93131F}" name="Column7847"/>
    <tableColumn id="7848" xr3:uid="{21DAC5D1-EE90-4395-9BE1-C7D3168DF38D}" name="Column7848"/>
    <tableColumn id="7849" xr3:uid="{B59A6704-6C40-4326-92C1-22ED7F59EA42}" name="Column7849"/>
    <tableColumn id="7850" xr3:uid="{4AD6A883-6533-4CEA-8110-278520323C08}" name="Column7850"/>
    <tableColumn id="7851" xr3:uid="{710D19C5-0C2F-4938-BB32-68D2C7EA0A1E}" name="Column7851"/>
    <tableColumn id="7852" xr3:uid="{736887DF-B33C-4505-995A-7BE69B4C7A55}" name="Column7852"/>
    <tableColumn id="7853" xr3:uid="{B592EDDE-1A59-463C-B1E1-7041C10228AB}" name="Column7853"/>
    <tableColumn id="7854" xr3:uid="{FEDBDA11-33EA-4470-BFFE-E06306847DEC}" name="Column7854"/>
    <tableColumn id="7855" xr3:uid="{129F970C-8E1D-45D6-9805-F356A3D02388}" name="Column7855"/>
    <tableColumn id="7856" xr3:uid="{958420E5-4C14-4F84-BABE-AA5B2DF327C0}" name="Column7856"/>
    <tableColumn id="7857" xr3:uid="{3243E149-5D61-46E5-8EA8-CF9828472EB7}" name="Column7857"/>
    <tableColumn id="7858" xr3:uid="{A1DA1993-21E3-4C4C-A008-8BE53E28919B}" name="Column7858"/>
    <tableColumn id="7859" xr3:uid="{74052B7F-08AC-45CA-94F3-C82CF7142FE0}" name="Column7859"/>
    <tableColumn id="7860" xr3:uid="{B56815C1-F7F1-4B65-8AA5-9F727D88C30E}" name="Column7860"/>
    <tableColumn id="7861" xr3:uid="{B0615F33-8F94-425B-B9D9-CC1E003E1638}" name="Column7861"/>
    <tableColumn id="7862" xr3:uid="{271209AB-A6DB-4DAF-85E3-3BC6400E38F4}" name="Column7862"/>
    <tableColumn id="7863" xr3:uid="{14199EB6-D6D2-4F0D-A433-7DCAF7AEE817}" name="Column7863"/>
    <tableColumn id="7864" xr3:uid="{C6CDCCBA-9A92-495F-866B-9D58DC790BFE}" name="Column7864"/>
    <tableColumn id="7865" xr3:uid="{6B353ECB-4CBB-4FEE-988A-4A5589890E20}" name="Column7865"/>
    <tableColumn id="7866" xr3:uid="{25221B74-0549-49E4-8823-78E758B88B17}" name="Column7866"/>
    <tableColumn id="7867" xr3:uid="{7329DBFF-5772-474C-9EC3-E641C6B680EF}" name="Column7867"/>
    <tableColumn id="7868" xr3:uid="{E2B6AF03-49BF-4E94-8304-F9DDEE9E543F}" name="Column7868"/>
    <tableColumn id="7869" xr3:uid="{7C8619F4-BF48-48B4-BEE2-B42D63445884}" name="Column7869"/>
    <tableColumn id="7870" xr3:uid="{C3F59E1F-9BA1-4679-A423-C75D453CD38D}" name="Column7870"/>
    <tableColumn id="7871" xr3:uid="{CA2E10E0-2585-4B7F-AA8D-AA0DEFBA96DD}" name="Column7871"/>
    <tableColumn id="7872" xr3:uid="{3E22189E-5E9B-4E45-9D22-B48E42B214BE}" name="Column7872"/>
    <tableColumn id="7873" xr3:uid="{C84F506F-0610-4BA5-AB24-CD205972E898}" name="Column7873"/>
    <tableColumn id="7874" xr3:uid="{440BF353-834F-49E2-90A3-9299B764A5CC}" name="Column7874"/>
    <tableColumn id="7875" xr3:uid="{3FD39F4D-AE88-43B3-92CE-078AFB700B88}" name="Column7875"/>
    <tableColumn id="7876" xr3:uid="{28CD992A-30F7-401A-88A1-43668542563F}" name="Column7876"/>
    <tableColumn id="7877" xr3:uid="{E2370428-B12F-429B-8F6C-5483944C9C70}" name="Column7877"/>
    <tableColumn id="7878" xr3:uid="{816A2369-666E-4355-8B2A-1A5AB2D67010}" name="Column7878"/>
    <tableColumn id="7879" xr3:uid="{2CBCB585-8528-44A2-9C18-8346ADD869FE}" name="Column7879"/>
    <tableColumn id="7880" xr3:uid="{31E30B57-C453-4AE9-ABF3-3FA7FCDA7874}" name="Column7880"/>
    <tableColumn id="7881" xr3:uid="{EB2E12E2-E192-4E42-8B96-085D9EC47D4F}" name="Column7881"/>
    <tableColumn id="7882" xr3:uid="{D8FB93DD-4421-479A-A893-8F22934421AC}" name="Column7882"/>
    <tableColumn id="7883" xr3:uid="{C3EDB35E-FAA2-4742-8FA6-272EC6C279BE}" name="Column7883"/>
    <tableColumn id="7884" xr3:uid="{CD167C9D-CE5E-46D9-8841-55660CBED496}" name="Column7884"/>
    <tableColumn id="7885" xr3:uid="{9DD915B5-4D30-4EAD-A1C3-AE6FAC2303FF}" name="Column7885"/>
    <tableColumn id="7886" xr3:uid="{6CEE0837-F42D-4174-BD75-A6FCE069EAE5}" name="Column7886"/>
    <tableColumn id="7887" xr3:uid="{9E279CD3-315B-4432-9E9A-E9C65F6E5336}" name="Column7887"/>
    <tableColumn id="7888" xr3:uid="{3458D529-D456-4720-BD18-158673CF3E43}" name="Column7888"/>
    <tableColumn id="7889" xr3:uid="{3AEA9B45-6077-46F4-9C10-F59F783ADA38}" name="Column7889"/>
    <tableColumn id="7890" xr3:uid="{2647612B-A746-46F9-8463-1190A57D0DE6}" name="Column7890"/>
    <tableColumn id="7891" xr3:uid="{819B547A-DEC4-40F4-A331-58E185B80EFD}" name="Column7891"/>
    <tableColumn id="7892" xr3:uid="{EA62AD65-66DC-4963-A972-14D4E3F77A67}" name="Column7892"/>
    <tableColumn id="7893" xr3:uid="{2CBFC063-BDB5-407C-868C-BE194112355A}" name="Column7893"/>
    <tableColumn id="7894" xr3:uid="{82FAD235-4ED4-4DD6-B344-6F6A3297B835}" name="Column7894"/>
    <tableColumn id="7895" xr3:uid="{930F37CB-1176-42E5-8450-E53F707CAC02}" name="Column7895"/>
    <tableColumn id="7896" xr3:uid="{5C66FCF5-1570-450D-93A7-0D7C4AE36C90}" name="Column7896"/>
    <tableColumn id="7897" xr3:uid="{AC39CC19-3D1A-4BB1-983A-D6005F5A0E9F}" name="Column7897"/>
    <tableColumn id="7898" xr3:uid="{F529D653-3D7E-4A3D-AE54-726FDE65934A}" name="Column7898"/>
    <tableColumn id="7899" xr3:uid="{E08B2C01-A262-4146-BEA1-4EA41AAA75D8}" name="Column7899"/>
    <tableColumn id="7900" xr3:uid="{E6B8AD1E-A0A7-49EE-B426-80E2A816AE7E}" name="Column7900"/>
    <tableColumn id="7901" xr3:uid="{EE8BFF15-588D-45D8-963B-68639BB7C271}" name="Column7901"/>
    <tableColumn id="7902" xr3:uid="{7D340F5D-7710-494F-8F09-CA8D266E17AF}" name="Column7902"/>
    <tableColumn id="7903" xr3:uid="{50FA7D5B-DE60-4A0C-A7FA-A887D4355723}" name="Column7903"/>
    <tableColumn id="7904" xr3:uid="{ECA59983-AE30-4E6F-BBAF-7C3591B0C3BD}" name="Column7904"/>
    <tableColumn id="7905" xr3:uid="{DF2CCF39-96EB-4ECD-8C0D-09AE20678665}" name="Column7905"/>
    <tableColumn id="7906" xr3:uid="{ADB0FA9F-C032-41FA-BAEE-3B45B7709796}" name="Column7906"/>
    <tableColumn id="7907" xr3:uid="{A4218E39-8B4E-4C97-8EF8-EACA640647DD}" name="Column7907"/>
    <tableColumn id="7908" xr3:uid="{96CE8411-A7DC-49A0-ABEC-024D7B653568}" name="Column7908"/>
    <tableColumn id="7909" xr3:uid="{576F4251-D058-4566-AC26-6A2FD2CA1C23}" name="Column7909"/>
    <tableColumn id="7910" xr3:uid="{757AB619-170A-4141-B5EE-8339F88427F4}" name="Column7910"/>
    <tableColumn id="7911" xr3:uid="{DD7F7C5D-078E-4B70-9D30-FD330156173F}" name="Column7911"/>
    <tableColumn id="7912" xr3:uid="{B6B91BAC-E2DA-409A-8CBA-10B2B8BEB0DD}" name="Column7912"/>
    <tableColumn id="7913" xr3:uid="{2F4CDC7C-902D-4264-8DA4-65B3E79DF936}" name="Column7913"/>
    <tableColumn id="7914" xr3:uid="{54F3682E-267A-4FE9-A8A0-76BFDD459E0F}" name="Column7914"/>
    <tableColumn id="7915" xr3:uid="{DB02EC94-5DF8-4620-B8A6-E68B33680312}" name="Column7915"/>
    <tableColumn id="7916" xr3:uid="{9951E6F8-8D4D-4A37-93F1-1FBE86670EB9}" name="Column7916"/>
    <tableColumn id="7917" xr3:uid="{FCE9AB2E-94FC-4035-A13D-5CE4F4CA3D8B}" name="Column7917"/>
    <tableColumn id="7918" xr3:uid="{8698F708-8145-4A1E-A753-976AB6F2656C}" name="Column7918"/>
    <tableColumn id="7919" xr3:uid="{CAD31337-63B2-4EC7-A064-CC2B8EF99101}" name="Column7919"/>
    <tableColumn id="7920" xr3:uid="{16E80C4B-DB7C-4A28-B18C-B6F2E321B2CD}" name="Column7920"/>
    <tableColumn id="7921" xr3:uid="{9B41CBBE-B3EB-47AF-9A9C-1C67DED0EF45}" name="Column7921"/>
    <tableColumn id="7922" xr3:uid="{A9B16023-C82B-450B-B08D-0165FEBEEBD4}" name="Column7922"/>
    <tableColumn id="7923" xr3:uid="{3A2481E5-B5B4-456B-BCE5-023AE15C20D5}" name="Column7923"/>
    <tableColumn id="7924" xr3:uid="{24AB9CB2-37A2-4847-A909-D377FA6DC309}" name="Column7924"/>
    <tableColumn id="7925" xr3:uid="{39C88325-ED27-46B1-826B-5BDE7043297C}" name="Column7925"/>
    <tableColumn id="7926" xr3:uid="{CDAAA220-AB73-474E-9CE0-E91E61C4DCCC}" name="Column7926"/>
    <tableColumn id="7927" xr3:uid="{C5199FA0-FC72-46B7-995D-BFF1F8044963}" name="Column7927"/>
    <tableColumn id="7928" xr3:uid="{1A6E0421-A461-4EEF-822C-BCD3609FB624}" name="Column7928"/>
    <tableColumn id="7929" xr3:uid="{C578BA2F-44CA-4F24-9176-8D295CDDC049}" name="Column7929"/>
    <tableColumn id="7930" xr3:uid="{1DEC3885-A898-4E58-BC15-ABF92D5A2767}" name="Column7930"/>
    <tableColumn id="7931" xr3:uid="{1CD1EEC5-238A-469A-A975-419A1D32C57E}" name="Column7931"/>
    <tableColumn id="7932" xr3:uid="{3319B428-05A8-4D35-900A-FEFBFBACCC4F}" name="Column7932"/>
    <tableColumn id="7933" xr3:uid="{BB3161AF-E82C-44F0-B5BD-4771426F8B36}" name="Column7933"/>
    <tableColumn id="7934" xr3:uid="{51F3F189-11AC-41D9-90D7-470E48E8DF16}" name="Column7934"/>
    <tableColumn id="7935" xr3:uid="{1DB3E61D-3B92-4EBD-8170-A24911AFC733}" name="Column7935"/>
    <tableColumn id="7936" xr3:uid="{113D83B7-8266-42F3-9CC1-C246E96E1318}" name="Column7936"/>
    <tableColumn id="7937" xr3:uid="{A72FDFD5-9387-4D67-9740-08D3CE22377B}" name="Column7937"/>
    <tableColumn id="7938" xr3:uid="{94AA7F10-7F39-49D0-AF7E-E29E162AC5D5}" name="Column7938"/>
    <tableColumn id="7939" xr3:uid="{546A1A42-4187-42E1-9991-F6160781DAA4}" name="Column7939"/>
    <tableColumn id="7940" xr3:uid="{5D945616-7A48-4DB2-A0EF-EB0039EC3EBA}" name="Column7940"/>
    <tableColumn id="7941" xr3:uid="{9AF92279-1959-4B3D-82E6-54965A03F783}" name="Column7941"/>
    <tableColumn id="7942" xr3:uid="{45D87475-7730-4847-B278-AE3BEEBA9989}" name="Column7942"/>
    <tableColumn id="7943" xr3:uid="{704F3C43-5EE8-43F9-853F-7816A4C28FA2}" name="Column7943"/>
    <tableColumn id="7944" xr3:uid="{096FAE09-553B-49D5-8907-33E2241E530B}" name="Column7944"/>
    <tableColumn id="7945" xr3:uid="{38E87D9B-9C47-4C96-809D-F55F16BB5DAE}" name="Column7945"/>
    <tableColumn id="7946" xr3:uid="{87DFF49D-95A4-4C54-B8B8-19BCCF71A772}" name="Column7946"/>
    <tableColumn id="7947" xr3:uid="{8E52E114-7DE6-4245-92E3-1759A813121B}" name="Column7947"/>
    <tableColumn id="7948" xr3:uid="{29A7E913-715F-4300-8294-FCF6831800D1}" name="Column7948"/>
    <tableColumn id="7949" xr3:uid="{434D79D7-A3F1-4944-B64C-845063242C4E}" name="Column7949"/>
    <tableColumn id="7950" xr3:uid="{C33D0DF1-ABDF-4801-9FA9-85CAE8D94A37}" name="Column7950"/>
    <tableColumn id="7951" xr3:uid="{D60227C8-A664-44B9-A255-D87AF5EC9198}" name="Column7951"/>
    <tableColumn id="7952" xr3:uid="{1396C027-DAF2-4BC4-BBD6-90095767921D}" name="Column7952"/>
    <tableColumn id="7953" xr3:uid="{04CB4904-3BE5-44A2-9AD0-89530234E130}" name="Column7953"/>
    <tableColumn id="7954" xr3:uid="{10D784D2-E7BD-49EC-8544-E5565AE9980F}" name="Column7954"/>
    <tableColumn id="7955" xr3:uid="{3CA57039-6C05-4FD0-9878-9BD4A1C85A8A}" name="Column7955"/>
    <tableColumn id="7956" xr3:uid="{5CA5E77A-9D66-47F7-8D81-EFD6FFFC641C}" name="Column7956"/>
    <tableColumn id="7957" xr3:uid="{4306CADE-B1AA-4BC1-985C-A94B55476A87}" name="Column7957"/>
    <tableColumn id="7958" xr3:uid="{C160E739-E33B-497E-BC85-CE7506012FE5}" name="Column7958"/>
    <tableColumn id="7959" xr3:uid="{7CDC1673-B258-4509-B65D-6FDDE1C6E6CC}" name="Column7959"/>
    <tableColumn id="7960" xr3:uid="{648D325A-F3F1-4F85-A28B-1E273DACE046}" name="Column7960"/>
    <tableColumn id="7961" xr3:uid="{C70F4E8B-91FF-4183-A6CF-1CA405C564F0}" name="Column7961"/>
    <tableColumn id="7962" xr3:uid="{CDDD3BD8-66FB-42A6-AD1E-2F2579449FBD}" name="Column7962"/>
    <tableColumn id="7963" xr3:uid="{CF2C514C-D05A-49F0-8134-D10963932494}" name="Column7963"/>
    <tableColumn id="7964" xr3:uid="{62AE3447-37E4-452C-8965-BA4C71DA69FD}" name="Column7964"/>
    <tableColumn id="7965" xr3:uid="{FC919C1D-0F97-43A6-8CEC-9DB073C4FA4A}" name="Column7965"/>
    <tableColumn id="7966" xr3:uid="{91B272B8-57FA-4BC0-92FD-9A1008AB9B19}" name="Column7966"/>
    <tableColumn id="7967" xr3:uid="{7897993F-8EC8-4230-AB8A-B1008B7A9EA3}" name="Column7967"/>
    <tableColumn id="7968" xr3:uid="{6D1ABB9A-F32E-4B75-99DE-C0A05D75CC4D}" name="Column7968"/>
    <tableColumn id="7969" xr3:uid="{A101A9A7-87EF-4DE3-A768-1E67E97336A1}" name="Column7969"/>
    <tableColumn id="7970" xr3:uid="{D64ECCDD-0D34-4ECE-B029-28F55067B327}" name="Column7970"/>
    <tableColumn id="7971" xr3:uid="{1F1BD284-7F93-4D1D-B9D0-ADA810DE5305}" name="Column7971"/>
    <tableColumn id="7972" xr3:uid="{3A1A1F39-ED71-442E-9DDE-2AED5BFB3FFF}" name="Column7972"/>
    <tableColumn id="7973" xr3:uid="{D8396466-A354-47BD-AED9-FD02B43712FF}" name="Column7973"/>
    <tableColumn id="7974" xr3:uid="{D8BE1FBF-3099-4AD6-BB84-BA66BD4F87E9}" name="Column7974"/>
    <tableColumn id="7975" xr3:uid="{7B58C79E-7B4B-409F-851D-6D0810F7EE30}" name="Column7975"/>
    <tableColumn id="7976" xr3:uid="{BAEA7C74-70FA-4D61-8280-1333BA881B46}" name="Column7976"/>
    <tableColumn id="7977" xr3:uid="{3E9775F6-2C50-4B69-8D53-0B48C0DB4B58}" name="Column7977"/>
    <tableColumn id="7978" xr3:uid="{7C35E969-F27D-4004-A742-F6C00E85C3E6}" name="Column7978"/>
    <tableColumn id="7979" xr3:uid="{4BFFD999-BA55-4702-9F1D-A7E0CFC2216A}" name="Column7979"/>
    <tableColumn id="7980" xr3:uid="{6F2DEC7E-5E25-41B5-A03A-0C91ADB086EF}" name="Column7980"/>
    <tableColumn id="7981" xr3:uid="{2DB19C88-CF98-448C-B729-46F1E32A86C8}" name="Column7981"/>
    <tableColumn id="7982" xr3:uid="{E4B6549E-F5BA-4F1D-9903-21583EC2A16F}" name="Column7982"/>
    <tableColumn id="7983" xr3:uid="{F5C0CCAA-6C31-4D92-BA77-A9065F4D7AC9}" name="Column7983"/>
    <tableColumn id="7984" xr3:uid="{6CBA3AB6-1A6C-432F-BDC4-D103CBA02104}" name="Column7984"/>
    <tableColumn id="7985" xr3:uid="{A4806CB6-62F8-4AA9-933F-40BCA24D3E8C}" name="Column7985"/>
    <tableColumn id="7986" xr3:uid="{7FF86132-1438-472F-959E-B97886695B93}" name="Column7986"/>
    <tableColumn id="7987" xr3:uid="{8867C223-D36C-4BBD-8055-B4B5DE9893CE}" name="Column7987"/>
    <tableColumn id="7988" xr3:uid="{70BD3140-B91D-444E-98E8-C4BA95C24D72}" name="Column7988"/>
    <tableColumn id="7989" xr3:uid="{92E4EC0D-09C7-448A-8FB8-411750FF96C7}" name="Column7989"/>
    <tableColumn id="7990" xr3:uid="{18E446CA-7564-4C56-B851-64F50AE4EAA2}" name="Column7990"/>
    <tableColumn id="7991" xr3:uid="{0DA3FB20-8FDF-4D87-B847-9D87DEE39E7E}" name="Column7991"/>
    <tableColumn id="7992" xr3:uid="{0A3C7F2C-9A8A-473D-908B-351F0ADE70FA}" name="Column7992"/>
    <tableColumn id="7993" xr3:uid="{524A909C-0A5A-4F16-8E9D-E37D35377AB3}" name="Column7993"/>
    <tableColumn id="7994" xr3:uid="{C56C1665-0E77-4927-9A9A-F62681FF9E3A}" name="Column7994"/>
    <tableColumn id="7995" xr3:uid="{1DE4995D-7D8F-4AC5-9E72-CE0F5315B901}" name="Column7995"/>
    <tableColumn id="7996" xr3:uid="{59C0ACDB-14B0-4485-8DD7-390FD1677896}" name="Column7996"/>
    <tableColumn id="7997" xr3:uid="{5DC7CD26-21BA-4200-8F5A-61A6C2B462A6}" name="Column7997"/>
    <tableColumn id="7998" xr3:uid="{F99C846E-D809-4CDC-AB0E-1838AA87DB09}" name="Column7998"/>
    <tableColumn id="7999" xr3:uid="{12C26F10-99EC-4D98-B5BD-CB565C688798}" name="Column7999"/>
    <tableColumn id="8000" xr3:uid="{38BEC116-71D1-42E4-BCB6-452729ABDD28}" name="Column8000"/>
    <tableColumn id="8001" xr3:uid="{E95DAAFD-67A4-4EE0-840C-D99D1F378DDF}" name="Column8001"/>
    <tableColumn id="8002" xr3:uid="{92929F8C-4137-4E60-BFBB-3CB2C94BC647}" name="Column8002"/>
    <tableColumn id="8003" xr3:uid="{219EF8AA-E5D6-4FDA-8AD3-36B69CF2B3D6}" name="Column8003"/>
    <tableColumn id="8004" xr3:uid="{BD7BEDE6-726D-4E81-B926-236A26A6D4EA}" name="Column8004"/>
    <tableColumn id="8005" xr3:uid="{FA429DA6-03A4-4713-A737-28BBEC9DD1DA}" name="Column8005"/>
    <tableColumn id="8006" xr3:uid="{1339E99A-4315-4AC5-8DD0-8854428163DD}" name="Column8006"/>
    <tableColumn id="8007" xr3:uid="{AEAE452F-BFBA-4CCD-AAFF-6F329CCC83F2}" name="Column8007"/>
    <tableColumn id="8008" xr3:uid="{28CDC0EC-FC3D-40F3-8CDC-416724494EC1}" name="Column8008"/>
    <tableColumn id="8009" xr3:uid="{045DD89C-B252-4C32-94E0-EFCEF2BCE4D9}" name="Column8009"/>
    <tableColumn id="8010" xr3:uid="{CEF9D47E-203E-4E5D-81E6-3FFFDCBBF986}" name="Column8010"/>
    <tableColumn id="8011" xr3:uid="{DABD0224-8526-4313-8613-28F01E7E4D1E}" name="Column8011"/>
    <tableColumn id="8012" xr3:uid="{6E216E63-0855-4446-9411-DC796AE66308}" name="Column8012"/>
    <tableColumn id="8013" xr3:uid="{1D2A110F-ADF3-46B0-80DC-BB60FAE24A66}" name="Column8013"/>
    <tableColumn id="8014" xr3:uid="{E514996B-D53C-4DFA-ADE6-BFD675991623}" name="Column8014"/>
    <tableColumn id="8015" xr3:uid="{D711B2EB-628F-4AE1-B7D6-C7EE434E3647}" name="Column8015"/>
    <tableColumn id="8016" xr3:uid="{5AC697B6-9AD9-4542-BA1E-D4D45D963223}" name="Column8016"/>
    <tableColumn id="8017" xr3:uid="{E4A31A57-5973-41D5-81C1-81C2EA42B20F}" name="Column8017"/>
    <tableColumn id="8018" xr3:uid="{CB346056-8FB0-496F-99DE-731C69842B96}" name="Column8018"/>
    <tableColumn id="8019" xr3:uid="{957250AB-1151-41D6-90DC-A7392AFF5DE7}" name="Column8019"/>
    <tableColumn id="8020" xr3:uid="{5133E8DF-82D5-4DD0-96E2-F27E14C69B82}" name="Column8020"/>
    <tableColumn id="8021" xr3:uid="{77F11999-FF89-4716-8DA2-BB49F1E54A8B}" name="Column8021"/>
    <tableColumn id="8022" xr3:uid="{C1A3CAC3-D44C-4E05-85D5-718452718A60}" name="Column8022"/>
    <tableColumn id="8023" xr3:uid="{D8D8E08F-EFE2-4D90-9917-B861B3D7FBD2}" name="Column8023"/>
    <tableColumn id="8024" xr3:uid="{74304961-05B3-48B0-8EB0-1A12380EB767}" name="Column8024"/>
    <tableColumn id="8025" xr3:uid="{9F5510E8-AF0A-4F38-A88D-E2C59E624DD0}" name="Column8025"/>
    <tableColumn id="8026" xr3:uid="{8CF8E64D-A5EB-4222-8A16-3F03F9F9153F}" name="Column8026"/>
    <tableColumn id="8027" xr3:uid="{57CB12F6-91C0-4FC8-A4F5-4143964DB841}" name="Column8027"/>
    <tableColumn id="8028" xr3:uid="{0F9B7D75-B6AB-4FFE-BC6D-48DB2CE44CBC}" name="Column8028"/>
    <tableColumn id="8029" xr3:uid="{9E5E6809-FC8A-42A7-A58A-F97E79A1E38C}" name="Column8029"/>
    <tableColumn id="8030" xr3:uid="{90005A8F-1353-4889-916F-7BB01F37AA61}" name="Column8030"/>
    <tableColumn id="8031" xr3:uid="{4EB200FC-FEE6-4C87-9560-433C2063E0A5}" name="Column8031"/>
    <tableColumn id="8032" xr3:uid="{DC396C1E-2DA5-4F9A-AAD0-52BED8A71993}" name="Column8032"/>
    <tableColumn id="8033" xr3:uid="{C74261BE-0056-4B97-8BE1-8627A62F037D}" name="Column8033"/>
    <tableColumn id="8034" xr3:uid="{2D44A0AF-989B-4C24-9BD1-A0EAAB9A7497}" name="Column8034"/>
    <tableColumn id="8035" xr3:uid="{99E69BE7-8903-4188-AD85-41FF3FD9B333}" name="Column8035"/>
    <tableColumn id="8036" xr3:uid="{1ABABBEA-6D9D-4455-AE85-0BE71DEE05F8}" name="Column8036"/>
    <tableColumn id="8037" xr3:uid="{83EDAF7E-A9AF-46CC-B6CC-ECD3BE2AAFF1}" name="Column8037"/>
    <tableColumn id="8038" xr3:uid="{8BE3631D-B00B-4FC5-B24E-2F3D2AABD315}" name="Column8038"/>
    <tableColumn id="8039" xr3:uid="{BEE02938-8EEA-4BAE-9C46-8F406F22B963}" name="Column8039"/>
    <tableColumn id="8040" xr3:uid="{1F22AB12-2639-4E97-80E4-1512F1056923}" name="Column8040"/>
    <tableColumn id="8041" xr3:uid="{E8B106E2-898C-403F-A5A8-EC8150CEED91}" name="Column8041"/>
    <tableColumn id="8042" xr3:uid="{349DA76D-FC39-46C4-9B0D-B1BEF19EA6EF}" name="Column8042"/>
    <tableColumn id="8043" xr3:uid="{F676AB94-1890-4B7F-9784-9FED193A0678}" name="Column8043"/>
    <tableColumn id="8044" xr3:uid="{A77073AD-4C67-4D95-93D0-0EA21EF6E194}" name="Column8044"/>
    <tableColumn id="8045" xr3:uid="{E5158213-069B-48BE-A715-365DF7B142A2}" name="Column8045"/>
    <tableColumn id="8046" xr3:uid="{EF22BA15-CD4B-4335-B4AA-012E8B2C851D}" name="Column8046"/>
    <tableColumn id="8047" xr3:uid="{A6551B90-D7B9-4ABB-8450-4A1C24A863DD}" name="Column8047"/>
    <tableColumn id="8048" xr3:uid="{BA67B707-6963-4DAD-9ACF-1F7A2AB5D046}" name="Column8048"/>
    <tableColumn id="8049" xr3:uid="{998D2585-0E34-49AC-9A22-0A4CDEC5FBAE}" name="Column8049"/>
    <tableColumn id="8050" xr3:uid="{3E828C59-BADB-4947-B39E-8E0D909A4992}" name="Column8050"/>
    <tableColumn id="8051" xr3:uid="{2E6A2E00-ADDC-4A5C-B642-F83F1566B73B}" name="Column8051"/>
    <tableColumn id="8052" xr3:uid="{493B4BEE-F021-4EB4-9298-AF45A8171752}" name="Column8052"/>
    <tableColumn id="8053" xr3:uid="{F63F9388-D56E-4B81-A3C7-6550A1ABDA4A}" name="Column8053"/>
    <tableColumn id="8054" xr3:uid="{4C330DD1-9998-4C73-A61E-510E1D4A99EE}" name="Column8054"/>
    <tableColumn id="8055" xr3:uid="{FAB733AD-C54E-482E-9C77-15FF61CEB79F}" name="Column8055"/>
    <tableColumn id="8056" xr3:uid="{E1404423-20B8-4C45-A759-DFC8BFDFD0A8}" name="Column8056"/>
    <tableColumn id="8057" xr3:uid="{1D26D706-278C-4F7B-8248-2987C7C3C5AA}" name="Column8057"/>
    <tableColumn id="8058" xr3:uid="{77E8D852-4791-4710-BE41-02904950D73C}" name="Column8058"/>
    <tableColumn id="8059" xr3:uid="{60B84605-DF9C-4F9D-8C85-CE8CB0C0BCA5}" name="Column8059"/>
    <tableColumn id="8060" xr3:uid="{06C37A3A-3F1E-4F7E-82C0-7CA0D9FB32F9}" name="Column8060"/>
    <tableColumn id="8061" xr3:uid="{4452FF0F-E323-4FD9-853B-4E4EEEE23EF6}" name="Column8061"/>
    <tableColumn id="8062" xr3:uid="{1F6B933E-F571-4ADD-A93A-575D47E2B09C}" name="Column8062"/>
    <tableColumn id="8063" xr3:uid="{425B1F12-751C-41E6-81E8-0D43D8B7D91D}" name="Column8063"/>
    <tableColumn id="8064" xr3:uid="{9FE12A2C-FAE8-4974-98E1-B6D90CDE3F6A}" name="Column8064"/>
    <tableColumn id="8065" xr3:uid="{8FC944AC-D2A8-49BB-AC30-D397572869AF}" name="Column8065"/>
    <tableColumn id="8066" xr3:uid="{C4FA60BD-0769-4B00-9F88-5DFF33D2D4E0}" name="Column8066"/>
    <tableColumn id="8067" xr3:uid="{78C89753-CFF1-4830-AE03-4FA337626437}" name="Column8067"/>
    <tableColumn id="8068" xr3:uid="{DE661B70-2807-4406-9703-396C4E43262B}" name="Column8068"/>
    <tableColumn id="8069" xr3:uid="{680C270D-3C7A-41F7-9577-11516B21D94C}" name="Column8069"/>
    <tableColumn id="8070" xr3:uid="{D10D34C0-11E4-4F6E-84DD-92CED6C32A7D}" name="Column8070"/>
    <tableColumn id="8071" xr3:uid="{9E268826-26F5-47F2-B279-BDEB227A22E9}" name="Column8071"/>
    <tableColumn id="8072" xr3:uid="{AEEF8DD3-C2DF-4A80-A92F-3C186D6F7839}" name="Column8072"/>
    <tableColumn id="8073" xr3:uid="{70908C6B-0F06-4568-BD69-61F10775E2CC}" name="Column8073"/>
    <tableColumn id="8074" xr3:uid="{7D25C24D-07D3-421D-AE00-0E4F0F2E860F}" name="Column8074"/>
    <tableColumn id="8075" xr3:uid="{9CE3DD63-140E-413C-ADFA-44519E3579DF}" name="Column8075"/>
    <tableColumn id="8076" xr3:uid="{FF608C88-B571-4BCC-AE0A-748BC47A47FB}" name="Column8076"/>
    <tableColumn id="8077" xr3:uid="{9590E224-BF85-49C1-B99B-2AF9F752727D}" name="Column8077"/>
    <tableColumn id="8078" xr3:uid="{CB770636-CE0F-4B09-AAD0-FB7D4F9D847A}" name="Column8078"/>
    <tableColumn id="8079" xr3:uid="{84C04250-8F7F-4C2A-A0BD-17CD8BA30B09}" name="Column8079"/>
    <tableColumn id="8080" xr3:uid="{703C2004-0B67-4E41-BBD3-DBB30168F720}" name="Column8080"/>
    <tableColumn id="8081" xr3:uid="{4C07C0FE-280E-4D92-8E64-AF19330D8FBD}" name="Column8081"/>
    <tableColumn id="8082" xr3:uid="{A40BD8D6-316D-4332-B86E-5587E6818F65}" name="Column8082"/>
    <tableColumn id="8083" xr3:uid="{7C614A32-1A03-4490-985C-F6087641A6AE}" name="Column8083"/>
    <tableColumn id="8084" xr3:uid="{477B306A-C3DC-41D5-A5C3-F5AD07284D0D}" name="Column8084"/>
    <tableColumn id="8085" xr3:uid="{A9907A74-FAEC-4D19-9AE5-1CBFA1B70439}" name="Column8085"/>
    <tableColumn id="8086" xr3:uid="{E06431C9-FB3A-4594-808D-5F210F74B038}" name="Column8086"/>
    <tableColumn id="8087" xr3:uid="{8BD58926-92B4-419F-A7BA-EA8987669DF9}" name="Column8087"/>
    <tableColumn id="8088" xr3:uid="{CD89A94F-DD1A-4DBE-984E-80D4BEF4A1A1}" name="Column8088"/>
    <tableColumn id="8089" xr3:uid="{B14333B9-4146-4FAF-8920-873A9DE30DD5}" name="Column8089"/>
    <tableColumn id="8090" xr3:uid="{EDD3C194-760E-4F58-869C-948E7CD55AE1}" name="Column8090"/>
    <tableColumn id="8091" xr3:uid="{7EC2D086-8887-4AC7-8772-0E6DC8D3F80B}" name="Column8091"/>
    <tableColumn id="8092" xr3:uid="{88BA4C67-EA75-4780-B295-407BA9405A84}" name="Column8092"/>
    <tableColumn id="8093" xr3:uid="{526A9CE1-221C-4D1E-8497-AC7249C422E5}" name="Column8093"/>
    <tableColumn id="8094" xr3:uid="{93BAF873-5B59-4954-9F73-6CDAE69399AC}" name="Column8094"/>
    <tableColumn id="8095" xr3:uid="{02683D41-4BB7-4F89-82E4-0EB5FE67E17F}" name="Column8095"/>
    <tableColumn id="8096" xr3:uid="{EA6DEC56-DE2D-4E3C-BC10-4B7EF012F85F}" name="Column8096"/>
    <tableColumn id="8097" xr3:uid="{1FFA0985-A43F-489F-A76E-EC61C3918811}" name="Column8097"/>
    <tableColumn id="8098" xr3:uid="{AEF9B285-BC26-4C50-BE1C-D647C582FF82}" name="Column8098"/>
    <tableColumn id="8099" xr3:uid="{094A34DE-B2E2-44AD-918E-2A125483395D}" name="Column8099"/>
    <tableColumn id="8100" xr3:uid="{4F184199-8E0B-40FC-BDBC-9EBCAC393E50}" name="Column8100"/>
    <tableColumn id="8101" xr3:uid="{21D9311B-82D5-417C-BA99-11FB8157C502}" name="Column8101"/>
    <tableColumn id="8102" xr3:uid="{E201BDF4-56C3-43DF-9FD7-471284700C04}" name="Column8102"/>
    <tableColumn id="8103" xr3:uid="{80D2DD50-FE51-4B47-8136-5C40E3930006}" name="Column8103"/>
    <tableColumn id="8104" xr3:uid="{5FA90273-CD91-4BD5-9E7E-9349E281DB31}" name="Column8104"/>
    <tableColumn id="8105" xr3:uid="{495313D2-6DE7-4450-8480-F0D021FCE7C5}" name="Column8105"/>
    <tableColumn id="8106" xr3:uid="{CFCAFF50-BEF7-4C0B-98CD-A05BB0BF6A6C}" name="Column8106"/>
    <tableColumn id="8107" xr3:uid="{FB513C92-12BC-4144-A2F0-A4D8D3B91CE2}" name="Column8107"/>
    <tableColumn id="8108" xr3:uid="{4F52F14E-5DEB-45DF-B227-06A79155978A}" name="Column8108"/>
    <tableColumn id="8109" xr3:uid="{E2BE0110-E035-4EB7-8A03-BD080740D743}" name="Column8109"/>
    <tableColumn id="8110" xr3:uid="{654B760F-3704-46A5-BC0A-93B8B36AEFFF}" name="Column8110"/>
    <tableColumn id="8111" xr3:uid="{307CD62C-57BA-443C-88BB-975A92EBF278}" name="Column8111"/>
    <tableColumn id="8112" xr3:uid="{BF37B66F-FAC9-4345-8D2E-5BAEA9E75127}" name="Column8112"/>
    <tableColumn id="8113" xr3:uid="{F571980E-160D-416A-8EEB-80B957754566}" name="Column8113"/>
    <tableColumn id="8114" xr3:uid="{C1A0ED66-E185-4B14-A6B6-ACDF8D4F012C}" name="Column8114"/>
    <tableColumn id="8115" xr3:uid="{38D801F4-1A60-446D-9F22-1DCC5E8EF0F4}" name="Column8115"/>
    <tableColumn id="8116" xr3:uid="{474E99D8-5BCC-4554-93CD-84C06728A39D}" name="Column8116"/>
    <tableColumn id="8117" xr3:uid="{50803AB3-AD1D-45D1-99BD-0AA610335A37}" name="Column8117"/>
    <tableColumn id="8118" xr3:uid="{4190CFCD-F371-41A2-A7B4-7E758DFBDBA7}" name="Column8118"/>
    <tableColumn id="8119" xr3:uid="{FD69727A-FEEF-4267-876B-46F05CEB71EE}" name="Column8119"/>
    <tableColumn id="8120" xr3:uid="{677BE309-999A-4E9F-91A1-E033FD2D23F5}" name="Column8120"/>
    <tableColumn id="8121" xr3:uid="{24B9DF96-B64F-4DC1-BB5C-E034564483C5}" name="Column8121"/>
    <tableColumn id="8122" xr3:uid="{FD34271F-33C2-4AD3-8468-59216138D3D3}" name="Column8122"/>
    <tableColumn id="8123" xr3:uid="{3DF59413-591A-49DF-9460-4EDF4401E830}" name="Column8123"/>
    <tableColumn id="8124" xr3:uid="{5C3F6780-50E0-49E0-BBDC-6CA1A9ED0F02}" name="Column8124"/>
    <tableColumn id="8125" xr3:uid="{75AB266E-B60B-439D-8D1B-E8FAD4338954}" name="Column8125"/>
    <tableColumn id="8126" xr3:uid="{2E390863-FA61-4EFF-9D58-5B3B3E34B1D8}" name="Column8126"/>
    <tableColumn id="8127" xr3:uid="{428BCF2D-CB92-483D-8BDC-943F840AFEF1}" name="Column8127"/>
    <tableColumn id="8128" xr3:uid="{2159DE8D-0751-4827-A5A1-1FBC445980BE}" name="Column8128"/>
    <tableColumn id="8129" xr3:uid="{0DDC2BA5-C8F8-48C8-8729-09C1A0DF0038}" name="Column8129"/>
    <tableColumn id="8130" xr3:uid="{BA8BDB95-4BA6-421F-8557-FD4D683403F0}" name="Column8130"/>
    <tableColumn id="8131" xr3:uid="{28CE2798-E54D-4C85-AE58-64364874CE3A}" name="Column8131"/>
    <tableColumn id="8132" xr3:uid="{A6A2BE06-CF69-467C-B21C-5761A02056F1}" name="Column8132"/>
    <tableColumn id="8133" xr3:uid="{A3587A08-FE6B-4B7F-BB46-C7249271FF32}" name="Column8133"/>
    <tableColumn id="8134" xr3:uid="{52EA0A57-63EB-42A4-83A3-D4052F886C9A}" name="Column8134"/>
    <tableColumn id="8135" xr3:uid="{2DB4967D-D595-49D6-887B-560829687C82}" name="Column8135"/>
    <tableColumn id="8136" xr3:uid="{B26BAB42-E371-414F-B992-DD2F3C4F61F5}" name="Column8136"/>
    <tableColumn id="8137" xr3:uid="{B3B88DEB-C09A-418B-9347-89C82D39C298}" name="Column8137"/>
    <tableColumn id="8138" xr3:uid="{9A9441DE-6B35-425B-9620-FDFB54E16C88}" name="Column8138"/>
    <tableColumn id="8139" xr3:uid="{44AD2A3A-42DA-430F-9E91-C853BF58FF26}" name="Column8139"/>
    <tableColumn id="8140" xr3:uid="{CD96FF72-CE85-4A05-BD1A-4366BFBFBDCA}" name="Column8140"/>
    <tableColumn id="8141" xr3:uid="{015A9E34-1A91-4635-BD6E-60CB510BB900}" name="Column8141"/>
    <tableColumn id="8142" xr3:uid="{487E92F1-E36E-48F6-A3C8-D3DD3BB32C6A}" name="Column8142"/>
    <tableColumn id="8143" xr3:uid="{1C650EFB-BF40-4629-9401-51685094950E}" name="Column8143"/>
    <tableColumn id="8144" xr3:uid="{75D152FC-1F31-405B-8F6B-8FD15840BCB4}" name="Column8144"/>
    <tableColumn id="8145" xr3:uid="{BF60C34B-0AF2-4BEA-AE1C-8DD66BCDD97E}" name="Column8145"/>
    <tableColumn id="8146" xr3:uid="{212BFD83-B015-470D-874F-1A048FAF1F65}" name="Column8146"/>
    <tableColumn id="8147" xr3:uid="{7F21C081-6F99-4090-9D33-06875D42F3DE}" name="Column8147"/>
    <tableColumn id="8148" xr3:uid="{A8AE4628-B15A-487E-9F3B-005AB4D1A730}" name="Column8148"/>
    <tableColumn id="8149" xr3:uid="{65117830-C5A6-4585-ABAB-77E0B615A263}" name="Column8149"/>
    <tableColumn id="8150" xr3:uid="{46E02195-EE7C-4C7A-8EEB-B85E6AE27D9D}" name="Column8150"/>
    <tableColumn id="8151" xr3:uid="{D2170218-F0A0-4D5A-B703-D4900541EF5C}" name="Column8151"/>
    <tableColumn id="8152" xr3:uid="{EDA20290-7D08-4EFA-A71D-ADE6C77B0EA3}" name="Column8152"/>
    <tableColumn id="8153" xr3:uid="{4E44D032-A987-4F86-999A-BEDD9E13836A}" name="Column8153"/>
    <tableColumn id="8154" xr3:uid="{9F83AEA2-DE12-4FA2-860C-EC07DD4C1746}" name="Column8154"/>
    <tableColumn id="8155" xr3:uid="{DD0B6663-E120-4B4E-988E-A250B58717A9}" name="Column8155"/>
    <tableColumn id="8156" xr3:uid="{1E0FF0BB-0A78-4394-B05C-D271AE857420}" name="Column8156"/>
    <tableColumn id="8157" xr3:uid="{9402AC1D-A25F-4038-8E44-D5D11579FC63}" name="Column8157"/>
    <tableColumn id="8158" xr3:uid="{AF896E79-6BD3-4851-A3B8-51C98233DFF9}" name="Column8158"/>
    <tableColumn id="8159" xr3:uid="{E16EC756-0130-481C-A96B-1FEA4E8B04F2}" name="Column8159"/>
    <tableColumn id="8160" xr3:uid="{F073E27F-9999-42D1-99D7-7B18FFE68F8B}" name="Column8160"/>
    <tableColumn id="8161" xr3:uid="{4E32B945-2175-44C9-BD66-9935C383FDC4}" name="Column8161"/>
    <tableColumn id="8162" xr3:uid="{1FA92D44-069A-4611-90A1-9B5C4E063834}" name="Column8162"/>
    <tableColumn id="8163" xr3:uid="{E073E7DF-6EEF-421F-B9A7-AFF2D7FDC2AC}" name="Column8163"/>
    <tableColumn id="8164" xr3:uid="{C818C0AF-80E4-4CDC-B062-4F486AFA1CB3}" name="Column8164"/>
    <tableColumn id="8165" xr3:uid="{5B11E3C7-2BA2-453F-B854-617627DB348C}" name="Column8165"/>
    <tableColumn id="8166" xr3:uid="{723AD86E-F914-4165-A001-25AD2BFBEACD}" name="Column8166"/>
    <tableColumn id="8167" xr3:uid="{FDF23BF0-78BE-4DB9-8E0C-31DC8AA83D5D}" name="Column8167"/>
    <tableColumn id="8168" xr3:uid="{318EEC58-BFBA-4328-B885-3E65E0B163CE}" name="Column8168"/>
    <tableColumn id="8169" xr3:uid="{CC11526B-B192-48C0-8D47-D92818417AF8}" name="Column8169"/>
    <tableColumn id="8170" xr3:uid="{5D5A8A16-CF28-41B5-9F59-ABC1BD02B241}" name="Column8170"/>
    <tableColumn id="8171" xr3:uid="{3E792BB0-29B9-4DC3-A584-001574CBCF4F}" name="Column8171"/>
    <tableColumn id="8172" xr3:uid="{2E9C503D-B1BA-41B0-ABA4-4B8738531AB6}" name="Column8172"/>
    <tableColumn id="8173" xr3:uid="{12D67276-C8A1-4537-A3DC-D38A911AF44B}" name="Column8173"/>
    <tableColumn id="8174" xr3:uid="{FE1FEDF3-E881-46BE-99CB-B962995F0D56}" name="Column8174"/>
    <tableColumn id="8175" xr3:uid="{84D343F2-7C7A-498F-B932-903CDB712BAA}" name="Column8175"/>
    <tableColumn id="8176" xr3:uid="{46EB4E96-18EA-4E94-A043-D6B90A840E10}" name="Column8176"/>
    <tableColumn id="8177" xr3:uid="{D782006A-CA73-4FD8-A931-E4C83012000D}" name="Column8177"/>
    <tableColumn id="8178" xr3:uid="{DC87D37A-C32F-44FC-BF3F-6A79FCB0CD59}" name="Column8178"/>
    <tableColumn id="8179" xr3:uid="{524BE09E-4EB0-442E-AC85-FFFC682598A1}" name="Column8179"/>
    <tableColumn id="8180" xr3:uid="{39A7384A-EA22-4FFD-BC00-EE520C17F4B7}" name="Column8180"/>
    <tableColumn id="8181" xr3:uid="{B607260B-2B36-42E7-A4A4-986ECBAF8EE9}" name="Column8181"/>
    <tableColumn id="8182" xr3:uid="{F2CF378B-B449-499C-9B4F-14C5D3B578E0}" name="Column8182"/>
    <tableColumn id="8183" xr3:uid="{555B42E4-9DCB-4BA7-BEE8-7E10F16ADEFD}" name="Column8183"/>
    <tableColumn id="8184" xr3:uid="{F6EA5E88-83B5-4C99-BE12-91EF8CF713BA}" name="Column8184"/>
    <tableColumn id="8185" xr3:uid="{A9BAFDB8-DDD4-4A8B-B35A-E54C33F9E652}" name="Column8185"/>
    <tableColumn id="8186" xr3:uid="{1DF48ED3-2090-4EF6-99E1-82742353828E}" name="Column8186"/>
    <tableColumn id="8187" xr3:uid="{59FC6A7A-CD95-41F7-9505-F567BFF2DEE6}" name="Column8187"/>
    <tableColumn id="8188" xr3:uid="{88B1BF0D-73F0-4CCD-9025-86BCE2FE50A1}" name="Column8188"/>
    <tableColumn id="8189" xr3:uid="{67E23801-CA5A-45AD-8B84-F5D7B5D556A0}" name="Column8189"/>
    <tableColumn id="8190" xr3:uid="{59EBD328-E3DE-4422-87AC-13FD47085C5E}" name="Column8190"/>
    <tableColumn id="8191" xr3:uid="{C65FA380-09AE-4104-A61F-1B0A737C3BA7}" name="Column8191"/>
    <tableColumn id="8192" xr3:uid="{1E6F77B6-984C-4919-A1EA-3F3EDC51FC17}" name="Column8192"/>
    <tableColumn id="8193" xr3:uid="{5972096E-685A-4889-8FB8-2146CA10CA62}" name="Column8193"/>
    <tableColumn id="8194" xr3:uid="{74996DCB-0685-4217-BB59-8AFB874C4348}" name="Column8194"/>
    <tableColumn id="8195" xr3:uid="{42023459-4D20-4EC7-B36F-0AF3EE86A2F3}" name="Column8195"/>
    <tableColumn id="8196" xr3:uid="{69F74546-1FAD-4561-B69D-BBA9575A02B3}" name="Column8196"/>
    <tableColumn id="8197" xr3:uid="{5AC94C3B-B8AA-4DEB-A09C-CC37877F9D71}" name="Column8197"/>
    <tableColumn id="8198" xr3:uid="{F3F2A5CA-BC8C-4B7A-83A4-D0C5484E7ABA}" name="Column8198"/>
    <tableColumn id="8199" xr3:uid="{16ED3B40-4BC0-44A1-BC58-7D3133E20EE8}" name="Column8199"/>
    <tableColumn id="8200" xr3:uid="{750F93AD-95DE-4FDE-99F1-C9261D0BC309}" name="Column8200"/>
    <tableColumn id="8201" xr3:uid="{DAF618EC-56AF-4558-AC3C-1422B31165CF}" name="Column8201"/>
    <tableColumn id="8202" xr3:uid="{D5AD10F6-066F-4319-99B0-C9836FC3C971}" name="Column8202"/>
    <tableColumn id="8203" xr3:uid="{2F5C7C7F-0F29-438C-AA93-E152E6601466}" name="Column8203"/>
    <tableColumn id="8204" xr3:uid="{7A431D30-13C2-4A65-B154-9922D5A099F7}" name="Column8204"/>
    <tableColumn id="8205" xr3:uid="{AF4E0EF7-7352-4773-8D0B-CBF45B69AE8A}" name="Column8205"/>
    <tableColumn id="8206" xr3:uid="{36EF61EA-215E-420F-AB69-7506856D3BAC}" name="Column8206"/>
    <tableColumn id="8207" xr3:uid="{E8BED991-2F66-4D98-B395-91542C48AE6A}" name="Column8207"/>
    <tableColumn id="8208" xr3:uid="{D9D1669B-DA55-4813-9112-411D23904C87}" name="Column8208"/>
    <tableColumn id="8209" xr3:uid="{F6C9DC28-1894-4625-A5B2-53D178B49F99}" name="Column8209"/>
    <tableColumn id="8210" xr3:uid="{57E1E794-217F-4166-BB66-F8FE3F9545ED}" name="Column8210"/>
    <tableColumn id="8211" xr3:uid="{268233DD-615F-4CBA-8BD7-4120AD0776B4}" name="Column8211"/>
    <tableColumn id="8212" xr3:uid="{F9FC7405-E446-4B4F-8139-27C65900D83C}" name="Column8212"/>
    <tableColumn id="8213" xr3:uid="{7264CBC8-1217-48FD-A6B4-58BBF09D9B43}" name="Column8213"/>
    <tableColumn id="8214" xr3:uid="{70AAF1DB-1628-4BB6-8E4B-31D89452EBFE}" name="Column8214"/>
    <tableColumn id="8215" xr3:uid="{1C7565D8-98D0-46D2-B05C-78CDFB3BBBC4}" name="Column8215"/>
    <tableColumn id="8216" xr3:uid="{F9EBFDA8-E18D-4083-87FD-79AE93D78E86}" name="Column8216"/>
    <tableColumn id="8217" xr3:uid="{9D4480F9-280A-4329-98C4-D294D671DA21}" name="Column8217"/>
    <tableColumn id="8218" xr3:uid="{070565DD-61A9-48FB-A292-D098E29559A1}" name="Column8218"/>
    <tableColumn id="8219" xr3:uid="{9996CC3F-A36C-4210-8A5B-F5052ED5BC57}" name="Column8219"/>
    <tableColumn id="8220" xr3:uid="{37148584-0CB7-4265-9D84-D92507716712}" name="Column8220"/>
    <tableColumn id="8221" xr3:uid="{923341AE-7AD4-47E1-ABAD-F589C24B6204}" name="Column8221"/>
    <tableColumn id="8222" xr3:uid="{035577A7-4E93-448A-A7EE-D8EC5D00BBCD}" name="Column8222"/>
    <tableColumn id="8223" xr3:uid="{D59F7320-22D9-4E75-B8B1-B38FC9A82E15}" name="Column8223"/>
    <tableColumn id="8224" xr3:uid="{16343A9D-6F66-4E63-B2F8-899F9AE8D5D7}" name="Column8224"/>
    <tableColumn id="8225" xr3:uid="{E63B2B64-97AD-4C04-A385-7FE41D2F03C1}" name="Column8225"/>
    <tableColumn id="8226" xr3:uid="{A8DBF773-1A1A-498A-AF66-C60E4526974D}" name="Column8226"/>
    <tableColumn id="8227" xr3:uid="{B2D48945-9DB6-4C51-892A-7DC0F5D72CD1}" name="Column8227"/>
    <tableColumn id="8228" xr3:uid="{20572ADF-6CFA-47F6-B2B6-729F5BCCE3EA}" name="Column8228"/>
    <tableColumn id="8229" xr3:uid="{73159059-8454-49B5-978F-C835E1A177A1}" name="Column8229"/>
    <tableColumn id="8230" xr3:uid="{098B20B8-9E18-4BDD-A76B-BE8C8A8C2C24}" name="Column8230"/>
    <tableColumn id="8231" xr3:uid="{B023BF1A-E8A2-4DFB-BD43-C855B1E9FF57}" name="Column8231"/>
    <tableColumn id="8232" xr3:uid="{D2C00ECA-4899-42F7-AEFC-80183FF87F03}" name="Column8232"/>
    <tableColumn id="8233" xr3:uid="{1205F14C-BD1B-4E18-B100-726D6C87BC32}" name="Column8233"/>
    <tableColumn id="8234" xr3:uid="{876BCE0B-54DD-48D1-AEBA-5018717D1720}" name="Column8234"/>
    <tableColumn id="8235" xr3:uid="{E92C695E-64CF-4D8C-8E9B-35F574403441}" name="Column8235"/>
    <tableColumn id="8236" xr3:uid="{26B9B174-56C4-4E74-961E-096F5A886098}" name="Column8236"/>
    <tableColumn id="8237" xr3:uid="{FB5A03CA-957C-454F-8838-8CEB206A3896}" name="Column8237"/>
    <tableColumn id="8238" xr3:uid="{0AADDB10-593E-4F2F-A06D-0200F100F620}" name="Column8238"/>
    <tableColumn id="8239" xr3:uid="{1DDC2332-9E3A-4829-B342-D6F28AA87875}" name="Column8239"/>
    <tableColumn id="8240" xr3:uid="{F41F290C-479D-4545-A08E-27A9DC80AAC1}" name="Column8240"/>
    <tableColumn id="8241" xr3:uid="{9D595908-8AEA-4CA5-AA9D-AEA15D77A0B9}" name="Column8241"/>
    <tableColumn id="8242" xr3:uid="{F1C7A5AB-FB80-4CC1-9700-5001A7F83FF7}" name="Column8242"/>
    <tableColumn id="8243" xr3:uid="{F4E92AD3-0D80-44AC-8AC4-5F71817A47B2}" name="Column8243"/>
    <tableColumn id="8244" xr3:uid="{EC1DD3B4-F5D2-42FE-BFAA-4F1DC20D40F3}" name="Column8244"/>
    <tableColumn id="8245" xr3:uid="{B1089AF6-DDF7-4F6F-B767-222087D49871}" name="Column8245"/>
    <tableColumn id="8246" xr3:uid="{49359912-A8C4-454C-AA7B-EF37CB16A3CB}" name="Column8246"/>
    <tableColumn id="8247" xr3:uid="{EE91659B-0B2B-4C00-8B29-77EA01220A05}" name="Column8247"/>
    <tableColumn id="8248" xr3:uid="{603E183F-28F8-4831-977D-156C05748140}" name="Column8248"/>
    <tableColumn id="8249" xr3:uid="{31007993-F602-49FA-9BAA-A718E62ECAD2}" name="Column8249"/>
    <tableColumn id="8250" xr3:uid="{3B6449C3-6712-4F4A-B9AA-B7A96FF30525}" name="Column8250"/>
    <tableColumn id="8251" xr3:uid="{0895EC17-B089-4DE6-9C52-A45784727E1F}" name="Column8251"/>
    <tableColumn id="8252" xr3:uid="{72BC539D-0AEF-4E15-9222-45EC666D0664}" name="Column8252"/>
    <tableColumn id="8253" xr3:uid="{AB76514E-F65E-44A5-AB6F-F8E748DA6C2B}" name="Column8253"/>
    <tableColumn id="8254" xr3:uid="{14178362-68FE-4BD7-A135-5CD6277C73DC}" name="Column8254"/>
    <tableColumn id="8255" xr3:uid="{E96EFDB9-4A9A-4660-A2E2-BE428A652D50}" name="Column8255"/>
    <tableColumn id="8256" xr3:uid="{E6AFA62E-FFC5-4A09-8957-CD44405DF827}" name="Column8256"/>
    <tableColumn id="8257" xr3:uid="{03EFC565-7AFA-498A-AEE0-ABF34697887B}" name="Column8257"/>
    <tableColumn id="8258" xr3:uid="{60C83213-DD6C-4060-AB4C-647CED087AD2}" name="Column8258"/>
    <tableColumn id="8259" xr3:uid="{D88948BA-1BA8-483F-855C-A8D1C35E779E}" name="Column8259"/>
    <tableColumn id="8260" xr3:uid="{74C0F5D0-2289-4133-B580-2EEA48139EB4}" name="Column8260"/>
    <tableColumn id="8261" xr3:uid="{2B5026AA-1CD6-42A9-92D3-4EFBA992C52D}" name="Column8261"/>
    <tableColumn id="8262" xr3:uid="{BDEF7BE0-DED6-4EAF-8749-E26C1EDE816E}" name="Column8262"/>
    <tableColumn id="8263" xr3:uid="{47EBD437-3FB3-40E3-97B2-90C65D60294C}" name="Column8263"/>
    <tableColumn id="8264" xr3:uid="{D628F8E9-6866-4E99-A624-0C4451DDFEC3}" name="Column8264"/>
    <tableColumn id="8265" xr3:uid="{E46022CA-E97D-4736-9F5A-703755073C78}" name="Column8265"/>
    <tableColumn id="8266" xr3:uid="{9732C4AD-D057-4D90-AA4E-1AFB7C8D2402}" name="Column8266"/>
    <tableColumn id="8267" xr3:uid="{81743E55-6C6F-40A9-948B-343CA3D212BD}" name="Column8267"/>
    <tableColumn id="8268" xr3:uid="{D539FB00-47EC-436C-87E8-53DCA1846A56}" name="Column8268"/>
    <tableColumn id="8269" xr3:uid="{9A56DBA8-DECC-4FEF-8D5E-A8F037760864}" name="Column8269"/>
    <tableColumn id="8270" xr3:uid="{89E367E4-8DBC-4097-8A27-54A9D7BAAC08}" name="Column8270"/>
    <tableColumn id="8271" xr3:uid="{9FE297A3-54CA-4069-9F27-66484EF8FB8D}" name="Column8271"/>
    <tableColumn id="8272" xr3:uid="{3B2711F1-D08C-443C-AD7E-F5B4322101CB}" name="Column8272"/>
    <tableColumn id="8273" xr3:uid="{0BE70FC8-A3E0-4E06-BD7B-8AB5D2CF88CA}" name="Column8273"/>
    <tableColumn id="8274" xr3:uid="{BD84EF1A-7B85-4B80-B9B9-7F03EAC04516}" name="Column8274"/>
    <tableColumn id="8275" xr3:uid="{B62D5C49-E11D-460C-9672-427C87EC327D}" name="Column8275"/>
    <tableColumn id="8276" xr3:uid="{1A5C3388-D653-4727-9873-C30943672902}" name="Column8276"/>
    <tableColumn id="8277" xr3:uid="{00A6277C-D9A2-4A38-AF0F-8334E63F345D}" name="Column8277"/>
    <tableColumn id="8278" xr3:uid="{A6816B78-91C1-4AC3-BB43-2ACF30856A03}" name="Column8278"/>
    <tableColumn id="8279" xr3:uid="{DED99F61-5E2B-4B8A-A4A2-1F41DED050F8}" name="Column8279"/>
    <tableColumn id="8280" xr3:uid="{4BA1A486-1C0F-4A87-AEC3-48AA26110BA1}" name="Column8280"/>
    <tableColumn id="8281" xr3:uid="{7952354A-0EB2-4C52-BA54-F4DD2127F0F3}" name="Column8281"/>
    <tableColumn id="8282" xr3:uid="{08E08C8B-0D3E-4A59-9EE3-4A0E2683DD8D}" name="Column8282"/>
    <tableColumn id="8283" xr3:uid="{5EF3447C-1E32-4E2E-ADAE-5F897A3B1AB9}" name="Column8283"/>
    <tableColumn id="8284" xr3:uid="{EFBAA033-12B1-4F5E-B45A-F51F50C65DA6}" name="Column8284"/>
    <tableColumn id="8285" xr3:uid="{9C2489AB-5C14-4639-BA9D-0B26F5DA9E32}" name="Column8285"/>
    <tableColumn id="8286" xr3:uid="{DCFD3EC8-6474-48E6-ACD7-3C30D4945A6C}" name="Column8286"/>
    <tableColumn id="8287" xr3:uid="{10616F3C-38AF-4188-9CFB-7F28C81DE1C4}" name="Column8287"/>
    <tableColumn id="8288" xr3:uid="{680D819F-58A4-4579-AC23-4D7F8EE75DE4}" name="Column8288"/>
    <tableColumn id="8289" xr3:uid="{72BA03CE-BCA0-4CA9-AE36-BDF6625E61A6}" name="Column8289"/>
    <tableColumn id="8290" xr3:uid="{F0617928-E221-49CD-B944-B45163B26A4B}" name="Column8290"/>
    <tableColumn id="8291" xr3:uid="{066D1BA7-3C8A-4AB4-AE90-5BF69E629046}" name="Column8291"/>
    <tableColumn id="8292" xr3:uid="{9653BE16-0320-409D-A53C-B56465083A9E}" name="Column8292"/>
    <tableColumn id="8293" xr3:uid="{AEC2430D-896F-4E44-A1A1-A25EF0A8D8A9}" name="Column8293"/>
    <tableColumn id="8294" xr3:uid="{7D1296BA-7BE8-4687-85E2-B5A7FFC16C70}" name="Column8294"/>
    <tableColumn id="8295" xr3:uid="{A4A5A0FB-ABBB-477B-83FF-FB941BB9CD35}" name="Column8295"/>
    <tableColumn id="8296" xr3:uid="{C172B656-F07F-4A0D-AF35-A2DDB17D7D69}" name="Column8296"/>
    <tableColumn id="8297" xr3:uid="{ABC72D6D-8378-4273-97B9-F9E1EAEFDFAF}" name="Column8297"/>
    <tableColumn id="8298" xr3:uid="{596EEE60-69AB-4C53-8820-AF690823A5E1}" name="Column8298"/>
    <tableColumn id="8299" xr3:uid="{E6DB366F-86A6-4CBF-8B4B-6CD2153D35A4}" name="Column8299"/>
    <tableColumn id="8300" xr3:uid="{DD54C17A-2445-4F2E-9137-0E428ABC5418}" name="Column8300"/>
    <tableColumn id="8301" xr3:uid="{0F8BB19F-136E-4F6C-8474-E5C61BE78E2F}" name="Column8301"/>
    <tableColumn id="8302" xr3:uid="{9241D8F4-8C74-4F8D-A993-B31E298EB207}" name="Column8302"/>
    <tableColumn id="8303" xr3:uid="{8B2066D0-1EBC-4B51-A941-C09B249442E4}" name="Column8303"/>
    <tableColumn id="8304" xr3:uid="{4609C542-8626-4AB1-B7DC-5EA6780CE415}" name="Column8304"/>
    <tableColumn id="8305" xr3:uid="{457C9844-0606-4F42-ACB0-2F06FFD72657}" name="Column8305"/>
    <tableColumn id="8306" xr3:uid="{4DFF7E6D-0C24-4F0F-8AA4-553F91232D7D}" name="Column8306"/>
    <tableColumn id="8307" xr3:uid="{64641A01-3BF7-4819-8962-394181BF4A7B}" name="Column8307"/>
    <tableColumn id="8308" xr3:uid="{56195668-7248-4662-9D0B-11C8FA8372B9}" name="Column8308"/>
    <tableColumn id="8309" xr3:uid="{CEC18423-37CC-4BF5-A70E-0E7042BCFA80}" name="Column8309"/>
    <tableColumn id="8310" xr3:uid="{DCC8F8E4-ECC2-4065-9768-6B1114EC4523}" name="Column8310"/>
    <tableColumn id="8311" xr3:uid="{3161B183-4D23-4E55-8155-D0AAC529F1EC}" name="Column8311"/>
    <tableColumn id="8312" xr3:uid="{4137BFD1-6660-4E82-8EF9-738892226AA4}" name="Column8312"/>
    <tableColumn id="8313" xr3:uid="{2F6CCC1C-FA3D-48CA-BC6D-AC2BE18AD474}" name="Column8313"/>
    <tableColumn id="8314" xr3:uid="{678A5242-B850-4D56-8B9B-931E99642989}" name="Column8314"/>
    <tableColumn id="8315" xr3:uid="{C445832D-3BC1-4C5A-8E32-E987EFFCDF5F}" name="Column8315"/>
    <tableColumn id="8316" xr3:uid="{4EF28EC1-809B-4544-8387-B9E5961DD6B7}" name="Column8316"/>
    <tableColumn id="8317" xr3:uid="{03A074CC-EDE4-4E41-B109-EA2B79BE745A}" name="Column8317"/>
    <tableColumn id="8318" xr3:uid="{4780DE3E-91B5-4CC3-BB79-8300DD6AF8F7}" name="Column8318"/>
    <tableColumn id="8319" xr3:uid="{0DF4D79E-991D-41A8-9125-2F374DD1C72B}" name="Column8319"/>
    <tableColumn id="8320" xr3:uid="{7C4843B8-DAE7-48CC-BBB8-8A0627B94BF1}" name="Column8320"/>
    <tableColumn id="8321" xr3:uid="{029484C5-81D3-4709-942F-FC72EE851EC7}" name="Column8321"/>
    <tableColumn id="8322" xr3:uid="{FB3C4BB9-668A-41AD-BCF3-E1763880F53F}" name="Column8322"/>
    <tableColumn id="8323" xr3:uid="{F6E03F20-17E6-4DA4-9688-1135D1560B92}" name="Column8323"/>
    <tableColumn id="8324" xr3:uid="{622FFF7A-C0E5-45FF-908F-CFB1FE26B04A}" name="Column8324"/>
    <tableColumn id="8325" xr3:uid="{5151342E-9F97-41E6-B7C2-433E95929229}" name="Column8325"/>
    <tableColumn id="8326" xr3:uid="{B44532B6-07B4-4279-AC62-86AB06B921D8}" name="Column8326"/>
    <tableColumn id="8327" xr3:uid="{D4EA47BB-9D93-48E1-932B-C54085DF22AC}" name="Column8327"/>
    <tableColumn id="8328" xr3:uid="{4142F8C2-6349-4137-B83F-384F9423BF1C}" name="Column8328"/>
    <tableColumn id="8329" xr3:uid="{32623D00-0EB6-4EBE-ADB7-2FA2A29FA2A6}" name="Column8329"/>
    <tableColumn id="8330" xr3:uid="{69C69862-B037-4261-807C-D90C6A3C1544}" name="Column8330"/>
    <tableColumn id="8331" xr3:uid="{C0223E4C-6347-4CCD-B829-DE5F7138CE1D}" name="Column8331"/>
    <tableColumn id="8332" xr3:uid="{038B3B76-9397-440B-863E-2C98548DB0F7}" name="Column8332"/>
    <tableColumn id="8333" xr3:uid="{6456A39E-DDB7-4818-B9E3-3A454E35C6F3}" name="Column8333"/>
    <tableColumn id="8334" xr3:uid="{EA7D927E-F47E-48AD-BC20-83D165ACA59A}" name="Column8334"/>
    <tableColumn id="8335" xr3:uid="{B2F0B378-E96C-4089-A260-A7EAE8F0A017}" name="Column8335"/>
    <tableColumn id="8336" xr3:uid="{0D5AD3ED-97C0-468C-8354-AA0C997F0816}" name="Column8336"/>
    <tableColumn id="8337" xr3:uid="{62E94E0F-EC8C-4243-8A93-C1A74F92CE0D}" name="Column8337"/>
    <tableColumn id="8338" xr3:uid="{8ADF850D-034F-4D57-A75C-9565431F229C}" name="Column8338"/>
    <tableColumn id="8339" xr3:uid="{ABF0F614-19F2-4200-B6B5-B4DF82378AFB}" name="Column8339"/>
    <tableColumn id="8340" xr3:uid="{97553EB0-2759-4E7E-87FE-742FDA173BAC}" name="Column8340"/>
    <tableColumn id="8341" xr3:uid="{DD82C26F-6ED7-4FEE-9919-5D470877C24B}" name="Column8341"/>
    <tableColumn id="8342" xr3:uid="{E63C32FB-F23F-4F1C-8906-54C388E37961}" name="Column8342"/>
    <tableColumn id="8343" xr3:uid="{BA5CA9A1-5864-42B1-B189-167A72AF9BD9}" name="Column8343"/>
    <tableColumn id="8344" xr3:uid="{ED17D6AF-4A7B-435C-A979-EFAD70D40A7D}" name="Column8344"/>
    <tableColumn id="8345" xr3:uid="{D67F078E-3675-47BB-AADD-2EC98F391867}" name="Column8345"/>
    <tableColumn id="8346" xr3:uid="{42FC97C5-B7AB-451B-84E6-56EB462C45DA}" name="Column8346"/>
    <tableColumn id="8347" xr3:uid="{F60DEDE2-A24B-467F-9EB1-80E52BDC0A28}" name="Column8347"/>
    <tableColumn id="8348" xr3:uid="{F4CA5269-36EB-4D51-AB10-3A7078946061}" name="Column8348"/>
    <tableColumn id="8349" xr3:uid="{AA972143-6FD3-49FF-93A3-4D8FD122FEEE}" name="Column8349"/>
    <tableColumn id="8350" xr3:uid="{6A41A02C-9854-483D-A700-89858D873A19}" name="Column8350"/>
    <tableColumn id="8351" xr3:uid="{3F628B3B-7DA0-41C8-ABDD-588959D024FF}" name="Column8351"/>
    <tableColumn id="8352" xr3:uid="{DE3FAE5F-7627-498D-9508-70B0800BA6FC}" name="Column8352"/>
    <tableColumn id="8353" xr3:uid="{B4D54276-5E24-44BD-9004-45D50055878B}" name="Column8353"/>
    <tableColumn id="8354" xr3:uid="{24CED7A3-9011-4F56-A76D-56B144CC15F0}" name="Column8354"/>
    <tableColumn id="8355" xr3:uid="{E35AC79D-4E5D-4C77-8AC9-DA7D345E80E8}" name="Column8355"/>
    <tableColumn id="8356" xr3:uid="{10BBA24F-6A2E-453B-AC67-A0DBA5F72E3A}" name="Column8356"/>
    <tableColumn id="8357" xr3:uid="{1DE27D24-6254-4787-BDC5-35D3BD518E60}" name="Column8357"/>
    <tableColumn id="8358" xr3:uid="{D57A5B3A-9328-4C11-BEF5-84571CEC8A3C}" name="Column8358"/>
    <tableColumn id="8359" xr3:uid="{EC4BF54F-0CD3-4533-9D2A-F4D7D01F7602}" name="Column8359"/>
    <tableColumn id="8360" xr3:uid="{175A68B1-70B2-4B2D-A3B1-7B76575D4463}" name="Column8360"/>
    <tableColumn id="8361" xr3:uid="{67C0B7C2-0E9F-4624-8B82-E7EC09223A28}" name="Column8361"/>
    <tableColumn id="8362" xr3:uid="{B9F238CF-BFA5-421B-A718-B4D39FE8AAFC}" name="Column8362"/>
    <tableColumn id="8363" xr3:uid="{6C357923-6E0A-4683-B530-5C52F50105FC}" name="Column8363"/>
    <tableColumn id="8364" xr3:uid="{AB876DD0-5F5A-4F63-BE3A-15D073AD0552}" name="Column8364"/>
    <tableColumn id="8365" xr3:uid="{7717C460-29AD-4F3F-9CF5-81BB255D5712}" name="Column8365"/>
    <tableColumn id="8366" xr3:uid="{5048CF00-15B6-48FF-871B-A464C43737F2}" name="Column8366"/>
    <tableColumn id="8367" xr3:uid="{7B09AAEF-CC10-4E73-821A-A473F69CAB4B}" name="Column8367"/>
    <tableColumn id="8368" xr3:uid="{90ADFC44-021B-4824-864B-BFC903B359CE}" name="Column8368"/>
    <tableColumn id="8369" xr3:uid="{B05B96F9-4804-4213-9963-C4FFEA0F79D1}" name="Column8369"/>
    <tableColumn id="8370" xr3:uid="{4DA3B7EC-F3E8-4A91-8328-4111E8914C61}" name="Column8370"/>
    <tableColumn id="8371" xr3:uid="{595F68D5-90BB-407D-BA55-CC20EA336380}" name="Column8371"/>
    <tableColumn id="8372" xr3:uid="{3AF01F55-F73B-4F61-91BD-C9EF37F17615}" name="Column8372"/>
    <tableColumn id="8373" xr3:uid="{E9C7B672-2063-430C-9FC5-0D008337BB77}" name="Column8373"/>
    <tableColumn id="8374" xr3:uid="{C1F7047E-4368-4B7E-A258-67367494D197}" name="Column8374"/>
    <tableColumn id="8375" xr3:uid="{3C735A20-58C4-41AB-8A93-9A75A518F0CA}" name="Column8375"/>
    <tableColumn id="8376" xr3:uid="{43E634B0-B6A6-426A-8B21-C01A20F17909}" name="Column8376"/>
    <tableColumn id="8377" xr3:uid="{34563D59-F948-4A01-B9A9-E267DF5B2AC5}" name="Column8377"/>
    <tableColumn id="8378" xr3:uid="{30CCB7E0-A0D9-4E9D-8770-2E059C6A9BAA}" name="Column8378"/>
    <tableColumn id="8379" xr3:uid="{E8D48E36-5986-4FC3-8289-F6424604C1ED}" name="Column8379"/>
    <tableColumn id="8380" xr3:uid="{BBEF2B08-49A7-422C-B4E9-765A7DAF5B96}" name="Column8380"/>
    <tableColumn id="8381" xr3:uid="{457BF937-1299-4858-8858-028CD60F73A4}" name="Column8381"/>
    <tableColumn id="8382" xr3:uid="{A8BE8F9D-B8D0-4892-A554-A03D39662D1E}" name="Column8382"/>
    <tableColumn id="8383" xr3:uid="{B17A9E78-EE04-4748-85E2-24745FD9DC22}" name="Column8383"/>
    <tableColumn id="8384" xr3:uid="{19EFBB32-9D20-41FF-9B04-94E862C40C4C}" name="Column8384"/>
    <tableColumn id="8385" xr3:uid="{0E848A08-2CBC-4D3A-8D2C-3B91A118670A}" name="Column8385"/>
    <tableColumn id="8386" xr3:uid="{22DAE6DA-44AA-43A6-9A20-FDC8EC7586C4}" name="Column8386"/>
    <tableColumn id="8387" xr3:uid="{160400BC-AA43-485F-9C6F-DFCBA7621F1E}" name="Column8387"/>
    <tableColumn id="8388" xr3:uid="{4CE462E4-F622-4261-9FB9-64E2668408A3}" name="Column8388"/>
    <tableColumn id="8389" xr3:uid="{47319119-A717-462A-8F59-4A4B9CC928EC}" name="Column8389"/>
    <tableColumn id="8390" xr3:uid="{6C9BAE03-83E7-4303-AE8F-CFD50EDF497A}" name="Column8390"/>
    <tableColumn id="8391" xr3:uid="{0BB0733D-B2D9-41DB-9E6B-2A11243A5690}" name="Column8391"/>
    <tableColumn id="8392" xr3:uid="{6835B1B8-90C2-4B35-B9FC-480D7EBEE90A}" name="Column8392"/>
    <tableColumn id="8393" xr3:uid="{B320AC44-5278-48C0-B37B-D63C07E64DEC}" name="Column8393"/>
    <tableColumn id="8394" xr3:uid="{FCFD29A0-45A3-401A-AD69-1DDBF4E8A4A0}" name="Column8394"/>
    <tableColumn id="8395" xr3:uid="{30E8B71F-C91D-4754-A7D0-447B046664AE}" name="Column8395"/>
    <tableColumn id="8396" xr3:uid="{6F2BA336-164E-429C-8895-71251D4F91BC}" name="Column8396"/>
    <tableColumn id="8397" xr3:uid="{718B68C9-DB3A-40FD-947A-EC6EF9B1601A}" name="Column8397"/>
    <tableColumn id="8398" xr3:uid="{6B0A738D-E136-4FF7-9344-07191DBBD619}" name="Column8398"/>
    <tableColumn id="8399" xr3:uid="{2D91CF06-8880-4C03-9FC2-AC59EA1C1033}" name="Column8399"/>
    <tableColumn id="8400" xr3:uid="{E3080717-AF7C-4CF0-9395-36941ED4A2D3}" name="Column8400"/>
    <tableColumn id="8401" xr3:uid="{1322C41D-20C2-4B33-903A-D2779D51CB60}" name="Column8401"/>
    <tableColumn id="8402" xr3:uid="{C36B4DDE-CC46-4D8A-B6D8-326DD526ECE8}" name="Column8402"/>
    <tableColumn id="8403" xr3:uid="{83B864F1-DA5A-4961-820C-5001A6C28625}" name="Column8403"/>
    <tableColumn id="8404" xr3:uid="{5E2DD9BC-5166-46FB-864F-6485BEEB93A0}" name="Column8404"/>
    <tableColumn id="8405" xr3:uid="{1F688F72-4BAA-4D6F-A20A-5FB5836C7740}" name="Column8405"/>
    <tableColumn id="8406" xr3:uid="{3466D4BF-4A31-4256-95B5-C2AA82872BF3}" name="Column8406"/>
    <tableColumn id="8407" xr3:uid="{92C48CD3-A3AD-4651-A513-BA1B6E7C02A5}" name="Column8407"/>
    <tableColumn id="8408" xr3:uid="{C3389A65-2C78-46A3-96DC-9FB2E28C5A40}" name="Column8408"/>
    <tableColumn id="8409" xr3:uid="{444C91F2-EE4D-4ABC-8960-C95421B605F6}" name="Column8409"/>
    <tableColumn id="8410" xr3:uid="{B1309EC5-CA1D-4C82-BBBE-EB2877CCD1A4}" name="Column8410"/>
    <tableColumn id="8411" xr3:uid="{BC462EC6-4795-44E5-B5D5-3AF75C224F30}" name="Column8411"/>
    <tableColumn id="8412" xr3:uid="{3497DF89-5ED7-4ABB-9FB1-17D0861056B3}" name="Column8412"/>
    <tableColumn id="8413" xr3:uid="{41829D49-4C3A-4C20-B788-020DCF29D420}" name="Column8413"/>
    <tableColumn id="8414" xr3:uid="{B349EF9F-609F-4710-B997-8E744D596D3A}" name="Column8414"/>
    <tableColumn id="8415" xr3:uid="{0C0BFCE8-39A1-4D70-9065-58EEEE7000EB}" name="Column8415"/>
    <tableColumn id="8416" xr3:uid="{934EAF43-EB25-4900-A822-4C373D9B1C4E}" name="Column8416"/>
    <tableColumn id="8417" xr3:uid="{8DB9FF83-6927-4B41-92B7-F17E4AF6D831}" name="Column8417"/>
    <tableColumn id="8418" xr3:uid="{E306872C-00B9-46A7-A144-11554C5D2DE7}" name="Column8418"/>
    <tableColumn id="8419" xr3:uid="{6B290E21-6390-48EF-BD6B-9AC5B7414BEF}" name="Column8419"/>
    <tableColumn id="8420" xr3:uid="{80D92F40-E4BE-4266-B900-DA59FDF0394C}" name="Column8420"/>
    <tableColumn id="8421" xr3:uid="{7A429CBD-F17A-439C-BE3A-AB4ED13140AE}" name="Column8421"/>
    <tableColumn id="8422" xr3:uid="{CA82050F-52AF-47B1-B346-B9B3A2EFD991}" name="Column8422"/>
    <tableColumn id="8423" xr3:uid="{0F16E71D-22B5-419B-8491-507187B54AAF}" name="Column8423"/>
    <tableColumn id="8424" xr3:uid="{2E0BB57B-423A-4819-B51C-BAC08066D38C}" name="Column8424"/>
    <tableColumn id="8425" xr3:uid="{94E2B0DC-CFB0-4789-BD1D-84014F2867C9}" name="Column8425"/>
    <tableColumn id="8426" xr3:uid="{29926302-B3FE-4652-B901-5440683A0933}" name="Column8426"/>
    <tableColumn id="8427" xr3:uid="{C7A0EAA2-EA0C-4A24-B02A-49B46845E3E5}" name="Column8427"/>
    <tableColumn id="8428" xr3:uid="{18118C92-C20E-47AD-945B-6B338E7C20CB}" name="Column8428"/>
    <tableColumn id="8429" xr3:uid="{45BEF94C-27BF-454B-9220-9B7F9FBC5149}" name="Column8429"/>
    <tableColumn id="8430" xr3:uid="{A5F548F4-9AD2-4B76-BD08-12ED429C7019}" name="Column8430"/>
    <tableColumn id="8431" xr3:uid="{6DC5BB0F-2159-4F22-BBEC-46E2ECB28D6F}" name="Column8431"/>
    <tableColumn id="8432" xr3:uid="{CF7C90DD-9F72-460E-A4F9-4B7690697C3E}" name="Column8432"/>
    <tableColumn id="8433" xr3:uid="{2C5C91CB-DCEE-41DD-BA71-5C5618544261}" name="Column8433"/>
    <tableColumn id="8434" xr3:uid="{2449BB82-4D56-4079-95D3-25E5A53A6BFA}" name="Column8434"/>
    <tableColumn id="8435" xr3:uid="{0B551585-C222-4135-9DCF-246785DA0912}" name="Column8435"/>
    <tableColumn id="8436" xr3:uid="{67D0EC1E-F10D-4A58-A5CB-303EE4A4BC2E}" name="Column8436"/>
    <tableColumn id="8437" xr3:uid="{E91A0087-E5DA-4D23-87B8-C0343EF99902}" name="Column8437"/>
    <tableColumn id="8438" xr3:uid="{8D385CAF-43BE-40ED-B4CB-5B0DA61327CA}" name="Column8438"/>
    <tableColumn id="8439" xr3:uid="{4AE81A2A-E48A-47FE-8347-616451168FA4}" name="Column8439"/>
    <tableColumn id="8440" xr3:uid="{8C71C298-645A-47E7-A200-622E3CAF4924}" name="Column8440"/>
    <tableColumn id="8441" xr3:uid="{15810320-582B-412F-AD13-5B47FCBCFC2D}" name="Column8441"/>
    <tableColumn id="8442" xr3:uid="{2A10912C-7AE9-4BFD-A162-B49D8FE90243}" name="Column8442"/>
    <tableColumn id="8443" xr3:uid="{CB2CCE26-1CC7-4C45-A3E3-DB503646CF6B}" name="Column8443"/>
    <tableColumn id="8444" xr3:uid="{0039928D-926F-4F2D-B7A1-35D6112B36DB}" name="Column8444"/>
    <tableColumn id="8445" xr3:uid="{E0D78E1C-A58B-44F6-933F-C4DD10218CB4}" name="Column8445"/>
    <tableColumn id="8446" xr3:uid="{A0B0A0BB-F535-405E-B8E8-A93E01A1B6CC}" name="Column8446"/>
    <tableColumn id="8447" xr3:uid="{8FC366E6-CCED-4559-8726-B495A3225C18}" name="Column8447"/>
    <tableColumn id="8448" xr3:uid="{9BDFD129-33AF-4479-BE36-09FFFBD48A82}" name="Column8448"/>
    <tableColumn id="8449" xr3:uid="{FBB10AEF-C910-444E-B149-8FAA040C83C1}" name="Column8449"/>
    <tableColumn id="8450" xr3:uid="{DEBAFF0E-3B73-4435-B42D-791EA2EFA24F}" name="Column8450"/>
    <tableColumn id="8451" xr3:uid="{8136AECE-EA23-47B9-9F8D-172D21E91A31}" name="Column8451"/>
    <tableColumn id="8452" xr3:uid="{4724773F-C1EF-4983-9E6D-D2FD1128E7C3}" name="Column8452"/>
    <tableColumn id="8453" xr3:uid="{FEBCD15E-BB6F-4C5C-9357-B5B4B1B0BD6E}" name="Column8453"/>
    <tableColumn id="8454" xr3:uid="{02533D95-57C7-4EAC-A587-6A35067944DA}" name="Column8454"/>
    <tableColumn id="8455" xr3:uid="{80095638-2D85-4788-B389-6C852F93444F}" name="Column8455"/>
    <tableColumn id="8456" xr3:uid="{AF9073F0-7BEA-4483-9ED4-AE97465F6394}" name="Column8456"/>
    <tableColumn id="8457" xr3:uid="{D6C26968-AA6E-4A0E-B33B-36ECDA319392}" name="Column8457"/>
    <tableColumn id="8458" xr3:uid="{799BB64A-6889-4795-BFE0-A9DCFA351ADC}" name="Column8458"/>
    <tableColumn id="8459" xr3:uid="{C6874110-06E3-413A-B45E-577E3F238ABD}" name="Column8459"/>
    <tableColumn id="8460" xr3:uid="{70AD8AC4-D059-4FB1-B9CE-2B61E41AD07F}" name="Column8460"/>
    <tableColumn id="8461" xr3:uid="{6C63B55E-55B0-42EF-A6FF-16AF72524B95}" name="Column8461"/>
    <tableColumn id="8462" xr3:uid="{BE89402F-FA9D-465A-9A24-0B89AFB6F092}" name="Column8462"/>
    <tableColumn id="8463" xr3:uid="{3984BC0D-D263-4A21-9D3A-8F87225F1D58}" name="Column8463"/>
    <tableColumn id="8464" xr3:uid="{F67B296F-373A-4B6F-80FE-C8E294F973CD}" name="Column8464"/>
    <tableColumn id="8465" xr3:uid="{9693B181-3E3F-4644-9E29-5682AC3C29FA}" name="Column8465"/>
    <tableColumn id="8466" xr3:uid="{6BAD038F-751B-45A1-A0E1-BAF939605584}" name="Column8466"/>
    <tableColumn id="8467" xr3:uid="{D86499D3-413F-46EF-BDE8-DA748CC5D6BE}" name="Column8467"/>
    <tableColumn id="8468" xr3:uid="{19047C34-81A2-40F2-84DA-9916E6503212}" name="Column8468"/>
    <tableColumn id="8469" xr3:uid="{845664C1-B1E9-44A4-8DD4-7FC1A9496377}" name="Column8469"/>
    <tableColumn id="8470" xr3:uid="{7EC65410-D5D4-4E9B-8B52-20DB8FCB0402}" name="Column8470"/>
    <tableColumn id="8471" xr3:uid="{6AA8A970-0D5A-4422-9095-821D8D9E2B89}" name="Column8471"/>
    <tableColumn id="8472" xr3:uid="{C5C4CE40-857E-466C-9FA2-494FD7FF6F37}" name="Column8472"/>
    <tableColumn id="8473" xr3:uid="{A1244A85-8EAF-4EFD-88FD-4163762EF314}" name="Column8473"/>
    <tableColumn id="8474" xr3:uid="{C2B92612-8355-4928-90B9-30A88991BBC9}" name="Column8474"/>
    <tableColumn id="8475" xr3:uid="{21713570-2EFC-4617-B7AF-86A85B1AB809}" name="Column8475"/>
    <tableColumn id="8476" xr3:uid="{8B1805A0-AEEA-464A-8BC1-296425263FB8}" name="Column8476"/>
    <tableColumn id="8477" xr3:uid="{224FDAA3-6276-4762-8A6C-390598E7C3E1}" name="Column8477"/>
    <tableColumn id="8478" xr3:uid="{FD3665E1-0CF7-48D8-A9DB-924FCB9EA36D}" name="Column8478"/>
    <tableColumn id="8479" xr3:uid="{11E5D0F8-F4BC-4BBE-A2D8-7B248A0C3A5B}" name="Column8479"/>
    <tableColumn id="8480" xr3:uid="{F06B6C1A-C5FF-436C-8BC6-CC1DDD3F6E54}" name="Column8480"/>
    <tableColumn id="8481" xr3:uid="{147EF760-7BF6-4EB6-9C3D-E94D068F5190}" name="Column8481"/>
    <tableColumn id="8482" xr3:uid="{7ED53405-C7CF-4F4B-8350-109B9250055B}" name="Column8482"/>
    <tableColumn id="8483" xr3:uid="{28FA17AB-D7A6-440F-A8FE-F3B831E1F1C4}" name="Column8483"/>
    <tableColumn id="8484" xr3:uid="{A88B1E10-1F97-4833-BAD5-3F471708093A}" name="Column8484"/>
    <tableColumn id="8485" xr3:uid="{B6CEB053-B660-40B5-97B8-9468D026AD95}" name="Column8485"/>
    <tableColumn id="8486" xr3:uid="{E1F9AF0A-49D5-4460-81F2-7E9E33C8275F}" name="Column8486"/>
    <tableColumn id="8487" xr3:uid="{FF2A6F3C-7353-45AE-8A3C-C75C9B5F3598}" name="Column8487"/>
    <tableColumn id="8488" xr3:uid="{C59CC295-86FB-4026-AD83-2B5ED66BBA5F}" name="Column8488"/>
    <tableColumn id="8489" xr3:uid="{E1AC92A7-B7D8-4AD4-A2C0-5FC3A3F518B7}" name="Column8489"/>
    <tableColumn id="8490" xr3:uid="{64615A5D-3E6F-4A29-89FA-569A5859E0A8}" name="Column8490"/>
    <tableColumn id="8491" xr3:uid="{E04DB18F-BEEB-490E-A20A-8DFE9FE09555}" name="Column8491"/>
    <tableColumn id="8492" xr3:uid="{FACA89EB-0D8B-4904-826F-BBC570CC82AE}" name="Column8492"/>
    <tableColumn id="8493" xr3:uid="{AC8ECC63-6B3E-47E6-8B9E-007AB9EB63DD}" name="Column8493"/>
    <tableColumn id="8494" xr3:uid="{8001BEB8-51A5-4E67-A86C-0632CA256300}" name="Column8494"/>
    <tableColumn id="8495" xr3:uid="{D545832C-19D0-4BCB-97B6-0C59620285E7}" name="Column8495"/>
    <tableColumn id="8496" xr3:uid="{5AF03BE5-5A84-48B4-A3E1-68869431516D}" name="Column8496"/>
    <tableColumn id="8497" xr3:uid="{1DE9F324-080B-4FB1-A1C3-8990C6B7C991}" name="Column8497"/>
    <tableColumn id="8498" xr3:uid="{364FA158-C842-47B9-8CE5-65BD00FEAAAF}" name="Column8498"/>
    <tableColumn id="8499" xr3:uid="{2AB01E19-1933-40E8-A881-AC6B7467F585}" name="Column8499"/>
    <tableColumn id="8500" xr3:uid="{41FD4395-EF73-4CED-968F-44B7B334D9DB}" name="Column8500"/>
    <tableColumn id="8501" xr3:uid="{AC9AFEE4-8641-4AD0-86EA-F1F143D7F5D1}" name="Column8501"/>
    <tableColumn id="8502" xr3:uid="{FC30EF39-684C-440B-BCFC-8EC939BA1397}" name="Column8502"/>
    <tableColumn id="8503" xr3:uid="{CA604853-1614-4CAE-81D5-8617CC8BBB87}" name="Column8503"/>
    <tableColumn id="8504" xr3:uid="{71E52E62-E9F0-45F5-8BED-4A1C26EEC0F7}" name="Column8504"/>
    <tableColumn id="8505" xr3:uid="{A75D0981-4E74-455E-BF52-73CA3E27A743}" name="Column8505"/>
    <tableColumn id="8506" xr3:uid="{AF7DAEC2-0202-4AB6-922F-FE43540375EE}" name="Column8506"/>
    <tableColumn id="8507" xr3:uid="{77311FAA-F0A6-4432-BFDE-92965F4D2C60}" name="Column8507"/>
    <tableColumn id="8508" xr3:uid="{2F99C167-8A7E-411C-8EE9-4141038A57A1}" name="Column8508"/>
    <tableColumn id="8509" xr3:uid="{916B8F32-0A6E-4432-8DA9-6408F3C00324}" name="Column8509"/>
    <tableColumn id="8510" xr3:uid="{857CA700-CD58-4BF8-ADDF-2729B39AEABC}" name="Column8510"/>
    <tableColumn id="8511" xr3:uid="{0F19D2BB-7EC2-4269-876A-396AF8EA09D4}" name="Column8511"/>
    <tableColumn id="8512" xr3:uid="{A80874AF-680B-40C1-865C-123A45D12FCF}" name="Column8512"/>
    <tableColumn id="8513" xr3:uid="{DADF5AC4-EB16-444A-9FA0-B6C2131AE957}" name="Column8513"/>
    <tableColumn id="8514" xr3:uid="{13E831FC-043B-4C12-9642-F00CF454A7FF}" name="Column8514"/>
    <tableColumn id="8515" xr3:uid="{0BB4AEE2-2A20-4853-B771-E407C670C422}" name="Column8515"/>
    <tableColumn id="8516" xr3:uid="{F8293B87-A5A4-4632-9FEB-FAA67E878CDB}" name="Column8516"/>
    <tableColumn id="8517" xr3:uid="{AEBDFA1D-6E6D-44C0-A344-B821CADAE673}" name="Column8517"/>
    <tableColumn id="8518" xr3:uid="{92A3165C-F077-413D-AC98-EB88890E7568}" name="Column8518"/>
    <tableColumn id="8519" xr3:uid="{1E2F1613-F819-4F02-9534-1C457B5E5E73}" name="Column8519"/>
    <tableColumn id="8520" xr3:uid="{76F51279-3D81-479A-A8C0-27E639F7340A}" name="Column8520"/>
    <tableColumn id="8521" xr3:uid="{45C9A20F-8EFB-4B3B-821A-DD0AEBC0C98A}" name="Column8521"/>
    <tableColumn id="8522" xr3:uid="{43B0BEB6-AF2E-484B-A5C2-30286F135974}" name="Column8522"/>
    <tableColumn id="8523" xr3:uid="{B8F7E2EC-776C-4731-9F40-C35FBEC916A3}" name="Column8523"/>
    <tableColumn id="8524" xr3:uid="{23AC85D8-8B37-42F8-ABBC-B79123263E83}" name="Column8524"/>
    <tableColumn id="8525" xr3:uid="{0795F8AE-B14D-4727-99FC-49D04350605C}" name="Column8525"/>
    <tableColumn id="8526" xr3:uid="{D09BD8E0-7EFF-4A60-BC26-DAB2F320F65F}" name="Column8526"/>
    <tableColumn id="8527" xr3:uid="{8B490897-CC61-4DA7-9A62-CB1E53A7FB6B}" name="Column8527"/>
    <tableColumn id="8528" xr3:uid="{9EB9FCA3-1392-4650-81CB-8C1F7FE52C55}" name="Column8528"/>
    <tableColumn id="8529" xr3:uid="{331D2FD1-EE07-4ED3-8B8F-C8A150B85882}" name="Column8529"/>
    <tableColumn id="8530" xr3:uid="{F3A0ADAA-3FD6-44C0-9B59-3CFB40E256F5}" name="Column8530"/>
    <tableColumn id="8531" xr3:uid="{C178D902-DE8F-46FE-8FF8-8F45D89C6A45}" name="Column8531"/>
    <tableColumn id="8532" xr3:uid="{4421367D-21D3-4D44-9EFE-BFA07D0D7D2A}" name="Column8532"/>
    <tableColumn id="8533" xr3:uid="{7FDA9051-D37E-4901-A4F8-30C9FA18207F}" name="Column8533"/>
    <tableColumn id="8534" xr3:uid="{4A53544C-A9CD-421F-AD4B-2F752C81C2FA}" name="Column8534"/>
    <tableColumn id="8535" xr3:uid="{4F6A37E5-ECFE-4275-854E-E04BD667D353}" name="Column8535"/>
    <tableColumn id="8536" xr3:uid="{DE154D0B-26D4-4BA8-8D2A-D93AF2D153AE}" name="Column8536"/>
    <tableColumn id="8537" xr3:uid="{AE42BF40-B822-496F-B35A-7582CB6C12C0}" name="Column8537"/>
    <tableColumn id="8538" xr3:uid="{2E7E4554-3D0D-4E58-9533-0C7C2181DF33}" name="Column8538"/>
    <tableColumn id="8539" xr3:uid="{57002BC1-5820-41F5-8DBC-EE4B5EA7C33B}" name="Column8539"/>
    <tableColumn id="8540" xr3:uid="{363AAACA-9463-41CA-8B2F-136D6B7FED08}" name="Column8540"/>
    <tableColumn id="8541" xr3:uid="{4A79F7D3-EA1C-48F9-AEA2-64522A6AE20D}" name="Column8541"/>
    <tableColumn id="8542" xr3:uid="{82AC4B1C-8EF1-4845-B3F4-0B2E3279C79F}" name="Column8542"/>
    <tableColumn id="8543" xr3:uid="{482D7ACA-E7D8-44F0-9522-56D78A678D83}" name="Column8543"/>
    <tableColumn id="8544" xr3:uid="{145A1EF8-9105-4C67-A846-CC1A47DCB448}" name="Column8544"/>
    <tableColumn id="8545" xr3:uid="{868A503A-E7C7-49D7-9F21-FF30055F76D6}" name="Column8545"/>
    <tableColumn id="8546" xr3:uid="{7B93268A-FE5A-4AC0-966B-D9D4BC27C18F}" name="Column8546"/>
    <tableColumn id="8547" xr3:uid="{393201C8-C66C-4F04-8535-C89849CBF822}" name="Column8547"/>
    <tableColumn id="8548" xr3:uid="{15752BBA-0406-4FE6-8020-B66E07A5864D}" name="Column8548"/>
    <tableColumn id="8549" xr3:uid="{AEFCD346-E7EE-4368-A8A6-3C927D1B4B2F}" name="Column8549"/>
    <tableColumn id="8550" xr3:uid="{73F1F36C-431A-4956-BE3B-F37C21AFAE73}" name="Column8550"/>
    <tableColumn id="8551" xr3:uid="{4055F515-50F6-4F41-8F0D-3CBD3D9E6A3B}" name="Column8551"/>
    <tableColumn id="8552" xr3:uid="{7708512C-D841-4A2C-BE1B-5C5B15FD8BE8}" name="Column8552"/>
    <tableColumn id="8553" xr3:uid="{8975CC80-408F-4C6A-BDB3-390B51296BAC}" name="Column8553"/>
    <tableColumn id="8554" xr3:uid="{3AC4AEF8-8133-440C-8DFF-524DCF754F07}" name="Column8554"/>
    <tableColumn id="8555" xr3:uid="{06EC9A0A-714E-4ED9-9183-383892B42C69}" name="Column8555"/>
    <tableColumn id="8556" xr3:uid="{853070CD-D9D5-453E-832C-3EEC9E623C94}" name="Column8556"/>
    <tableColumn id="8557" xr3:uid="{8153F0DE-9603-4B7B-902C-2DAE66A59D74}" name="Column8557"/>
    <tableColumn id="8558" xr3:uid="{88E412C7-C3CD-4482-AD0F-7F3D6C1CE18B}" name="Column8558"/>
    <tableColumn id="8559" xr3:uid="{642CD4FA-825C-415F-B6A5-213DE52FD132}" name="Column8559"/>
    <tableColumn id="8560" xr3:uid="{AACBFBC2-00BE-4DED-94C6-EE6185B1108B}" name="Column8560"/>
    <tableColumn id="8561" xr3:uid="{CC2B34C1-BC60-464A-A41F-C757439E4D59}" name="Column8561"/>
    <tableColumn id="8562" xr3:uid="{20038897-32B3-4B3C-8B36-5B30CE2E8269}" name="Column8562"/>
    <tableColumn id="8563" xr3:uid="{3A760276-F544-4D77-ADB1-B356D641461C}" name="Column8563"/>
    <tableColumn id="8564" xr3:uid="{C83220EC-5B97-4C48-BE55-7A09F3D522CC}" name="Column8564"/>
    <tableColumn id="8565" xr3:uid="{BAD89074-06F9-4BE4-9647-06B6128052A7}" name="Column8565"/>
    <tableColumn id="8566" xr3:uid="{7435490E-47D7-4F99-A3C3-DB6C946095C1}" name="Column8566"/>
    <tableColumn id="8567" xr3:uid="{67696AD3-CC4A-48E4-869F-AA317EC84647}" name="Column8567"/>
    <tableColumn id="8568" xr3:uid="{5571F91D-904C-48CA-BAAB-2458688C5518}" name="Column8568"/>
    <tableColumn id="8569" xr3:uid="{4C904B39-364F-467A-8E51-B0405E356387}" name="Column8569"/>
    <tableColumn id="8570" xr3:uid="{09F8C850-D167-4D41-AC24-F6A0565CDC06}" name="Column8570"/>
    <tableColumn id="8571" xr3:uid="{E62F99DD-134C-4E3C-8E31-50C48BA5D4C8}" name="Column8571"/>
    <tableColumn id="8572" xr3:uid="{A510C2E4-B635-4DCD-BEDC-00AEA54A231B}" name="Column8572"/>
    <tableColumn id="8573" xr3:uid="{90A142F5-3177-4EBF-BFA7-2D87F8EAE761}" name="Column8573"/>
    <tableColumn id="8574" xr3:uid="{A00DA68E-45AD-49EF-B0B3-2DED6D402990}" name="Column8574"/>
    <tableColumn id="8575" xr3:uid="{4134F2D1-3FD1-4666-B8EE-B9FB6783E2FB}" name="Column8575"/>
    <tableColumn id="8576" xr3:uid="{9FEC4D4F-F185-4065-9D49-5749B8EA2625}" name="Column8576"/>
    <tableColumn id="8577" xr3:uid="{2287443A-5AB0-4937-A540-90D210B34127}" name="Column8577"/>
    <tableColumn id="8578" xr3:uid="{9D6406FC-2A39-4172-8A63-F08CF01FDF68}" name="Column8578"/>
    <tableColumn id="8579" xr3:uid="{9CA5621C-87DE-4AD6-9D16-83058667D085}" name="Column8579"/>
    <tableColumn id="8580" xr3:uid="{5286B44C-84B2-49E4-8B2E-12CBE97C8DC0}" name="Column8580"/>
    <tableColumn id="8581" xr3:uid="{A30B220E-AF51-45F4-B480-F137CA386488}" name="Column8581"/>
    <tableColumn id="8582" xr3:uid="{0D9A86DC-0644-46CC-8FDD-48CE8D9F3BA6}" name="Column8582"/>
    <tableColumn id="8583" xr3:uid="{C77475F6-AD60-410C-AAC5-E0AB2032DE70}" name="Column8583"/>
    <tableColumn id="8584" xr3:uid="{5262D5AE-BD88-4DF3-9C72-0B152F3310E6}" name="Column8584"/>
    <tableColumn id="8585" xr3:uid="{F00D4F71-8683-49D0-A26B-6AAD3F9C1B79}" name="Column8585"/>
    <tableColumn id="8586" xr3:uid="{B25E1C19-529C-416C-85E9-9701D51C1661}" name="Column8586"/>
    <tableColumn id="8587" xr3:uid="{68CD031D-3793-4AA3-9B57-1247773F541B}" name="Column8587"/>
    <tableColumn id="8588" xr3:uid="{CF81044A-9720-4D95-8DA4-DDF87CB141FF}" name="Column8588"/>
    <tableColumn id="8589" xr3:uid="{2DB4AEDA-92E8-4BF3-A1A8-034B9868C10B}" name="Column8589"/>
    <tableColumn id="8590" xr3:uid="{4822E170-C8AC-4719-8147-8B3438898EE5}" name="Column8590"/>
    <tableColumn id="8591" xr3:uid="{42A45424-2407-4EF0-8683-87B648A6008B}" name="Column8591"/>
    <tableColumn id="8592" xr3:uid="{716B2A1E-C2FD-4379-8F36-9583DD0E92F5}" name="Column8592"/>
    <tableColumn id="8593" xr3:uid="{C1A2617B-5854-47E6-93A4-3ABA10ADADED}" name="Column8593"/>
    <tableColumn id="8594" xr3:uid="{5EADEB35-54AC-44EB-9EA8-69B9FF9E3AA9}" name="Column8594"/>
    <tableColumn id="8595" xr3:uid="{B766AFF3-2340-4D56-B767-9D1AE928C18F}" name="Column8595"/>
    <tableColumn id="8596" xr3:uid="{36CF543A-0C8C-435E-94C3-00838A6E996F}" name="Column8596"/>
    <tableColumn id="8597" xr3:uid="{EAACD054-66BE-4A8E-BD39-8D3EA153651C}" name="Column8597"/>
    <tableColumn id="8598" xr3:uid="{2E7A16D2-73D6-41A6-BA8B-D4E7CA46170F}" name="Column8598"/>
    <tableColumn id="8599" xr3:uid="{C2B01D2A-D4AD-495F-83DD-F5AA0FE6C696}" name="Column8599"/>
    <tableColumn id="8600" xr3:uid="{679E33D6-4DF8-4F73-96E5-5B9D3F1A8847}" name="Column8600"/>
    <tableColumn id="8601" xr3:uid="{6518B809-B5EC-4C3C-AD64-B8FDFBA242A2}" name="Column8601"/>
    <tableColumn id="8602" xr3:uid="{DD069692-742C-4139-8443-A1189AAA60DA}" name="Column8602"/>
    <tableColumn id="8603" xr3:uid="{93EB8A03-2572-4DE1-B660-107E52182B18}" name="Column8603"/>
    <tableColumn id="8604" xr3:uid="{848038C9-1A8D-4C0E-A3D9-9793A59E3B78}" name="Column8604"/>
    <tableColumn id="8605" xr3:uid="{E4E45D2D-5598-47B8-BD2B-CF413E3D810C}" name="Column8605"/>
    <tableColumn id="8606" xr3:uid="{304C5D64-91F3-4D87-9035-E8EF3FB9366F}" name="Column8606"/>
    <tableColumn id="8607" xr3:uid="{9A89D2EC-595E-40D6-9CB4-9A4CADA96391}" name="Column8607"/>
    <tableColumn id="8608" xr3:uid="{2F09AB24-50C4-4491-97CA-04730E4275DC}" name="Column8608"/>
    <tableColumn id="8609" xr3:uid="{7745798F-8436-45AC-BBE9-6F24B64282B5}" name="Column8609"/>
    <tableColumn id="8610" xr3:uid="{7C26DA64-8B77-469F-9C34-82796DC0AD21}" name="Column8610"/>
    <tableColumn id="8611" xr3:uid="{F86AF2FD-9B6C-4CF4-8E8B-B13B626AD77A}" name="Column8611"/>
    <tableColumn id="8612" xr3:uid="{A2478297-C153-4696-B779-0F1338421FDB}" name="Column8612"/>
    <tableColumn id="8613" xr3:uid="{0517F88A-3A43-4F67-A6BE-6E955D23E8E6}" name="Column8613"/>
    <tableColumn id="8614" xr3:uid="{A1AE89CE-F05C-4FF3-8DE5-7FB1768772E6}" name="Column8614"/>
    <tableColumn id="8615" xr3:uid="{875A82CA-B14B-47B1-B128-86ED39E6A753}" name="Column8615"/>
    <tableColumn id="8616" xr3:uid="{DD8062AF-9F8C-4EB7-B46F-E36892CF14A8}" name="Column8616"/>
    <tableColumn id="8617" xr3:uid="{F87EB6FD-7937-4CF7-9C0F-6F5138A76CAA}" name="Column8617"/>
    <tableColumn id="8618" xr3:uid="{4A902A88-C41D-4383-A9CF-E00F8C7A2493}" name="Column8618"/>
    <tableColumn id="8619" xr3:uid="{E80E4C5D-2EF4-48F0-AE16-45AB0B4A5303}" name="Column8619"/>
    <tableColumn id="8620" xr3:uid="{0DEFAD08-304A-4241-8842-E49431CE262A}" name="Column8620"/>
    <tableColumn id="8621" xr3:uid="{3E37B46E-26C1-45F0-874E-77A3B8D3B52C}" name="Column8621"/>
    <tableColumn id="8622" xr3:uid="{744FF7FA-A760-4172-A227-DE4D7AF466C4}" name="Column8622"/>
    <tableColumn id="8623" xr3:uid="{4C2EB21A-7071-4FE2-8A9B-7735EB11B58A}" name="Column8623"/>
    <tableColumn id="8624" xr3:uid="{81FCA9FB-8709-409A-9BDC-CF4AAE98E1A3}" name="Column8624"/>
    <tableColumn id="8625" xr3:uid="{358F1F00-1A56-4416-B317-15F3B612F6EA}" name="Column8625"/>
    <tableColumn id="8626" xr3:uid="{A9A1ED9C-7BF3-4ED4-8A43-F9A572B72955}" name="Column8626"/>
    <tableColumn id="8627" xr3:uid="{5850004D-BCB8-4BDF-B31E-F88E505928FC}" name="Column8627"/>
    <tableColumn id="8628" xr3:uid="{611A8021-D599-4777-B904-B1A03A9F75E7}" name="Column8628"/>
    <tableColumn id="8629" xr3:uid="{3176A748-E6F5-49D2-92B8-FCB5BEED831B}" name="Column8629"/>
    <tableColumn id="8630" xr3:uid="{4270CF79-0B27-4080-B8F6-2E0C3748D77E}" name="Column8630"/>
    <tableColumn id="8631" xr3:uid="{2D329655-BCA1-4595-9A2C-914A9D7FC30C}" name="Column8631"/>
    <tableColumn id="8632" xr3:uid="{F233978C-2E59-45CB-BAEE-E8EFAB7A5984}" name="Column8632"/>
    <tableColumn id="8633" xr3:uid="{F0B99F2A-3244-4B2B-B0A6-8222A507DC3A}" name="Column8633"/>
    <tableColumn id="8634" xr3:uid="{D3EECCA8-8DFF-4AD5-A885-1CA8748C587B}" name="Column8634"/>
    <tableColumn id="8635" xr3:uid="{DBA6AD56-FCA2-4AC1-96DD-163CB471B7FA}" name="Column8635"/>
    <tableColumn id="8636" xr3:uid="{5C946FE3-FBD2-4768-9627-119B877DC1D3}" name="Column8636"/>
    <tableColumn id="8637" xr3:uid="{5F19D19A-8ED7-431D-AD7E-3F4FFE1E21A5}" name="Column8637"/>
    <tableColumn id="8638" xr3:uid="{166AEE44-03E4-4AE7-B28E-F3EAB14696A2}" name="Column8638"/>
    <tableColumn id="8639" xr3:uid="{CDBEF639-498B-4DA7-97ED-C9DA79B707C7}" name="Column8639"/>
    <tableColumn id="8640" xr3:uid="{EDDFDD1B-01D0-49B6-94E7-9B184690FE5F}" name="Column8640"/>
    <tableColumn id="8641" xr3:uid="{8B2395DA-D82E-40BA-9390-CD36AA2BBA63}" name="Column8641"/>
    <tableColumn id="8642" xr3:uid="{5AC722B3-A610-49BA-8361-5AA9FE825A94}" name="Column8642"/>
    <tableColumn id="8643" xr3:uid="{D4D9006B-1586-472D-BA2A-272B26B31A6A}" name="Column8643"/>
    <tableColumn id="8644" xr3:uid="{31C2D212-2CD4-4F6B-8C5F-F74731792E48}" name="Column8644"/>
    <tableColumn id="8645" xr3:uid="{59BF5747-B0FB-4666-B3C8-2B2B454F6576}" name="Column8645"/>
    <tableColumn id="8646" xr3:uid="{82A44A4C-6E77-4EE6-8290-600131B11852}" name="Column8646"/>
    <tableColumn id="8647" xr3:uid="{9DC99EB1-0669-4AF8-A9A6-D3498081CEC0}" name="Column8647"/>
    <tableColumn id="8648" xr3:uid="{CD9C8870-BCAE-4D35-9CEB-E57584793D5F}" name="Column8648"/>
    <tableColumn id="8649" xr3:uid="{27F9EF85-C7FA-4384-932C-AF71CB1EB70D}" name="Column8649"/>
    <tableColumn id="8650" xr3:uid="{6AEE8E97-01A9-41A8-809D-1D47173851CF}" name="Column8650"/>
    <tableColumn id="8651" xr3:uid="{EAD28B59-693F-4F53-99AD-E35370D9E83B}" name="Column8651"/>
    <tableColumn id="8652" xr3:uid="{984FB7F9-D37A-4D30-8768-CC6D9C513142}" name="Column8652"/>
    <tableColumn id="8653" xr3:uid="{1D09F765-A040-4CBD-BFEF-4FB840CF14E3}" name="Column8653"/>
    <tableColumn id="8654" xr3:uid="{3E74C53E-1E64-48F6-B554-806AB3E59592}" name="Column8654"/>
    <tableColumn id="8655" xr3:uid="{4780EE15-2457-4827-9F92-AB17511EE7B3}" name="Column8655"/>
    <tableColumn id="8656" xr3:uid="{BC46CD9F-1365-4326-90AB-91A5A6129A8B}" name="Column8656"/>
    <tableColumn id="8657" xr3:uid="{38A7EC50-4189-4174-A28E-0616998E859E}" name="Column8657"/>
    <tableColumn id="8658" xr3:uid="{B286F711-2B31-421D-BB51-29A05EA4D9D3}" name="Column8658"/>
    <tableColumn id="8659" xr3:uid="{64657617-67EF-470C-8E67-027DEF1183E2}" name="Column8659"/>
    <tableColumn id="8660" xr3:uid="{BDA7DD99-6D70-4592-91F0-4D668A58A779}" name="Column8660"/>
    <tableColumn id="8661" xr3:uid="{030B0E18-0AC4-4051-86BE-2EC9F6293F0D}" name="Column8661"/>
    <tableColumn id="8662" xr3:uid="{6B906375-6EF8-4E99-BFD6-9461D3660E0C}" name="Column8662"/>
    <tableColumn id="8663" xr3:uid="{8D7D58EC-56F0-452E-B50B-8843F4F6E7C3}" name="Column8663"/>
    <tableColumn id="8664" xr3:uid="{DE1A9B44-C8BD-4E57-B8AB-799097B97457}" name="Column8664"/>
    <tableColumn id="8665" xr3:uid="{392C8888-6925-42A6-A890-ACD160636957}" name="Column8665"/>
    <tableColumn id="8666" xr3:uid="{A345626A-1601-44A6-9A98-76126858FDB2}" name="Column8666"/>
    <tableColumn id="8667" xr3:uid="{8F5926FD-5883-4603-98FF-133E8B272AFC}" name="Column8667"/>
    <tableColumn id="8668" xr3:uid="{FC8581B2-55BF-43D4-8A06-AA19D3DDA6FF}" name="Column8668"/>
    <tableColumn id="8669" xr3:uid="{58D3259C-DD80-4DBD-B4B2-247658082455}" name="Column8669"/>
    <tableColumn id="8670" xr3:uid="{6B0FD12D-3F63-48B4-BC3F-594BC7A9233D}" name="Column8670"/>
    <tableColumn id="8671" xr3:uid="{04B74BDD-A8DD-4D7B-8ACC-060D38F640E7}" name="Column8671"/>
    <tableColumn id="8672" xr3:uid="{0468739F-F6F0-44CB-84A8-572A01B541D1}" name="Column8672"/>
    <tableColumn id="8673" xr3:uid="{377CC948-13E0-44D9-97CA-E1B9E52AEB44}" name="Column8673"/>
    <tableColumn id="8674" xr3:uid="{DA4FA9FE-5046-48D7-AF0A-40F1ACF14F3E}" name="Column8674"/>
    <tableColumn id="8675" xr3:uid="{945E368E-BC94-4149-8771-B05E8C5C8636}" name="Column8675"/>
    <tableColumn id="8676" xr3:uid="{CEED1FF3-6CD1-460E-9B64-A49D8B374409}" name="Column8676"/>
    <tableColumn id="8677" xr3:uid="{B943095E-FF4C-4D1A-B3EB-0E0E37F42111}" name="Column8677"/>
    <tableColumn id="8678" xr3:uid="{97483CA5-DB18-44FA-952C-394BB08E0414}" name="Column8678"/>
    <tableColumn id="8679" xr3:uid="{EF8752F0-1EB6-4C8F-81B5-454B33E52E28}" name="Column8679"/>
    <tableColumn id="8680" xr3:uid="{9E205365-A639-427A-A12A-7EDE2A610734}" name="Column8680"/>
    <tableColumn id="8681" xr3:uid="{58E16026-82E1-4C47-98AD-62A4BFBEB159}" name="Column8681"/>
    <tableColumn id="8682" xr3:uid="{B71E302A-A9CD-41F1-AB03-72D9AA1420E3}" name="Column8682"/>
    <tableColumn id="8683" xr3:uid="{4B9FB328-855D-47BC-B628-12C45C0028C1}" name="Column8683"/>
    <tableColumn id="8684" xr3:uid="{C7FD2546-C097-4F29-87EA-44621C44A19E}" name="Column8684"/>
    <tableColumn id="8685" xr3:uid="{197E955E-2486-43A4-BE72-92F435ED7702}" name="Column8685"/>
    <tableColumn id="8686" xr3:uid="{4EC1BADD-8CF2-4C74-AC06-BAD299911122}" name="Column8686"/>
    <tableColumn id="8687" xr3:uid="{2C883360-34E9-45E7-94A9-1129DF422017}" name="Column8687"/>
    <tableColumn id="8688" xr3:uid="{E7929D3A-6C61-4491-A7BD-1522168C4263}" name="Column8688"/>
    <tableColumn id="8689" xr3:uid="{42CB1A81-FA9B-4BF9-BE1B-308BB75B1E89}" name="Column8689"/>
    <tableColumn id="8690" xr3:uid="{9B8416A5-6842-4C1C-96FC-0F7F0FD61013}" name="Column8690"/>
    <tableColumn id="8691" xr3:uid="{D88DAE48-EE04-426B-9AAC-A44EB3CC6D05}" name="Column8691"/>
    <tableColumn id="8692" xr3:uid="{0CEC9D0E-70A3-4030-8F10-CABFEF9EE475}" name="Column8692"/>
    <tableColumn id="8693" xr3:uid="{61D42F6A-FE06-464E-AABA-D798B3D9B3D6}" name="Column8693"/>
    <tableColumn id="8694" xr3:uid="{48D4C777-5EE7-487D-B3EE-3FA5D286E0BD}" name="Column8694"/>
    <tableColumn id="8695" xr3:uid="{DECF6D48-96D4-4042-9CFC-9F35130D6956}" name="Column8695"/>
    <tableColumn id="8696" xr3:uid="{97FF5E88-8BC5-43EA-81AA-1CA3AF41F702}" name="Column8696"/>
    <tableColumn id="8697" xr3:uid="{A2593497-49F5-4C79-A79A-14EDFADF3D0D}" name="Column8697"/>
    <tableColumn id="8698" xr3:uid="{CF07BAAE-8DC0-408F-B9A3-FD87D4305ECA}" name="Column8698"/>
    <tableColumn id="8699" xr3:uid="{5347E34D-326B-410C-9CD9-377B4000B72B}" name="Column8699"/>
    <tableColumn id="8700" xr3:uid="{2FA0F51E-A2FE-47F1-B59F-F6C189789C06}" name="Column8700"/>
    <tableColumn id="8701" xr3:uid="{81F09E0D-245D-4EC2-925D-5673CB8C5B9C}" name="Column8701"/>
    <tableColumn id="8702" xr3:uid="{40769A44-038F-483B-A631-281018CFF232}" name="Column8702"/>
    <tableColumn id="8703" xr3:uid="{34554FD8-C389-4512-B427-9E05958145E7}" name="Column8703"/>
    <tableColumn id="8704" xr3:uid="{6F0B1C10-2912-4C01-A2CA-77C0DEB95134}" name="Column8704"/>
    <tableColumn id="8705" xr3:uid="{02AA8B4B-BD34-4511-8A5B-5EB5B419827A}" name="Column8705"/>
    <tableColumn id="8706" xr3:uid="{55CC4896-C8B8-415C-8A74-CED8DB1299A9}" name="Column8706"/>
    <tableColumn id="8707" xr3:uid="{73F57482-EB80-435F-B107-6F12F5EF201B}" name="Column8707"/>
    <tableColumn id="8708" xr3:uid="{22648C95-8BC4-4809-B247-2D072EFDE6D5}" name="Column8708"/>
    <tableColumn id="8709" xr3:uid="{3E58C922-275C-481B-A28E-26CA66CCFD2C}" name="Column8709"/>
    <tableColumn id="8710" xr3:uid="{274F6D68-252A-4501-A128-18C30F684D37}" name="Column8710"/>
    <tableColumn id="8711" xr3:uid="{E2EA20F4-4141-40B3-BEBE-3338B717E2A9}" name="Column8711"/>
    <tableColumn id="8712" xr3:uid="{A263CC65-F9E4-453E-A6B3-E699BFA70A7D}" name="Column8712"/>
    <tableColumn id="8713" xr3:uid="{8E414CB7-6250-4B7A-B5E4-7C45FE7C1E72}" name="Column8713"/>
    <tableColumn id="8714" xr3:uid="{C1CEDB14-3C30-48A8-B772-BEA69051FCF9}" name="Column8714"/>
    <tableColumn id="8715" xr3:uid="{6716B763-F2A4-4FF4-B79D-991275DA4A3A}" name="Column8715"/>
    <tableColumn id="8716" xr3:uid="{E7076890-051E-415D-B824-CC858772E7E0}" name="Column8716"/>
    <tableColumn id="8717" xr3:uid="{0A48F1A6-6CA6-4D50-8564-80FB2BC630FE}" name="Column8717"/>
    <tableColumn id="8718" xr3:uid="{4E9EA4F9-CE9F-4599-924D-D1E628A2F512}" name="Column8718"/>
    <tableColumn id="8719" xr3:uid="{01F72F38-9C32-4968-B100-EB96208589D2}" name="Column8719"/>
    <tableColumn id="8720" xr3:uid="{064B2627-8D5C-49A5-BCE0-61236C38F019}" name="Column8720"/>
    <tableColumn id="8721" xr3:uid="{4DF4A4BF-8B7A-4E9C-90E1-E3E544F9227A}" name="Column8721"/>
    <tableColumn id="8722" xr3:uid="{5959EC8E-2750-41E9-9FBA-2F1EEAA086EE}" name="Column8722"/>
    <tableColumn id="8723" xr3:uid="{AAB0F65D-9F58-4293-9E53-B77B986525FB}" name="Column8723"/>
    <tableColumn id="8724" xr3:uid="{6AAC069A-0342-466F-A5CC-CFE604C47816}" name="Column8724"/>
    <tableColumn id="8725" xr3:uid="{F1C753DF-0EF7-467E-9DAB-9F20C14C8647}" name="Column8725"/>
    <tableColumn id="8726" xr3:uid="{A300167F-91C4-4D39-98E9-0C8C9B76A890}" name="Column8726"/>
    <tableColumn id="8727" xr3:uid="{AD5F8E07-2A88-4DDF-B81B-064AF460161E}" name="Column8727"/>
    <tableColumn id="8728" xr3:uid="{0E878AD4-116E-44E1-A213-F3A053116E4C}" name="Column8728"/>
    <tableColumn id="8729" xr3:uid="{E2FFB6FB-6B96-4CFD-B8BE-75627278A060}" name="Column8729"/>
    <tableColumn id="8730" xr3:uid="{01A4B0DD-DC98-404E-B2CF-38749DC33577}" name="Column8730"/>
    <tableColumn id="8731" xr3:uid="{726611A8-2623-4069-891D-4425963D567F}" name="Column8731"/>
    <tableColumn id="8732" xr3:uid="{2FBC6F11-7D29-491A-AFC8-F2847B377FB4}" name="Column8732"/>
    <tableColumn id="8733" xr3:uid="{1EAAFBD4-6B5C-43EB-81F4-F82299F60375}" name="Column8733"/>
    <tableColumn id="8734" xr3:uid="{225FCC57-7D6F-4EA2-8D21-674ED07B68CE}" name="Column8734"/>
    <tableColumn id="8735" xr3:uid="{6A6AA679-2E12-40AE-A305-E25562F4358C}" name="Column8735"/>
    <tableColumn id="8736" xr3:uid="{FBE5D621-6FC0-47BA-A685-03F732F029CD}" name="Column8736"/>
    <tableColumn id="8737" xr3:uid="{93B34C0E-EB7E-4F94-86C7-96A0C148E996}" name="Column8737"/>
    <tableColumn id="8738" xr3:uid="{AEDD5826-AA7A-4228-9739-D2E45F9BDE45}" name="Column8738"/>
    <tableColumn id="8739" xr3:uid="{CA1F1E06-6097-43D5-A46B-4AF6058E6CF4}" name="Column8739"/>
    <tableColumn id="8740" xr3:uid="{7EFDCC30-5B4D-4429-8B52-807CD5917208}" name="Column8740"/>
    <tableColumn id="8741" xr3:uid="{9EDA82B7-628D-4105-B2B7-6FCDE4A69E8D}" name="Column8741"/>
    <tableColumn id="8742" xr3:uid="{A9C09A87-0D25-4CD2-8334-31F38559AE6D}" name="Column8742"/>
    <tableColumn id="8743" xr3:uid="{57FA728C-3353-4E0E-8596-629A6EF0F933}" name="Column8743"/>
    <tableColumn id="8744" xr3:uid="{B64797AB-B70C-41A4-8EFA-DBB90083D9C9}" name="Column8744"/>
    <tableColumn id="8745" xr3:uid="{D32428C9-7A6C-4E70-A2A7-CDD7050DC75D}" name="Column8745"/>
    <tableColumn id="8746" xr3:uid="{5FEE9BB4-46CF-4444-9DDD-2C85DFBC9FCF}" name="Column8746"/>
    <tableColumn id="8747" xr3:uid="{F9DAB000-AC75-4F92-8FA4-67ADFD0ACDE4}" name="Column8747"/>
    <tableColumn id="8748" xr3:uid="{D0E5D408-AB38-4D1D-9AE0-B8FFE4BD55B0}" name="Column8748"/>
    <tableColumn id="8749" xr3:uid="{366D0453-9C44-451D-84E3-C7BD3AFEE553}" name="Column8749"/>
    <tableColumn id="8750" xr3:uid="{8F814A38-934C-462F-B791-1A21CF492356}" name="Column8750"/>
    <tableColumn id="8751" xr3:uid="{0AF80D45-0BEC-4C70-94FC-91D4769FD873}" name="Column8751"/>
    <tableColumn id="8752" xr3:uid="{81576244-6A86-46A6-936E-F3F066C8E92F}" name="Column8752"/>
    <tableColumn id="8753" xr3:uid="{975B052A-50B4-4A23-B741-BEEDFE4DABB7}" name="Column8753"/>
    <tableColumn id="8754" xr3:uid="{1EE89F06-7349-46D4-905C-F5CF0E1299B9}" name="Column8754"/>
    <tableColumn id="8755" xr3:uid="{CA9756C3-0DBB-4F30-8CDF-0B87235A1C9B}" name="Column8755"/>
    <tableColumn id="8756" xr3:uid="{352C5D97-D72F-48DA-9DB4-F75E8808373A}" name="Column8756"/>
    <tableColumn id="8757" xr3:uid="{94DDD1DB-6606-4FC3-A6C8-96FB8C867AA7}" name="Column8757"/>
    <tableColumn id="8758" xr3:uid="{1F47F7E5-8FCA-46F7-96E0-61C50F1670C2}" name="Column8758"/>
    <tableColumn id="8759" xr3:uid="{C96314AF-1CB8-4ED3-9BEA-02108EA24B7C}" name="Column8759"/>
    <tableColumn id="8760" xr3:uid="{7370E63A-C7EA-4FD6-8BA6-51D066A1BF3F}" name="Column8760"/>
    <tableColumn id="8761" xr3:uid="{141B64C2-8042-4C95-875E-EBE05ADA39E9}" name="Column8761"/>
    <tableColumn id="8762" xr3:uid="{0BB399AB-32DB-4095-9108-A831D47985B8}" name="Column8762"/>
    <tableColumn id="8763" xr3:uid="{49F4A7C1-A484-45A6-B632-837FBB53E04F}" name="Column8763"/>
    <tableColumn id="8764" xr3:uid="{4F13A7F7-8F9D-4459-A69D-CDE66FF48609}" name="Column8764"/>
    <tableColumn id="8765" xr3:uid="{577946F2-5271-4256-8D49-3FEFD27EDDB9}" name="Column8765"/>
    <tableColumn id="8766" xr3:uid="{512054D5-0044-4463-AF51-D29CF8DB0A50}" name="Column8766"/>
    <tableColumn id="8767" xr3:uid="{C2C68609-951E-447B-90A4-863DADA9288B}" name="Column8767"/>
    <tableColumn id="8768" xr3:uid="{CF543639-695D-4512-85B9-CB913C4F77D3}" name="Column8768"/>
    <tableColumn id="8769" xr3:uid="{FDC9F29D-275C-4B01-8027-44FE0A044945}" name="Column8769"/>
    <tableColumn id="8770" xr3:uid="{0661E444-465C-4860-86C1-3B74CD2CC9EF}" name="Column8770"/>
    <tableColumn id="8771" xr3:uid="{4A2B0857-DB14-4BF0-A439-1488624922D4}" name="Column8771"/>
    <tableColumn id="8772" xr3:uid="{FAFB030D-A328-43C8-AA18-B4644766743D}" name="Column8772"/>
    <tableColumn id="8773" xr3:uid="{48A3623E-3D15-4100-A882-B240CED2EE48}" name="Column8773"/>
    <tableColumn id="8774" xr3:uid="{6CB090AB-6C93-459A-B29E-1E88129B0A23}" name="Column8774"/>
    <tableColumn id="8775" xr3:uid="{E28A6EDE-1C00-4017-9D03-0355C4F40E4C}" name="Column8775"/>
    <tableColumn id="8776" xr3:uid="{A5DE66F8-DE11-4994-AEB7-EF8DA2A55465}" name="Column8776"/>
    <tableColumn id="8777" xr3:uid="{E17014B0-B487-4CD1-AF66-6DA7FCFB7BCC}" name="Column8777"/>
    <tableColumn id="8778" xr3:uid="{E55CF1A2-83E1-4B91-A737-7B9AEB39BE0C}" name="Column8778"/>
    <tableColumn id="8779" xr3:uid="{EFE24D66-EE65-4483-8822-A56FE4070EA6}" name="Column8779"/>
    <tableColumn id="8780" xr3:uid="{A4E5DA6F-73B8-46F9-B32E-75B8A31C685E}" name="Column8780"/>
    <tableColumn id="8781" xr3:uid="{805FE0C1-B177-476D-9473-A902B1270576}" name="Column8781"/>
    <tableColumn id="8782" xr3:uid="{FAE03DC4-3A77-42F2-8CDA-677A8547BF15}" name="Column8782"/>
    <tableColumn id="8783" xr3:uid="{DEA1266A-6CE2-4033-AF57-AE3BA8555DCB}" name="Column8783"/>
    <tableColumn id="8784" xr3:uid="{46134243-4107-4203-89FC-99CC855399FA}" name="Column8784"/>
    <tableColumn id="8785" xr3:uid="{12725DBC-386E-4D6C-B8F1-0AC7558BFE7D}" name="Column8785"/>
    <tableColumn id="8786" xr3:uid="{1249FFEF-07C5-4A2E-8BDE-53F87C5987E1}" name="Column8786"/>
    <tableColumn id="8787" xr3:uid="{E7FF6779-FB14-4A72-A539-001293085949}" name="Column8787"/>
    <tableColumn id="8788" xr3:uid="{506AEA9E-73BF-4C04-A59B-688C92C6CEA3}" name="Column8788"/>
    <tableColumn id="8789" xr3:uid="{C8F4AA75-1D88-4CDE-82AA-F4382D20C8C5}" name="Column8789"/>
    <tableColumn id="8790" xr3:uid="{88CC27DF-9E80-4085-9635-51803E30FCC9}" name="Column8790"/>
    <tableColumn id="8791" xr3:uid="{367B713D-36FD-49B0-80DE-29E07DB4CF00}" name="Column8791"/>
    <tableColumn id="8792" xr3:uid="{7E255092-C5B7-46D3-82D7-A9D4A5BC92DA}" name="Column8792"/>
    <tableColumn id="8793" xr3:uid="{454B1ABA-303C-4AC7-94CC-4220A8C0F676}" name="Column8793"/>
    <tableColumn id="8794" xr3:uid="{B73D7CA8-0755-4DCD-A7C0-C6079BF298BB}" name="Column8794"/>
    <tableColumn id="8795" xr3:uid="{1E288B81-9FE5-464A-B99B-54FEA22689C6}" name="Column8795"/>
    <tableColumn id="8796" xr3:uid="{19690E9F-24DF-40FE-9975-624B2704CE56}" name="Column8796"/>
    <tableColumn id="8797" xr3:uid="{DFB484D7-F1F9-4345-A60C-5BFA0B58634F}" name="Column8797"/>
    <tableColumn id="8798" xr3:uid="{E3EC94CC-FCF0-4E30-BFC2-F158F45F40B4}" name="Column8798"/>
    <tableColumn id="8799" xr3:uid="{D9B2FF3F-0668-4542-A579-FC1E39D73572}" name="Column8799"/>
    <tableColumn id="8800" xr3:uid="{F9B6CC0E-ED85-4665-8389-A119F964744B}" name="Column8800"/>
    <tableColumn id="8801" xr3:uid="{67B53382-EA9B-4CCA-8F1C-3D3161885603}" name="Column8801"/>
    <tableColumn id="8802" xr3:uid="{C8CCB28B-3D26-4F50-8D40-4661A375ECA2}" name="Column8802"/>
    <tableColumn id="8803" xr3:uid="{65176949-C674-4FAA-AD88-66869DF38994}" name="Column8803"/>
    <tableColumn id="8804" xr3:uid="{8893B1D7-19A0-492F-B42A-9074DB55820D}" name="Column8804"/>
    <tableColumn id="8805" xr3:uid="{33D19C61-F851-4E78-B6D5-BF8414984ABD}" name="Column8805"/>
    <tableColumn id="8806" xr3:uid="{EE49DEAC-0312-4C18-8BA8-4768966C8022}" name="Column8806"/>
    <tableColumn id="8807" xr3:uid="{DCC4B392-B2C8-4427-9899-671A481BF999}" name="Column8807"/>
    <tableColumn id="8808" xr3:uid="{C946B859-20E4-4CBD-A26E-79429CE03FF8}" name="Column8808"/>
    <tableColumn id="8809" xr3:uid="{544A8E30-E4D7-4496-8DD4-87DA5A2A743F}" name="Column8809"/>
    <tableColumn id="8810" xr3:uid="{29A37187-FB2A-4123-A8AC-C7696E27A552}" name="Column8810"/>
    <tableColumn id="8811" xr3:uid="{F64EF22C-1CAC-4DEB-9270-961C422D9B05}" name="Column8811"/>
    <tableColumn id="8812" xr3:uid="{150933AF-2248-4C93-866C-6D4EAF075B13}" name="Column8812"/>
    <tableColumn id="8813" xr3:uid="{A8AE2B27-0EAD-467E-8B78-B7DC762F88BB}" name="Column8813"/>
    <tableColumn id="8814" xr3:uid="{849F0E5E-84FD-4C2B-9460-9E2302F8FB50}" name="Column8814"/>
    <tableColumn id="8815" xr3:uid="{103DDCFE-953F-4781-8E1B-D95FAA3EAE41}" name="Column8815"/>
    <tableColumn id="8816" xr3:uid="{39B5D9A4-B8C5-4854-A97D-B64C65A2E077}" name="Column8816"/>
    <tableColumn id="8817" xr3:uid="{56AEC009-535E-49F1-AFD6-F78176D7803B}" name="Column8817"/>
    <tableColumn id="8818" xr3:uid="{17FE4B99-8D09-48F2-B1C9-71751433D48C}" name="Column8818"/>
    <tableColumn id="8819" xr3:uid="{082C71DC-F956-4AB8-89E2-BE22FA5587AD}" name="Column8819"/>
    <tableColumn id="8820" xr3:uid="{B4FE0AE8-7297-44CF-8EA4-4A6D6EAFBE19}" name="Column8820"/>
    <tableColumn id="8821" xr3:uid="{CC4CB76B-1AFA-4455-838F-6CCF4B3B87C1}" name="Column8821"/>
    <tableColumn id="8822" xr3:uid="{0F853408-24FE-4B5E-A290-35395315FC4F}" name="Column8822"/>
    <tableColumn id="8823" xr3:uid="{5A7F68B8-C203-46B2-AA1D-650D3DEFE7A0}" name="Column8823"/>
    <tableColumn id="8824" xr3:uid="{337E68DC-78C6-4533-95C2-C3129D05A6C4}" name="Column8824"/>
    <tableColumn id="8825" xr3:uid="{0F285186-05D5-4611-B268-5365562FA451}" name="Column8825"/>
    <tableColumn id="8826" xr3:uid="{D80EDDAB-8684-4D4D-B5FB-46721E4FCAFC}" name="Column8826"/>
    <tableColumn id="8827" xr3:uid="{867AA28B-7AD2-49AE-9AE2-9E69176C1EAE}" name="Column8827"/>
    <tableColumn id="8828" xr3:uid="{DE1F42FF-FB33-42DD-97FA-25354294A0A4}" name="Column8828"/>
    <tableColumn id="8829" xr3:uid="{D4A0900E-93AD-48C9-82BC-6922AED71CC6}" name="Column8829"/>
    <tableColumn id="8830" xr3:uid="{7756C25A-1018-40BE-84F5-015CA63AD404}" name="Column8830"/>
    <tableColumn id="8831" xr3:uid="{A95BDD40-EA4E-4CD8-B364-9B09F70D8639}" name="Column8831"/>
    <tableColumn id="8832" xr3:uid="{17C8CAA3-2CEE-49CC-81CB-3B247A6C8936}" name="Column8832"/>
    <tableColumn id="8833" xr3:uid="{984EEA5E-27D4-4AA8-BC1A-DE68F457ADED}" name="Column8833"/>
    <tableColumn id="8834" xr3:uid="{E129E749-7C94-4BFE-92B1-0B3E70A455FA}" name="Column8834"/>
    <tableColumn id="8835" xr3:uid="{A0F66B4F-2213-49B6-ACEE-E9451D2B3CDF}" name="Column8835"/>
    <tableColumn id="8836" xr3:uid="{EAC0633D-23EA-4AC6-8D66-53B95E1042F5}" name="Column8836"/>
    <tableColumn id="8837" xr3:uid="{40C39EE8-B6F9-4DDC-82A6-46754A4A48C6}" name="Column8837"/>
    <tableColumn id="8838" xr3:uid="{E379C797-3282-4655-A89C-B5AB81997BBB}" name="Column8838"/>
    <tableColumn id="8839" xr3:uid="{DB97838C-DFAA-456D-BFBF-03299953BAF2}" name="Column8839"/>
    <tableColumn id="8840" xr3:uid="{86E63904-9881-4FB5-A151-CA64531136F3}" name="Column8840"/>
    <tableColumn id="8841" xr3:uid="{725B5809-3892-4311-9D1A-6C21F3D5E26C}" name="Column8841"/>
    <tableColumn id="8842" xr3:uid="{75B91A24-29E3-42F7-BF56-EE46F39904D7}" name="Column8842"/>
    <tableColumn id="8843" xr3:uid="{9A35C2EF-0EB5-48C6-878E-AE43DE1D0933}" name="Column8843"/>
    <tableColumn id="8844" xr3:uid="{71453CF4-6DB9-4581-9EBE-7D94A0ADA127}" name="Column8844"/>
    <tableColumn id="8845" xr3:uid="{A7A4A82B-72EB-4448-BE6A-87DA15C4A2E2}" name="Column8845"/>
    <tableColumn id="8846" xr3:uid="{9933C815-0736-4426-9251-0FE50880C3CB}" name="Column8846"/>
    <tableColumn id="8847" xr3:uid="{7658CDDD-0B60-4BCD-B81E-0A12ADC2E99E}" name="Column8847"/>
    <tableColumn id="8848" xr3:uid="{8F95F68A-B2B9-448C-B913-120E00D60B5F}" name="Column8848"/>
    <tableColumn id="8849" xr3:uid="{EFC750EC-076A-413C-A186-C4D76F002B82}" name="Column8849"/>
    <tableColumn id="8850" xr3:uid="{DD333176-7D5B-4999-B5F6-0B9EF1CFDE06}" name="Column8850"/>
    <tableColumn id="8851" xr3:uid="{2DA94323-79DE-478A-9A69-517C49F4A2F7}" name="Column8851"/>
    <tableColumn id="8852" xr3:uid="{15AD76B7-B9A3-4777-AF07-F321EA75E097}" name="Column8852"/>
    <tableColumn id="8853" xr3:uid="{448378E5-ED01-4250-8D45-25834C77A4EB}" name="Column8853"/>
    <tableColumn id="8854" xr3:uid="{464ADEAB-EB06-454C-8369-5EF15A97EF8D}" name="Column8854"/>
    <tableColumn id="8855" xr3:uid="{03CE98D1-BF78-4FBB-B3CB-B5FEECBA2D1D}" name="Column8855"/>
    <tableColumn id="8856" xr3:uid="{A593AC20-4673-4C6B-BFDD-36A0F6F23AA6}" name="Column8856"/>
    <tableColumn id="8857" xr3:uid="{79D772DB-DF67-4296-8DA3-EC393A96FF4A}" name="Column8857"/>
    <tableColumn id="8858" xr3:uid="{0F43518C-4469-4F8A-A9A0-FE52ACACA054}" name="Column8858"/>
    <tableColumn id="8859" xr3:uid="{1664B32A-BD47-41C2-A5D7-579FBF6FDC11}" name="Column8859"/>
    <tableColumn id="8860" xr3:uid="{8D190593-EA39-4AA3-9635-D0C5CA19DC10}" name="Column8860"/>
    <tableColumn id="8861" xr3:uid="{7FE8C095-C8A2-4979-805E-ADF2D7488917}" name="Column8861"/>
    <tableColumn id="8862" xr3:uid="{7DC3CB6F-33BD-43E4-816C-60F8BA23BD6B}" name="Column8862"/>
    <tableColumn id="8863" xr3:uid="{A1594A84-DBDC-4004-A42F-F11D95C62151}" name="Column8863"/>
    <tableColumn id="8864" xr3:uid="{D1417244-DEED-4A81-9492-80ED839353BD}" name="Column8864"/>
    <tableColumn id="8865" xr3:uid="{1EF73133-A8D9-4A3B-887E-4124B2299208}" name="Column8865"/>
    <tableColumn id="8866" xr3:uid="{9CBF7D21-27A9-406E-BA85-3EAC19977818}" name="Column8866"/>
    <tableColumn id="8867" xr3:uid="{BD959309-F1CD-4165-A9C5-4A3734735456}" name="Column8867"/>
    <tableColumn id="8868" xr3:uid="{A3A589E5-0428-493C-AE18-E1475FB095FA}" name="Column8868"/>
    <tableColumn id="8869" xr3:uid="{C7C1BE43-FB12-4768-9D4A-28B0897CC0D2}" name="Column8869"/>
    <tableColumn id="8870" xr3:uid="{D1BB08F9-337E-462B-BCE5-AB85F94921CF}" name="Column8870"/>
    <tableColumn id="8871" xr3:uid="{E126CB11-2953-4C90-A8BF-437C24C35B43}" name="Column8871"/>
    <tableColumn id="8872" xr3:uid="{DA262783-44B3-40C8-AC3F-D5B23C2D16EE}" name="Column8872"/>
    <tableColumn id="8873" xr3:uid="{B2D1E571-58E1-42B1-B2FA-DBE137415CF7}" name="Column8873"/>
    <tableColumn id="8874" xr3:uid="{B826B214-3677-42E5-B676-CA70CEC19CD2}" name="Column8874"/>
    <tableColumn id="8875" xr3:uid="{014FE34F-EF23-40A1-B549-DEB5771FF60C}" name="Column8875"/>
    <tableColumn id="8876" xr3:uid="{373DAE22-A39C-4907-A0C7-5594F1FBF430}" name="Column8876"/>
    <tableColumn id="8877" xr3:uid="{70A18CCA-0227-4A3B-B249-1872681036A8}" name="Column8877"/>
    <tableColumn id="8878" xr3:uid="{70EE50EA-FDF4-4BB0-81AF-9E3C02CA7ACD}" name="Column8878"/>
    <tableColumn id="8879" xr3:uid="{9F29C97C-6AB4-47A6-814F-9421BA6D0A72}" name="Column8879"/>
    <tableColumn id="8880" xr3:uid="{22706C36-DFF0-4BF5-B6F1-5D12159E21C0}" name="Column8880"/>
    <tableColumn id="8881" xr3:uid="{C125D790-ABF7-41DA-B5E2-49C3BDB1B1AD}" name="Column8881"/>
    <tableColumn id="8882" xr3:uid="{E7D64EDB-4929-4773-B75D-ABC384F8A94B}" name="Column8882"/>
    <tableColumn id="8883" xr3:uid="{072E6B8F-4568-4654-B952-6E1912EBE800}" name="Column8883"/>
    <tableColumn id="8884" xr3:uid="{BD24A601-4F58-42E3-9E21-32A76E773846}" name="Column8884"/>
    <tableColumn id="8885" xr3:uid="{086E856D-2E29-49FC-9F22-F69DD91818ED}" name="Column8885"/>
    <tableColumn id="8886" xr3:uid="{2B9A7730-253F-479C-9C5A-7ED0677AFE0B}" name="Column8886"/>
    <tableColumn id="8887" xr3:uid="{443C69D1-8BDA-4F08-92C9-209804843B48}" name="Column8887"/>
    <tableColumn id="8888" xr3:uid="{5507481F-C324-46B7-9F24-6842F95E142F}" name="Column8888"/>
    <tableColumn id="8889" xr3:uid="{DB6D4009-E28B-4143-9A25-B043EAAF0D21}" name="Column8889"/>
    <tableColumn id="8890" xr3:uid="{F8C28C06-148A-49EA-B7D3-824BD9359A02}" name="Column8890"/>
    <tableColumn id="8891" xr3:uid="{AB126413-3B8C-4024-AC72-47D8A72741FD}" name="Column8891"/>
    <tableColumn id="8892" xr3:uid="{2849DB39-6964-47DF-8B39-34C2436BB065}" name="Column8892"/>
    <tableColumn id="8893" xr3:uid="{23C0B546-7BFC-401B-BBCA-632C27839EBD}" name="Column8893"/>
    <tableColumn id="8894" xr3:uid="{202D8469-4557-4457-80AC-06BB68C1F7DB}" name="Column8894"/>
    <tableColumn id="8895" xr3:uid="{5DBA153C-5ADC-4EF6-8079-605B9939411E}" name="Column8895"/>
    <tableColumn id="8896" xr3:uid="{48F96DD0-634F-4D15-9311-5F3F26888244}" name="Column8896"/>
    <tableColumn id="8897" xr3:uid="{EE63D724-3DA7-4374-9C43-DF36E5303359}" name="Column8897"/>
    <tableColumn id="8898" xr3:uid="{8BCE2E03-1951-4D78-B715-7C4C01DA1736}" name="Column8898"/>
    <tableColumn id="8899" xr3:uid="{B4FD5FDE-A5C3-4C2D-8C5E-7D7140050E4E}" name="Column8899"/>
    <tableColumn id="8900" xr3:uid="{5DF42BA3-58CC-44A0-A346-834F8C916D12}" name="Column8900"/>
    <tableColumn id="8901" xr3:uid="{22349F3E-8988-4076-9A07-E2C94CD0074C}" name="Column8901"/>
    <tableColumn id="8902" xr3:uid="{B784C329-469D-4E35-A4D7-92277B210FE7}" name="Column8902"/>
    <tableColumn id="8903" xr3:uid="{10909F91-E667-4DD6-AE98-D19327E7ABD5}" name="Column8903"/>
    <tableColumn id="8904" xr3:uid="{45C98496-1F98-433B-9C2A-1574A57B6FD5}" name="Column8904"/>
    <tableColumn id="8905" xr3:uid="{DBC1F8BE-600A-4544-842C-264BBBBCBCEE}" name="Column8905"/>
    <tableColumn id="8906" xr3:uid="{75EE4A23-CCC7-4A10-9A3C-1B845FA650C4}" name="Column8906"/>
    <tableColumn id="8907" xr3:uid="{00AE7673-C1E4-4595-9FA3-F0DEFB3D2E68}" name="Column8907"/>
    <tableColumn id="8908" xr3:uid="{EF787B45-8EB8-44F4-8C68-E900C87AA218}" name="Column8908"/>
    <tableColumn id="8909" xr3:uid="{279B50B0-FBCE-4B76-9ECF-75DA6BDA433A}" name="Column8909"/>
    <tableColumn id="8910" xr3:uid="{45AE3997-312E-4349-903E-6AE4B374FCF0}" name="Column8910"/>
    <tableColumn id="8911" xr3:uid="{88AB2805-CFEB-46FD-9E81-C31FE8D268BA}" name="Column8911"/>
    <tableColumn id="8912" xr3:uid="{4E97BBC6-2D95-48E0-8611-920AEDDB4E74}" name="Column8912"/>
    <tableColumn id="8913" xr3:uid="{B31824F2-DFAC-4840-B471-4F1D0F4BA9F1}" name="Column8913"/>
    <tableColumn id="8914" xr3:uid="{984C9919-A5AE-4035-899E-9A914C6398B6}" name="Column8914"/>
    <tableColumn id="8915" xr3:uid="{C4EAE831-6ACA-4646-8B4E-09ACD556DE71}" name="Column8915"/>
    <tableColumn id="8916" xr3:uid="{36265A8C-AF1C-4FE4-A9AD-3E7E355FF031}" name="Column8916"/>
    <tableColumn id="8917" xr3:uid="{9FE73498-1843-4A82-B36D-FA76C7432E35}" name="Column8917"/>
    <tableColumn id="8918" xr3:uid="{E47ACEE8-573B-4EC7-9856-C272812D8356}" name="Column8918"/>
    <tableColumn id="8919" xr3:uid="{F384ECFB-640E-457A-84B8-7642F027FCF7}" name="Column8919"/>
    <tableColumn id="8920" xr3:uid="{6F928E47-9B15-4A6A-A611-7E89536FF644}" name="Column8920"/>
    <tableColumn id="8921" xr3:uid="{F29AFA47-FE45-40CE-A34F-56FA2DF40B12}" name="Column8921"/>
    <tableColumn id="8922" xr3:uid="{55D4C070-8359-46A0-93AE-9CD373512713}" name="Column8922"/>
    <tableColumn id="8923" xr3:uid="{2928B262-7848-4078-90D1-4055D55D39DB}" name="Column8923"/>
    <tableColumn id="8924" xr3:uid="{6429556E-A897-412A-B113-B4E053AA3B7B}" name="Column8924"/>
    <tableColumn id="8925" xr3:uid="{75911EE4-DAD1-4C32-9952-41B72DCAAED2}" name="Column8925"/>
    <tableColumn id="8926" xr3:uid="{6EC306AE-ADBE-45E4-9EDE-765365467FF5}" name="Column8926"/>
    <tableColumn id="8927" xr3:uid="{221DD2B1-500E-4B3F-ABAF-C6369976167F}" name="Column8927"/>
    <tableColumn id="8928" xr3:uid="{27D3EB9B-83A6-425B-B254-AD88723472D4}" name="Column8928"/>
    <tableColumn id="8929" xr3:uid="{687A1768-4858-4DE7-9760-54543AF77E66}" name="Column8929"/>
    <tableColumn id="8930" xr3:uid="{93CA5D7F-6E62-47F3-A9F7-A63D7B4CB3B9}" name="Column8930"/>
    <tableColumn id="8931" xr3:uid="{61443DED-0187-43D1-BC0C-6CB6CA971BF2}" name="Column8931"/>
    <tableColumn id="8932" xr3:uid="{3BF20941-E53C-4C4A-8B82-782FE0EEF223}" name="Column8932"/>
    <tableColumn id="8933" xr3:uid="{84669A01-00FC-436D-A524-2D1FA4C5F791}" name="Column8933"/>
    <tableColumn id="8934" xr3:uid="{4CE16732-53B2-4F04-B665-0621E5AA4CBD}" name="Column8934"/>
    <tableColumn id="8935" xr3:uid="{E0C5FF4E-68C5-4F03-A3F5-A7B4ACBFBBD0}" name="Column8935"/>
    <tableColumn id="8936" xr3:uid="{42E81BD8-4657-407E-854C-AB8E2148D142}" name="Column8936"/>
    <tableColumn id="8937" xr3:uid="{6E25DF83-65FA-45E2-B369-CA3C6390B96A}" name="Column8937"/>
    <tableColumn id="8938" xr3:uid="{7F5C9A55-1F4B-4B6D-8F99-78D660E308BF}" name="Column8938"/>
    <tableColumn id="8939" xr3:uid="{23509C8C-33FF-472D-B332-B51AC6F3293F}" name="Column8939"/>
    <tableColumn id="8940" xr3:uid="{87820551-5065-4995-8FCD-2DE96D09D82F}" name="Column8940"/>
    <tableColumn id="8941" xr3:uid="{FC182D23-1DB3-4A4D-9E42-3943349C4AAB}" name="Column8941"/>
    <tableColumn id="8942" xr3:uid="{D903094E-57BF-41B6-8BF6-AA80B0596A2A}" name="Column8942"/>
    <tableColumn id="8943" xr3:uid="{4426F2EF-6DBA-4C46-B7DE-A7245961A833}" name="Column8943"/>
    <tableColumn id="8944" xr3:uid="{B68977A1-0806-48CF-84B1-8F25A9CFDF43}" name="Column8944"/>
    <tableColumn id="8945" xr3:uid="{6FAC43E9-4239-4ED6-ABBF-192C3AA8E3DF}" name="Column8945"/>
    <tableColumn id="8946" xr3:uid="{7A24F480-6AE8-416E-AA62-71B6C055D49D}" name="Column8946"/>
    <tableColumn id="8947" xr3:uid="{051B6DCF-8ED8-4A90-9F78-418A3DABC516}" name="Column8947"/>
    <tableColumn id="8948" xr3:uid="{00067331-F86A-431C-AEF0-E3F08B450DF8}" name="Column8948"/>
    <tableColumn id="8949" xr3:uid="{1F780A0F-3CF1-4EA9-99CE-85BDF0773B10}" name="Column8949"/>
    <tableColumn id="8950" xr3:uid="{3FACCF70-70D1-4EA9-BDB0-61F79017BFD8}" name="Column8950"/>
    <tableColumn id="8951" xr3:uid="{E2081458-BB38-4CD3-9E48-425E51C6D476}" name="Column8951"/>
    <tableColumn id="8952" xr3:uid="{B9CF3724-7690-4F49-9ADF-D3BBE43AEADE}" name="Column8952"/>
    <tableColumn id="8953" xr3:uid="{50A73EF4-C6AE-41BB-9F11-0603C4C63280}" name="Column8953"/>
    <tableColumn id="8954" xr3:uid="{DF337423-BD95-4758-8186-155202C3B09D}" name="Column8954"/>
    <tableColumn id="8955" xr3:uid="{3ACE8646-6BAB-4D56-9BEA-3556B6883696}" name="Column8955"/>
    <tableColumn id="8956" xr3:uid="{E0A48167-2201-4F0D-B765-BB2108D403F9}" name="Column8956"/>
    <tableColumn id="8957" xr3:uid="{BFC18178-3159-41B7-A6D4-906A66649200}" name="Column8957"/>
    <tableColumn id="8958" xr3:uid="{ED49596C-319D-4CF9-BBAE-1276C31BBF6F}" name="Column8958"/>
    <tableColumn id="8959" xr3:uid="{B46AFA50-CACB-4BA7-AB91-D56FC0155709}" name="Column8959"/>
    <tableColumn id="8960" xr3:uid="{59C02E76-0847-491D-83A4-9EBC74B90F2F}" name="Column8960"/>
    <tableColumn id="8961" xr3:uid="{4E446BB9-39F7-4E4A-A2A7-955EB891F567}" name="Column8961"/>
    <tableColumn id="8962" xr3:uid="{8FE5458A-2DD3-4A9A-953D-04EECF7E8E1A}" name="Column8962"/>
    <tableColumn id="8963" xr3:uid="{4DF1780F-7FC1-4FD1-9756-7D1B20FE3633}" name="Column8963"/>
    <tableColumn id="8964" xr3:uid="{00BEB3A3-F038-4122-8EFD-404D5D38902F}" name="Column8964"/>
    <tableColumn id="8965" xr3:uid="{5BE17086-455B-4ADD-8BAD-C71851CCE6FB}" name="Column8965"/>
    <tableColumn id="8966" xr3:uid="{7D773C65-52B3-4582-914A-94B8114A4FFE}" name="Column8966"/>
    <tableColumn id="8967" xr3:uid="{2A80E2CE-90B6-4CE3-84E8-290D7ECC476F}" name="Column8967"/>
    <tableColumn id="8968" xr3:uid="{9CD31FBA-A7A9-43C0-A907-03B49FEBE7DE}" name="Column8968"/>
    <tableColumn id="8969" xr3:uid="{647C2263-98AC-4F1F-AB63-068A33F1DAC0}" name="Column8969"/>
    <tableColumn id="8970" xr3:uid="{18396094-141A-420F-9D35-099BBD65A069}" name="Column8970"/>
    <tableColumn id="8971" xr3:uid="{E8A33D10-06BD-4E02-B1A3-EA7E52552FEB}" name="Column8971"/>
    <tableColumn id="8972" xr3:uid="{B97CF8BF-1FDA-42B3-B3B4-4F70F3A8BBBE}" name="Column8972"/>
    <tableColumn id="8973" xr3:uid="{727FADE3-1DE8-4AF3-9A29-C6617F475ECA}" name="Column8973"/>
    <tableColumn id="8974" xr3:uid="{07D2BD7F-8D4A-4BFE-9F5B-FB1C89E0E832}" name="Column8974"/>
    <tableColumn id="8975" xr3:uid="{436EF46F-7502-4F24-8034-4D76B7ACF5A5}" name="Column8975"/>
    <tableColumn id="8976" xr3:uid="{1BD6BD73-BEFD-430E-A5EE-96D3D25B3A4D}" name="Column8976"/>
    <tableColumn id="8977" xr3:uid="{D750B404-F086-4E93-B1C2-81C635F50E49}" name="Column8977"/>
    <tableColumn id="8978" xr3:uid="{3AC95A3D-FE99-4F36-BB11-34B553755842}" name="Column8978"/>
    <tableColumn id="8979" xr3:uid="{3FA8B490-F727-41F2-806F-D19B1DC34DB6}" name="Column8979"/>
    <tableColumn id="8980" xr3:uid="{A7D7B043-0E7D-4EAE-B448-C0B41C9A2738}" name="Column8980"/>
    <tableColumn id="8981" xr3:uid="{DF4F2A9E-C966-4321-B02C-F4DA7DA83D8C}" name="Column8981"/>
    <tableColumn id="8982" xr3:uid="{2773FE69-8343-4302-80B3-35ACACC50ABC}" name="Column8982"/>
    <tableColumn id="8983" xr3:uid="{D7621237-899A-4FB2-8F55-C0211562AEC2}" name="Column8983"/>
    <tableColumn id="8984" xr3:uid="{D1C2FD6C-587D-4E9F-AB26-E47C29C3AE83}" name="Column8984"/>
    <tableColumn id="8985" xr3:uid="{146744D0-1573-4D6A-9589-587700B0183E}" name="Column8985"/>
    <tableColumn id="8986" xr3:uid="{F438CE8F-4F60-486B-92DA-F9F7E3E088D8}" name="Column8986"/>
    <tableColumn id="8987" xr3:uid="{9764E028-41E9-4AB6-8FB1-3953339BC436}" name="Column8987"/>
    <tableColumn id="8988" xr3:uid="{4A3097A7-427E-498A-ACC4-EB81CCE1B74E}" name="Column8988"/>
    <tableColumn id="8989" xr3:uid="{03CFD5D0-8C0C-469F-B317-69FEB0D81D24}" name="Column8989"/>
    <tableColumn id="8990" xr3:uid="{828FDAF5-1B55-4CA6-B229-4CEA71E93873}" name="Column8990"/>
    <tableColumn id="8991" xr3:uid="{D0E8F4F8-C420-4E43-A022-A1B3AFA9671F}" name="Column8991"/>
    <tableColumn id="8992" xr3:uid="{AFA0DA89-59B1-4847-AB15-E7B96372398A}" name="Column8992"/>
    <tableColumn id="8993" xr3:uid="{02884321-BCCB-454C-9A2D-8981B1B715D7}" name="Column8993"/>
    <tableColumn id="8994" xr3:uid="{0A0D29EC-EE59-416D-83ED-09E72CFFC1AA}" name="Column8994"/>
    <tableColumn id="8995" xr3:uid="{ECA3836F-50C6-433C-B728-3E2EC06A798D}" name="Column8995"/>
    <tableColumn id="8996" xr3:uid="{7FB33CBF-3DAB-438F-BEB9-FDA18847A1CA}" name="Column8996"/>
    <tableColumn id="8997" xr3:uid="{6AADAE62-0412-4668-8BBF-275900F9C667}" name="Column8997"/>
    <tableColumn id="8998" xr3:uid="{893DEC81-F3A3-4722-B977-A8CFA6E2EF24}" name="Column8998"/>
    <tableColumn id="8999" xr3:uid="{2A63B64A-AC3C-4D6E-BAE7-A7CEDA08CD08}" name="Column8999"/>
    <tableColumn id="9000" xr3:uid="{87F36C93-2642-4B67-A8DD-ED08EE33B3B7}" name="Column9000"/>
    <tableColumn id="9001" xr3:uid="{9151882E-3955-4682-A187-1B3F6F5EBF3C}" name="Column9001"/>
    <tableColumn id="9002" xr3:uid="{A503B8BD-B27F-4AFD-8015-C2E396180D33}" name="Column9002"/>
    <tableColumn id="9003" xr3:uid="{CA7346C6-E64D-4752-847C-7950E9E59236}" name="Column9003"/>
    <tableColumn id="9004" xr3:uid="{209242C9-D3DB-453A-8805-F05832E95F0D}" name="Column9004"/>
    <tableColumn id="9005" xr3:uid="{5B610F08-7C81-4160-AC5F-2A9B62ED48BE}" name="Column9005"/>
    <tableColumn id="9006" xr3:uid="{5FAC36AA-60EC-42AD-84AC-90829AA47AFA}" name="Column9006"/>
    <tableColumn id="9007" xr3:uid="{2D8DCB47-6FA5-40C3-9184-2A479C885029}" name="Column9007"/>
    <tableColumn id="9008" xr3:uid="{E7997EAC-3BDB-4585-97A2-016258A00B68}" name="Column9008"/>
    <tableColumn id="9009" xr3:uid="{6483DFF8-DB1C-4F9B-9202-A677C3E0D137}" name="Column9009"/>
    <tableColumn id="9010" xr3:uid="{DA8AE4F6-4611-4745-A267-03EF9B80A644}" name="Column9010"/>
    <tableColumn id="9011" xr3:uid="{D2847E2E-95D6-4929-8A37-2BBA246A15F0}" name="Column9011"/>
    <tableColumn id="9012" xr3:uid="{35627636-E6BB-4AA0-9CC2-D65BC7E3BE70}" name="Column9012"/>
    <tableColumn id="9013" xr3:uid="{72875EA9-449A-4A83-86E3-A0334B6DF137}" name="Column9013"/>
    <tableColumn id="9014" xr3:uid="{C672FE20-DAE6-4AF1-BE18-B2F2A497DB33}" name="Column9014"/>
    <tableColumn id="9015" xr3:uid="{F8E210AD-5FCF-48EB-9154-03E24C7F1420}" name="Column9015"/>
    <tableColumn id="9016" xr3:uid="{90566D30-807D-45D3-82D6-F5423429F80C}" name="Column9016"/>
    <tableColumn id="9017" xr3:uid="{1D6B1EA9-5C10-4552-88F3-4685196AF727}" name="Column9017"/>
    <tableColumn id="9018" xr3:uid="{42639782-BF04-46F6-A208-175725876279}" name="Column9018"/>
    <tableColumn id="9019" xr3:uid="{8B41A99E-84B0-4283-9E45-FE35153BAD11}" name="Column9019"/>
    <tableColumn id="9020" xr3:uid="{7D5158B0-FE7F-424D-B8E3-AE41C81EE177}" name="Column9020"/>
    <tableColumn id="9021" xr3:uid="{BE9F32DD-7754-4EDA-B793-310EA92E1556}" name="Column9021"/>
    <tableColumn id="9022" xr3:uid="{709BFE62-F899-49B5-B35B-25CA27223261}" name="Column9022"/>
    <tableColumn id="9023" xr3:uid="{BB9010F5-AA73-459E-8B92-9B5D732A0073}" name="Column9023"/>
    <tableColumn id="9024" xr3:uid="{C443FDFE-EB94-4AC4-AAD4-3E34B0591F6C}" name="Column9024"/>
    <tableColumn id="9025" xr3:uid="{4B36FD9C-F848-4735-9CA8-F40B3BF8C081}" name="Column9025"/>
    <tableColumn id="9026" xr3:uid="{97C9BBE8-C4EF-41AA-8E34-8C045021BE65}" name="Column9026"/>
    <tableColumn id="9027" xr3:uid="{D46B4345-3C7D-42E5-9A5A-2D55F43EB769}" name="Column9027"/>
    <tableColumn id="9028" xr3:uid="{3001B730-E90B-4F38-B915-B2420D5BE3C3}" name="Column9028"/>
    <tableColumn id="9029" xr3:uid="{7BE57DBD-D6AC-430E-812A-B283BAEF9717}" name="Column9029"/>
    <tableColumn id="9030" xr3:uid="{EBB0F475-37AC-4EE0-B086-6A321D8668A0}" name="Column9030"/>
    <tableColumn id="9031" xr3:uid="{8F281562-8528-4E1A-B9CA-57B405E25315}" name="Column9031"/>
    <tableColumn id="9032" xr3:uid="{AAF88746-5AA3-496D-854D-A56CF6E3DFE2}" name="Column9032"/>
    <tableColumn id="9033" xr3:uid="{54C09A23-2AF2-4D0A-A518-F54B0FB69226}" name="Column9033"/>
    <tableColumn id="9034" xr3:uid="{3A97C00F-7DD7-4B10-8F1F-6A90561AC982}" name="Column9034"/>
    <tableColumn id="9035" xr3:uid="{C5F5F2EF-F39E-4F76-918F-67C3E9D6D486}" name="Column9035"/>
    <tableColumn id="9036" xr3:uid="{7FD9DB82-3158-445C-9857-52A80E06D178}" name="Column9036"/>
    <tableColumn id="9037" xr3:uid="{8476535E-2E83-4617-8042-B9623266C8A6}" name="Column9037"/>
    <tableColumn id="9038" xr3:uid="{822FFA63-9328-4ADA-AB35-23D3A40E399C}" name="Column9038"/>
    <tableColumn id="9039" xr3:uid="{E0841B53-84A8-4B54-9F3D-53B3FAD3EA0D}" name="Column9039"/>
    <tableColumn id="9040" xr3:uid="{F822F61F-0E59-4DAF-9F45-06EDC0D49B24}" name="Column9040"/>
    <tableColumn id="9041" xr3:uid="{AAA4DDF7-8001-4EAF-90BC-103E19F5744B}" name="Column9041"/>
    <tableColumn id="9042" xr3:uid="{9130750A-7442-403F-A8C5-24442FCE9FDF}" name="Column9042"/>
    <tableColumn id="9043" xr3:uid="{EBB8DCBC-37AA-479F-AFEB-D8A7756A0CF8}" name="Column9043"/>
    <tableColumn id="9044" xr3:uid="{24D16280-E6D0-4452-8B25-31309280D23C}" name="Column9044"/>
    <tableColumn id="9045" xr3:uid="{71C72FD9-8EAC-4039-8C46-4913411B6CCA}" name="Column9045"/>
    <tableColumn id="9046" xr3:uid="{39D79C7F-E9D9-4EFF-9A84-81AA818BD699}" name="Column9046"/>
    <tableColumn id="9047" xr3:uid="{F87A9DFA-1276-4270-9A26-277968032A26}" name="Column9047"/>
    <tableColumn id="9048" xr3:uid="{E57A62C6-BB96-43D8-9FA9-5145903866BD}" name="Column9048"/>
    <tableColumn id="9049" xr3:uid="{8847B17D-1AAD-4815-86BC-196985E35F74}" name="Column9049"/>
    <tableColumn id="9050" xr3:uid="{2D3D1ED8-74D4-4134-A458-DC54A9A0C3B9}" name="Column9050"/>
    <tableColumn id="9051" xr3:uid="{F39E4DD3-9C5D-4733-A0EE-749C27AF020C}" name="Column9051"/>
    <tableColumn id="9052" xr3:uid="{0140168C-52FB-42FD-997C-BB9D8921A61E}" name="Column9052"/>
    <tableColumn id="9053" xr3:uid="{99C3CCF8-6C52-4853-8F0E-2CA6FF7645FA}" name="Column9053"/>
    <tableColumn id="9054" xr3:uid="{C8422B44-55A9-4DF4-A501-F8F46DD94B40}" name="Column9054"/>
    <tableColumn id="9055" xr3:uid="{1B897EAF-5B56-4D27-AD63-17AFBE6BAA3E}" name="Column9055"/>
    <tableColumn id="9056" xr3:uid="{2C06CEAC-D7FD-4855-8769-A12C1ABC0F30}" name="Column9056"/>
    <tableColumn id="9057" xr3:uid="{6AA64556-2D3F-4059-A2D0-30D07A9C8A05}" name="Column9057"/>
    <tableColumn id="9058" xr3:uid="{8452EB8E-5B83-4B46-BB06-3F33FA49E309}" name="Column9058"/>
    <tableColumn id="9059" xr3:uid="{71A4F672-CDD6-4B37-A227-1537DC575DEE}" name="Column9059"/>
    <tableColumn id="9060" xr3:uid="{85DE691A-3DD7-4BBC-8848-BE0B3A087BFE}" name="Column9060"/>
    <tableColumn id="9061" xr3:uid="{1C37E2CD-E38B-4643-B68E-63B820052FEC}" name="Column9061"/>
    <tableColumn id="9062" xr3:uid="{64E0E2A4-BC61-48EF-8D6E-035F6FB033C7}" name="Column9062"/>
    <tableColumn id="9063" xr3:uid="{5C326DAD-7932-47A2-B3B3-4700472C763E}" name="Column9063"/>
    <tableColumn id="9064" xr3:uid="{1126B63F-2EC7-49AB-B9C4-531EB77512EA}" name="Column9064"/>
    <tableColumn id="9065" xr3:uid="{7419C2FF-A252-4DB2-9675-66433CD0F2A9}" name="Column9065"/>
    <tableColumn id="9066" xr3:uid="{5264A3DA-2297-4206-9AED-32A77637B8C5}" name="Column9066"/>
    <tableColumn id="9067" xr3:uid="{800EEDB5-1A6A-48CE-86C7-DA9DFB243429}" name="Column9067"/>
    <tableColumn id="9068" xr3:uid="{84745B18-3CF3-43B3-9030-5CC8CBA5FA35}" name="Column9068"/>
    <tableColumn id="9069" xr3:uid="{C2E5CED9-6182-4461-A870-153A2F21459C}" name="Column9069"/>
    <tableColumn id="9070" xr3:uid="{6996568F-3032-4C8F-910E-02938FC554CC}" name="Column9070"/>
    <tableColumn id="9071" xr3:uid="{2F6CC4A7-CF02-45BD-A29F-93ED723133F7}" name="Column9071"/>
    <tableColumn id="9072" xr3:uid="{7E5EAC06-31B8-4A72-AF90-C633219D69E1}" name="Column9072"/>
    <tableColumn id="9073" xr3:uid="{E39F9A2A-2D6B-454E-AFB1-A762DAD379AA}" name="Column9073"/>
    <tableColumn id="9074" xr3:uid="{02953258-7E4A-4A5D-91E5-E20727929ABD}" name="Column9074"/>
    <tableColumn id="9075" xr3:uid="{EACCDD57-8607-420B-A6CF-A09956B46C05}" name="Column9075"/>
    <tableColumn id="9076" xr3:uid="{89B3B019-B4DE-4FDD-B500-AAAFEA148E6B}" name="Column9076"/>
    <tableColumn id="9077" xr3:uid="{E618C3B8-168A-4E18-908C-2A9518687139}" name="Column9077"/>
    <tableColumn id="9078" xr3:uid="{3CF38275-40F2-43FC-90BB-1766EA447F98}" name="Column9078"/>
    <tableColumn id="9079" xr3:uid="{812DC33A-E537-4B93-9057-2CB54DE4AE85}" name="Column9079"/>
    <tableColumn id="9080" xr3:uid="{51FAFB17-1B4E-440E-8B70-7F2BA4BC14EF}" name="Column9080"/>
    <tableColumn id="9081" xr3:uid="{4A98606E-51C4-46D8-8C06-07D8135BB85D}" name="Column9081"/>
    <tableColumn id="9082" xr3:uid="{940E3A1A-D141-453D-92E5-35FCE30D27BD}" name="Column9082"/>
    <tableColumn id="9083" xr3:uid="{F11562DA-0BC9-4152-9225-3D602E69319E}" name="Column9083"/>
    <tableColumn id="9084" xr3:uid="{95BC0BFD-3DA3-455A-B462-912A48A3BD55}" name="Column9084"/>
    <tableColumn id="9085" xr3:uid="{7BF0B4B6-1C26-4B84-B65F-1FBB5C72B216}" name="Column9085"/>
    <tableColumn id="9086" xr3:uid="{33BFAF84-7B7F-41E6-8B5F-1D00EBDFA6CE}" name="Column9086"/>
    <tableColumn id="9087" xr3:uid="{4F354C89-B54B-411C-8305-A8647A12C263}" name="Column9087"/>
    <tableColumn id="9088" xr3:uid="{DE528D4C-A261-4B9A-A30E-C0C59B4F53A1}" name="Column9088"/>
    <tableColumn id="9089" xr3:uid="{6B93908C-5BC6-4816-A88E-002F302A2BA2}" name="Column9089"/>
    <tableColumn id="9090" xr3:uid="{14F7865D-96C9-4554-9D6B-88D26D3F48E4}" name="Column9090"/>
    <tableColumn id="9091" xr3:uid="{D2A0C4B7-154C-4137-8B33-9A7315FC801C}" name="Column9091"/>
    <tableColumn id="9092" xr3:uid="{79CA6A9A-C19E-4A1F-BCB2-BA2FAEC12709}" name="Column9092"/>
    <tableColumn id="9093" xr3:uid="{43E4D254-AA3C-40B8-911C-0B2021F1F5D3}" name="Column9093"/>
    <tableColumn id="9094" xr3:uid="{B07AC5AD-F49B-4189-8924-4883F8554622}" name="Column9094"/>
    <tableColumn id="9095" xr3:uid="{3F9D72CA-8BBF-4E11-B978-709B476918C8}" name="Column9095"/>
    <tableColumn id="9096" xr3:uid="{2CD499BB-5025-49AC-8762-FF1141842B3B}" name="Column9096"/>
    <tableColumn id="9097" xr3:uid="{01F9E77F-1BB8-4B72-9555-EC2F84C6C34D}" name="Column9097"/>
    <tableColumn id="9098" xr3:uid="{B56A292F-54AD-462A-8EE5-338D427BFD45}" name="Column9098"/>
    <tableColumn id="9099" xr3:uid="{FC7BE2F9-A215-4DB0-8388-CAEF718C1744}" name="Column9099"/>
    <tableColumn id="9100" xr3:uid="{9DFC86EF-EA0D-4D2C-99E7-2FCF2BF9E34F}" name="Column9100"/>
    <tableColumn id="9101" xr3:uid="{C03FE782-4E73-4CE0-AB44-5C9F917AA5DC}" name="Column9101"/>
    <tableColumn id="9102" xr3:uid="{80FF483F-2444-44BA-886F-984ED9BC5AC5}" name="Column9102"/>
    <tableColumn id="9103" xr3:uid="{A9FCE79B-CDDA-4CCE-B1C2-5AC25EC88199}" name="Column9103"/>
    <tableColumn id="9104" xr3:uid="{67A3B7FC-B100-46B8-9B73-6F26A32A1118}" name="Column9104"/>
    <tableColumn id="9105" xr3:uid="{3E0409F4-FB3E-42DD-AF13-1FFA71512DC6}" name="Column9105"/>
    <tableColumn id="9106" xr3:uid="{86DFAD20-A9D2-4CF6-B83A-840981C9C5ED}" name="Column9106"/>
    <tableColumn id="9107" xr3:uid="{3F3659BF-7636-4B8B-B659-320500B84D9C}" name="Column9107"/>
    <tableColumn id="9108" xr3:uid="{7C7FF454-9C2A-4308-913F-9CA8F9BE334E}" name="Column9108"/>
    <tableColumn id="9109" xr3:uid="{D47CD4CB-199C-41DD-AD33-775B4DD28C8D}" name="Column9109"/>
    <tableColumn id="9110" xr3:uid="{5DB657FE-09DD-4DE1-81EF-6CEDBD8A1DC6}" name="Column9110"/>
    <tableColumn id="9111" xr3:uid="{E6E11245-C923-4365-BE0C-9F61609F560A}" name="Column9111"/>
    <tableColumn id="9112" xr3:uid="{93AE9101-140A-4F5C-997B-874CDDC79094}" name="Column9112"/>
    <tableColumn id="9113" xr3:uid="{B24D0058-EBA6-47D5-9A03-49521525EE00}" name="Column9113"/>
    <tableColumn id="9114" xr3:uid="{CD23DE36-221C-4148-BEBF-8A4C2BB71A3F}" name="Column9114"/>
    <tableColumn id="9115" xr3:uid="{A3317A28-DC67-4A8E-8C59-5A1EE0CAF56E}" name="Column9115"/>
    <tableColumn id="9116" xr3:uid="{AAA5394C-230C-437A-8AB1-E0DDD7838C27}" name="Column9116"/>
    <tableColumn id="9117" xr3:uid="{1C16CEBB-28DC-4809-ABF0-F369CB699295}" name="Column9117"/>
    <tableColumn id="9118" xr3:uid="{EDB82E6B-FB83-4AC0-B3CD-60B63C83A4A9}" name="Column9118"/>
    <tableColumn id="9119" xr3:uid="{9C90FEA1-9C73-4FD8-B48D-44CD48C3EF7C}" name="Column9119"/>
    <tableColumn id="9120" xr3:uid="{F6728102-EE0C-4860-A2C8-DABA256C2689}" name="Column9120"/>
    <tableColumn id="9121" xr3:uid="{1EEF7C8B-2B52-40F6-BC27-E093D7D4C8AA}" name="Column9121"/>
    <tableColumn id="9122" xr3:uid="{F395D196-D3FC-4FBD-B5AC-ED11E986F146}" name="Column9122"/>
    <tableColumn id="9123" xr3:uid="{2F9DB830-B43F-4334-8968-4DEB2DDF12F3}" name="Column9123"/>
    <tableColumn id="9124" xr3:uid="{01EE0D59-29D1-40D0-9EA0-41D3C2D5B51B}" name="Column9124"/>
    <tableColumn id="9125" xr3:uid="{7EA5147B-C734-4C52-A6FC-B32DF0EC0AC8}" name="Column9125"/>
    <tableColumn id="9126" xr3:uid="{AC2A289D-AC03-461D-BD98-67B06C2BE66B}" name="Column9126"/>
    <tableColumn id="9127" xr3:uid="{DAAF0CB1-4F61-47AC-827A-3000959C7E86}" name="Column9127"/>
    <tableColumn id="9128" xr3:uid="{837A89B7-7E28-4AC4-8C65-D3AA2C2BB7C5}" name="Column9128"/>
    <tableColumn id="9129" xr3:uid="{CAC9E93B-6E87-47DD-AE15-EC12EC0CABA9}" name="Column9129"/>
    <tableColumn id="9130" xr3:uid="{376FC9A6-F42B-42B1-B88F-90E100E6FE24}" name="Column9130"/>
    <tableColumn id="9131" xr3:uid="{8E044C26-6477-42B1-B13C-2B8BAC1F8236}" name="Column9131"/>
    <tableColumn id="9132" xr3:uid="{6F126661-F8D2-41A2-AC7B-63CE7E6D96D4}" name="Column9132"/>
    <tableColumn id="9133" xr3:uid="{2D8D8A4F-8F29-48EC-8787-13BC8062CE68}" name="Column9133"/>
    <tableColumn id="9134" xr3:uid="{BEF31F89-88F4-40A0-B429-AAD3F0F06ABD}" name="Column9134"/>
    <tableColumn id="9135" xr3:uid="{762A7ACF-CDD9-4800-BBC4-7ECED93975C2}" name="Column9135"/>
    <tableColumn id="9136" xr3:uid="{E58D9B79-F353-46A2-874C-08FC852B4FF6}" name="Column9136"/>
    <tableColumn id="9137" xr3:uid="{FCD0C4AE-AD08-4CBD-B534-689DAAE297AD}" name="Column9137"/>
    <tableColumn id="9138" xr3:uid="{8C09466A-32C0-44A2-A257-1964C977725E}" name="Column9138"/>
    <tableColumn id="9139" xr3:uid="{2CFDFEA8-DAB6-481E-9CC3-FE6D5CD8F403}" name="Column9139"/>
    <tableColumn id="9140" xr3:uid="{0D5420BF-7F15-407C-A3A1-1A9BEF9A1A9D}" name="Column9140"/>
    <tableColumn id="9141" xr3:uid="{0923058D-E6AB-4BBE-86DF-AED1364E7558}" name="Column9141"/>
    <tableColumn id="9142" xr3:uid="{BF02BAAA-A4C7-45A4-AB57-493F9F7DD363}" name="Column9142"/>
    <tableColumn id="9143" xr3:uid="{7EE54E75-66F4-4FA2-B13B-785035FC9233}" name="Column9143"/>
    <tableColumn id="9144" xr3:uid="{20E563D5-B64D-4C36-AB9F-172127DFC4F8}" name="Column9144"/>
    <tableColumn id="9145" xr3:uid="{501BB4B0-558B-4C30-84DC-F9218CF274FA}" name="Column9145"/>
    <tableColumn id="9146" xr3:uid="{D7FC0B78-BAD8-4D19-AD5C-00EC8B8CDA22}" name="Column9146"/>
    <tableColumn id="9147" xr3:uid="{C23F81EA-E301-407E-A564-3B1453A240C5}" name="Column9147"/>
    <tableColumn id="9148" xr3:uid="{65DA777C-2275-4FC0-9233-335A49C9C027}" name="Column9148"/>
    <tableColumn id="9149" xr3:uid="{35E0F5CE-2E86-465A-AD17-7DCE5DCA1986}" name="Column9149"/>
    <tableColumn id="9150" xr3:uid="{2E56E25C-F24C-4896-82A1-AF9836CF1D09}" name="Column9150"/>
    <tableColumn id="9151" xr3:uid="{E6F0FADC-D0A8-4638-88E2-6D619A50D403}" name="Column9151"/>
    <tableColumn id="9152" xr3:uid="{D683FB89-5843-448C-BC85-2DCF70B7AB38}" name="Column9152"/>
    <tableColumn id="9153" xr3:uid="{893528F6-6EB0-4EE5-A2C6-D9E4A446FAB9}" name="Column9153"/>
    <tableColumn id="9154" xr3:uid="{067608A2-376F-421B-87CC-04A159764FB2}" name="Column9154"/>
    <tableColumn id="9155" xr3:uid="{80B84491-5FC5-4069-96B4-008B87ACB560}" name="Column9155"/>
    <tableColumn id="9156" xr3:uid="{13A545DE-9CAB-4137-887A-F05AAC71F67F}" name="Column9156"/>
    <tableColumn id="9157" xr3:uid="{836E6BC7-F7ED-4AB9-9B29-FEC8EA896E42}" name="Column9157"/>
    <tableColumn id="9158" xr3:uid="{433E630A-A9A1-427F-87CF-C6EE84FB00C3}" name="Column9158"/>
    <tableColumn id="9159" xr3:uid="{7A4C1BCD-C713-4A7B-9563-BDD017634B62}" name="Column9159"/>
    <tableColumn id="9160" xr3:uid="{9A0C7716-D359-4AD5-A0AA-BF3343B4D233}" name="Column9160"/>
    <tableColumn id="9161" xr3:uid="{D198B823-A873-4299-9267-279F3B84FC59}" name="Column9161"/>
    <tableColumn id="9162" xr3:uid="{00869057-CBB7-448D-9453-F2CE98145714}" name="Column9162"/>
    <tableColumn id="9163" xr3:uid="{5498C577-F3C1-4B56-8852-E7E4377020E0}" name="Column9163"/>
    <tableColumn id="9164" xr3:uid="{D980B0E7-F8F6-470C-A6A8-3A5D3E6D3996}" name="Column9164"/>
    <tableColumn id="9165" xr3:uid="{69CA9D05-4D36-4A73-B6ED-A0528B3123BE}" name="Column9165"/>
    <tableColumn id="9166" xr3:uid="{C75885AB-46AC-4D83-A401-2701BC4B86E6}" name="Column9166"/>
    <tableColumn id="9167" xr3:uid="{235149E2-AFDF-4B3E-876B-8227D2E112D3}" name="Column9167"/>
    <tableColumn id="9168" xr3:uid="{2C6AABB9-C45D-45A4-9578-98A6D0AC0530}" name="Column9168"/>
    <tableColumn id="9169" xr3:uid="{0AEF129B-2BDB-437B-843C-4E2568E105D6}" name="Column9169"/>
    <tableColumn id="9170" xr3:uid="{13F76DD7-1D90-4519-9014-862F8BF3BFF1}" name="Column9170"/>
    <tableColumn id="9171" xr3:uid="{D834D770-D22D-4355-93D2-6D876C21E8F7}" name="Column9171"/>
    <tableColumn id="9172" xr3:uid="{E60DE50E-AB67-446F-A58C-B2A1C1D33BC8}" name="Column9172"/>
    <tableColumn id="9173" xr3:uid="{4EA13A76-B206-4FF3-90FC-C0AC13AF99A5}" name="Column9173"/>
    <tableColumn id="9174" xr3:uid="{FD15C429-8C1E-4B01-AECB-F7FB56F2B38D}" name="Column9174"/>
    <tableColumn id="9175" xr3:uid="{57AEFD0E-7C18-4355-B7F6-9F4F389BE05F}" name="Column9175"/>
    <tableColumn id="9176" xr3:uid="{50D090FA-4B84-4057-B242-33A45BAE15D5}" name="Column9176"/>
    <tableColumn id="9177" xr3:uid="{529959B2-093D-4143-9F89-5BC42789AECE}" name="Column9177"/>
    <tableColumn id="9178" xr3:uid="{57312C1E-23CE-40A9-B363-C792803487BE}" name="Column9178"/>
    <tableColumn id="9179" xr3:uid="{4700DDF1-92E5-4185-9DD8-19A0C3DE64B9}" name="Column9179"/>
    <tableColumn id="9180" xr3:uid="{3EE36AE9-1DEB-4D46-A2EE-3AA6FF6FE481}" name="Column9180"/>
    <tableColumn id="9181" xr3:uid="{833E3EF7-4E98-46B9-B665-0E0AAB300E23}" name="Column9181"/>
    <tableColumn id="9182" xr3:uid="{CDD51615-0ED6-42B5-B2D6-441BD9FC32E8}" name="Column9182"/>
    <tableColumn id="9183" xr3:uid="{FCF80671-FB8F-45AD-908E-351D1068CE7A}" name="Column9183"/>
    <tableColumn id="9184" xr3:uid="{4D8F2380-3BB3-4150-BC31-F5C8658A446B}" name="Column9184"/>
    <tableColumn id="9185" xr3:uid="{B434A020-6C7E-4888-A6DC-F52D7EEBED71}" name="Column9185"/>
    <tableColumn id="9186" xr3:uid="{D5A5494E-C2A0-46FD-9D9E-9069890D3809}" name="Column9186"/>
    <tableColumn id="9187" xr3:uid="{196FC36A-48DA-4003-BE71-B26167DA07DB}" name="Column9187"/>
    <tableColumn id="9188" xr3:uid="{981FF312-FA4C-4666-8838-CA785012BD35}" name="Column9188"/>
    <tableColumn id="9189" xr3:uid="{CE6BCD1B-97FE-4B1A-ACBC-2B7537F233BE}" name="Column9189"/>
    <tableColumn id="9190" xr3:uid="{09787D01-CD80-476A-8357-A930E5CFA436}" name="Column9190"/>
    <tableColumn id="9191" xr3:uid="{476573ED-10AA-4074-847E-4047B1410830}" name="Column9191"/>
    <tableColumn id="9192" xr3:uid="{730A36D9-428E-4C79-84E5-FE7EA88443BD}" name="Column9192"/>
    <tableColumn id="9193" xr3:uid="{78F91B78-5862-4A6E-9AF6-05FB3672FDA0}" name="Column9193"/>
    <tableColumn id="9194" xr3:uid="{537CCD94-9DB0-4D4F-B5F5-3E1846513CEB}" name="Column9194"/>
    <tableColumn id="9195" xr3:uid="{DA8113ED-BCB2-42CE-AFCD-ECB3A4765C4C}" name="Column9195"/>
    <tableColumn id="9196" xr3:uid="{93FF82BF-8635-4BB4-9921-BFD1655A15DB}" name="Column9196"/>
    <tableColumn id="9197" xr3:uid="{CA394453-D587-49C4-9893-CDB62EE45F0C}" name="Column9197"/>
    <tableColumn id="9198" xr3:uid="{29B06C04-BFAD-4E95-BB77-5FC05D5FEE10}" name="Column9198"/>
    <tableColumn id="9199" xr3:uid="{BE47DE9B-0A9A-46E1-AB74-8781212C9994}" name="Column9199"/>
    <tableColumn id="9200" xr3:uid="{43BBF871-F001-45DF-B775-5899083240D4}" name="Column9200"/>
    <tableColumn id="9201" xr3:uid="{A28912F1-65F0-41C7-98B3-9607FFF995F1}" name="Column9201"/>
    <tableColumn id="9202" xr3:uid="{10258ACE-EDE7-48B9-99A2-0E96F161B29C}" name="Column9202"/>
    <tableColumn id="9203" xr3:uid="{E22D62CE-FC45-490B-AFC0-3BCAF4D133D5}" name="Column9203"/>
    <tableColumn id="9204" xr3:uid="{7F5CF69F-9AE9-48D9-B3C4-DD2A1B56938F}" name="Column9204"/>
    <tableColumn id="9205" xr3:uid="{353E8A6B-048D-45CA-8B77-3532BCBD86FA}" name="Column9205"/>
    <tableColumn id="9206" xr3:uid="{7FACF2D2-39E9-43F3-80A8-2BBAEE099581}" name="Column9206"/>
    <tableColumn id="9207" xr3:uid="{AFE342D5-94EC-4477-9863-78A412EC94F2}" name="Column9207"/>
    <tableColumn id="9208" xr3:uid="{ED34492D-C5FE-4ECE-A929-B033EDC05174}" name="Column9208"/>
    <tableColumn id="9209" xr3:uid="{133B3270-3F2B-4C86-89AC-63E09A728BCF}" name="Column9209"/>
    <tableColumn id="9210" xr3:uid="{5146E9CD-D770-4F3D-9669-6CEE45DFC35C}" name="Column9210"/>
    <tableColumn id="9211" xr3:uid="{928110A7-E91D-41C2-84D0-3A14A65DDB77}" name="Column9211"/>
    <tableColumn id="9212" xr3:uid="{18CD7FA7-E172-4A59-8422-C36EF01BA3D8}" name="Column9212"/>
    <tableColumn id="9213" xr3:uid="{C67510BD-4228-45D6-9A3A-40775DEC7B54}" name="Column9213"/>
    <tableColumn id="9214" xr3:uid="{A115A969-C263-4FCC-9184-50A11AD3CBAD}" name="Column9214"/>
    <tableColumn id="9215" xr3:uid="{091F9C2C-112B-4B44-B113-AB4ED6418271}" name="Column9215"/>
    <tableColumn id="9216" xr3:uid="{358BADA9-84E5-46A4-955A-783AFF7F1EA8}" name="Column9216"/>
    <tableColumn id="9217" xr3:uid="{ACFE88B1-C231-4ECE-96F1-4043F32C12A8}" name="Column9217"/>
    <tableColumn id="9218" xr3:uid="{B9C8A822-83F8-444B-B6E5-1D2B97FFF6CC}" name="Column9218"/>
    <tableColumn id="9219" xr3:uid="{EBF61902-7B97-4D7C-B03E-8E398E0BF3FA}" name="Column9219"/>
    <tableColumn id="9220" xr3:uid="{4A41D1BB-7FAB-43A9-84B8-9984F674B08E}" name="Column9220"/>
    <tableColumn id="9221" xr3:uid="{049DCAA7-7EE9-4807-B52F-469C9FF98DD5}" name="Column9221"/>
    <tableColumn id="9222" xr3:uid="{46887E36-904B-437D-AFB3-29633875063E}" name="Column9222"/>
    <tableColumn id="9223" xr3:uid="{86723440-9D43-47EC-B688-E796026E51C4}" name="Column9223"/>
    <tableColumn id="9224" xr3:uid="{7EDC9C2C-4A3D-4D8E-ABD6-20EEC240B9D4}" name="Column9224"/>
    <tableColumn id="9225" xr3:uid="{AF1E9EC9-5D97-4095-812D-1D45F8682627}" name="Column9225"/>
    <tableColumn id="9226" xr3:uid="{79E5F0BE-88E8-4A4E-A186-BCC6BBAE3CA0}" name="Column9226"/>
    <tableColumn id="9227" xr3:uid="{7BC0B5E1-2001-4E86-BBEA-0C6962996031}" name="Column9227"/>
    <tableColumn id="9228" xr3:uid="{670D9377-5923-4580-BC1B-11602C6BB03C}" name="Column9228"/>
    <tableColumn id="9229" xr3:uid="{9F4AF381-950F-4F09-BE4F-408C9E367965}" name="Column9229"/>
    <tableColumn id="9230" xr3:uid="{2C636D4B-E345-4E35-8BBB-A9A6A24F254B}" name="Column9230"/>
    <tableColumn id="9231" xr3:uid="{13F13F70-906F-4C1E-9C39-3CBE368E5361}" name="Column9231"/>
    <tableColumn id="9232" xr3:uid="{0E96A6B0-A039-4753-BFEB-0B70772F2589}" name="Column9232"/>
    <tableColumn id="9233" xr3:uid="{AEF342AB-743D-4B6C-941A-E2E31A52F694}" name="Column9233"/>
    <tableColumn id="9234" xr3:uid="{8933E78B-B46C-455D-BDF3-B0F7C3F433A2}" name="Column9234"/>
    <tableColumn id="9235" xr3:uid="{4210AE40-9108-4449-973E-75C2033A710A}" name="Column9235"/>
    <tableColumn id="9236" xr3:uid="{017E35BA-8D28-40E8-95FD-BCCC7002CED8}" name="Column9236"/>
    <tableColumn id="9237" xr3:uid="{64CE25ED-7D8E-4BFE-A256-7F2AB1E78CE1}" name="Column9237"/>
    <tableColumn id="9238" xr3:uid="{9A10331D-028B-456B-BF4F-354BEE8A2070}" name="Column9238"/>
    <tableColumn id="9239" xr3:uid="{6E34AC60-D746-4CE3-AEEA-A26201333A16}" name="Column9239"/>
    <tableColumn id="9240" xr3:uid="{8D357ACA-F25E-44CC-B7AD-583D7AB3FAF5}" name="Column9240"/>
    <tableColumn id="9241" xr3:uid="{2C1BE497-29AA-4970-A88A-06085C81E75E}" name="Column9241"/>
    <tableColumn id="9242" xr3:uid="{45D0B1F8-8A56-48D9-BAD2-45F708D6B3A9}" name="Column9242"/>
    <tableColumn id="9243" xr3:uid="{0E1A24AA-8CAD-47AA-9EC5-88E20C46D9F5}" name="Column9243"/>
    <tableColumn id="9244" xr3:uid="{018CA80B-2942-456D-9FAF-818BAEBCED81}" name="Column9244"/>
    <tableColumn id="9245" xr3:uid="{30BD6F7E-3BC5-4F7C-90C7-3E00840720FE}" name="Column9245"/>
    <tableColumn id="9246" xr3:uid="{EC2A85F6-AADD-4CF4-B0ED-7D60E7AEB123}" name="Column9246"/>
    <tableColumn id="9247" xr3:uid="{C6075AC7-A8C7-401E-976E-E0B043447ACA}" name="Column9247"/>
    <tableColumn id="9248" xr3:uid="{D6838FC6-C912-4942-8123-D2665630F423}" name="Column9248"/>
    <tableColumn id="9249" xr3:uid="{6E9984EE-53EC-4A08-A819-63BC0051D2DD}" name="Column9249"/>
    <tableColumn id="9250" xr3:uid="{B1CBF7BD-EC6B-454D-8E04-64AB9F08331B}" name="Column9250"/>
    <tableColumn id="9251" xr3:uid="{22835FD1-D5D4-4305-B65E-56C574CAFB49}" name="Column9251"/>
    <tableColumn id="9252" xr3:uid="{7FC827D1-C4FB-401C-97C6-4703B9951B9E}" name="Column9252"/>
    <tableColumn id="9253" xr3:uid="{F43CAE0B-D914-4A9A-AE97-0AFC16C6354A}" name="Column9253"/>
    <tableColumn id="9254" xr3:uid="{22CDE264-E694-4C5C-8E07-3A163BC54B9D}" name="Column9254"/>
    <tableColumn id="9255" xr3:uid="{50F23FCB-62AB-4F57-9420-DDE821E1E0A8}" name="Column9255"/>
    <tableColumn id="9256" xr3:uid="{8664E8D6-0BF4-41E8-B5C1-ECBDC08FB98F}" name="Column9256"/>
    <tableColumn id="9257" xr3:uid="{BD12D5BC-7577-4FAC-8334-52179AD06600}" name="Column9257"/>
    <tableColumn id="9258" xr3:uid="{E899DAE1-ED6D-4B94-863B-706284069DC4}" name="Column9258"/>
    <tableColumn id="9259" xr3:uid="{15C49037-E822-4DFA-974C-83EBA3E7BA91}" name="Column9259"/>
    <tableColumn id="9260" xr3:uid="{C631176C-3E86-4F91-B845-31F6A4AB0EFF}" name="Column9260"/>
    <tableColumn id="9261" xr3:uid="{2A93D66A-C87F-4FC5-A195-4277D96F02EB}" name="Column9261"/>
    <tableColumn id="9262" xr3:uid="{70BB4732-71D2-4F8B-B8CC-85C70DFC86D8}" name="Column9262"/>
    <tableColumn id="9263" xr3:uid="{7F91F5F3-7FD9-4C5F-8A8C-F17DE455F377}" name="Column9263"/>
    <tableColumn id="9264" xr3:uid="{CD70CE21-F49A-44A0-9C27-3FC645E0C305}" name="Column9264"/>
    <tableColumn id="9265" xr3:uid="{1C9A5953-D29A-4E2D-887F-7BB01FD0EA20}" name="Column9265"/>
    <tableColumn id="9266" xr3:uid="{1BEC353A-63C2-44F7-9357-BE8AE5A076FA}" name="Column9266"/>
    <tableColumn id="9267" xr3:uid="{7E4831EA-70D2-475E-AB9B-850567F315B1}" name="Column9267"/>
    <tableColumn id="9268" xr3:uid="{5ADE13D9-150B-48AC-8CA8-6A213F058DB8}" name="Column9268"/>
    <tableColumn id="9269" xr3:uid="{8107746F-263C-45D2-8ECB-946F3EC901AC}" name="Column9269"/>
    <tableColumn id="9270" xr3:uid="{B593DC62-1D4E-4F46-B970-1A694AF420CC}" name="Column9270"/>
    <tableColumn id="9271" xr3:uid="{0B326818-487B-4BD2-A8AE-3F2D573C06C3}" name="Column9271"/>
    <tableColumn id="9272" xr3:uid="{628B5248-0DD9-49D1-BE56-5214AC360D55}" name="Column9272"/>
    <tableColumn id="9273" xr3:uid="{FA1E1B2A-AC2F-4F17-97A0-FE6E5897429E}" name="Column9273"/>
    <tableColumn id="9274" xr3:uid="{78615CBD-8C8E-4A63-A5A1-543E557D4C56}" name="Column9274"/>
    <tableColumn id="9275" xr3:uid="{4F68C7AE-A302-4437-A7EE-C345CEC6E4F1}" name="Column9275"/>
    <tableColumn id="9276" xr3:uid="{7BFDF5FC-28E8-46F2-A667-E722A75AD344}" name="Column9276"/>
    <tableColumn id="9277" xr3:uid="{F3F7A770-BBE4-4A0F-B8EC-B0F9437896E9}" name="Column9277"/>
    <tableColumn id="9278" xr3:uid="{3FA456D1-7CA2-4E2A-909F-F07527BA9E3E}" name="Column9278"/>
    <tableColumn id="9279" xr3:uid="{EA6E3D39-E8FD-4F90-85A9-18FA7E132CC2}" name="Column9279"/>
    <tableColumn id="9280" xr3:uid="{E484BC0B-78B4-4E31-9FD9-18CE43D205D1}" name="Column9280"/>
    <tableColumn id="9281" xr3:uid="{FD6D5B53-90AA-4E95-8B76-CC57A23B8217}" name="Column9281"/>
    <tableColumn id="9282" xr3:uid="{A166F151-7BC8-4395-9D55-637C41BCCF71}" name="Column9282"/>
    <tableColumn id="9283" xr3:uid="{86EC9FBA-234C-435D-BAEF-88C480273FCB}" name="Column9283"/>
    <tableColumn id="9284" xr3:uid="{73772064-3763-4D5B-AC80-D4AB74563B38}" name="Column9284"/>
    <tableColumn id="9285" xr3:uid="{2F44C436-F330-43DC-8768-94246778A454}" name="Column9285"/>
    <tableColumn id="9286" xr3:uid="{19AE340F-F019-4410-8E64-3F9C715845A7}" name="Column9286"/>
    <tableColumn id="9287" xr3:uid="{A1C85260-1CC4-4A4F-87DB-1CA11A5A12A0}" name="Column9287"/>
    <tableColumn id="9288" xr3:uid="{ADB5A391-AE64-4658-8FAB-65F30C590BF8}" name="Column9288"/>
    <tableColumn id="9289" xr3:uid="{BCE5B5EC-D64B-45F7-AAB3-B036E06A93A7}" name="Column9289"/>
    <tableColumn id="9290" xr3:uid="{BB6968FA-15FE-4835-9B7D-30D3E610E1D5}" name="Column9290"/>
    <tableColumn id="9291" xr3:uid="{77A2F3C5-2808-4CDB-88A8-87CAEE2D4E7A}" name="Column9291"/>
    <tableColumn id="9292" xr3:uid="{C9EF20D0-0444-4393-90A2-86C47F64CB5F}" name="Column9292"/>
    <tableColumn id="9293" xr3:uid="{5586E274-71C9-411A-9722-0DF16332A891}" name="Column9293"/>
    <tableColumn id="9294" xr3:uid="{EAC942BE-13C3-4B12-9B68-38C7DCA77F31}" name="Column9294"/>
    <tableColumn id="9295" xr3:uid="{535BC1F4-76A9-4A7A-B68D-DCCA37B9F61F}" name="Column9295"/>
    <tableColumn id="9296" xr3:uid="{D150FBB5-8DF2-49E0-9904-9E09553867EB}" name="Column9296"/>
    <tableColumn id="9297" xr3:uid="{C185E377-F226-4FBB-8564-62F26BFAC14A}" name="Column9297"/>
    <tableColumn id="9298" xr3:uid="{425CA2ED-0330-4E6A-8F57-A7BDE31783D6}" name="Column9298"/>
    <tableColumn id="9299" xr3:uid="{16512007-610B-45BB-A985-F48267F788A2}" name="Column9299"/>
    <tableColumn id="9300" xr3:uid="{6BA78A99-DEC1-47B6-A32E-BBBEEB112884}" name="Column9300"/>
    <tableColumn id="9301" xr3:uid="{2C29A9A6-EF32-4867-9CAD-B935CB2BA64B}" name="Column9301"/>
    <tableColumn id="9302" xr3:uid="{ADB1BD68-C474-4D04-91A8-3595D16CC2E8}" name="Column9302"/>
    <tableColumn id="9303" xr3:uid="{EC60741B-5B61-46C5-99D1-6504428808EF}" name="Column9303"/>
    <tableColumn id="9304" xr3:uid="{EBEAC0C2-1AF1-4F12-8C67-4AD00D930484}" name="Column9304"/>
    <tableColumn id="9305" xr3:uid="{3D607877-E041-4D02-84B1-580342F5C29A}" name="Column9305"/>
    <tableColumn id="9306" xr3:uid="{80482BD1-4AB1-4507-9BF4-7523F5A22F29}" name="Column9306"/>
    <tableColumn id="9307" xr3:uid="{E33F0B1C-157C-4F07-BB0A-A6F6803F08AB}" name="Column9307"/>
    <tableColumn id="9308" xr3:uid="{F667431F-2FA0-4A14-A794-C07F31DE80FF}" name="Column9308"/>
    <tableColumn id="9309" xr3:uid="{EC4398A1-CEF0-492D-B62F-BE74C3A73557}" name="Column9309"/>
    <tableColumn id="9310" xr3:uid="{C386DFF6-3EE7-487B-A9A8-AD338AD8EA70}" name="Column9310"/>
    <tableColumn id="9311" xr3:uid="{DC3C6747-5860-4E4B-BE32-5219B916EE1B}" name="Column9311"/>
    <tableColumn id="9312" xr3:uid="{70B46DAC-3E72-4ADF-8E84-C467F65B0A0B}" name="Column9312"/>
    <tableColumn id="9313" xr3:uid="{0294E2B0-CFFD-4282-8B4E-4AEB8E512858}" name="Column9313"/>
    <tableColumn id="9314" xr3:uid="{5B55ABFA-7E42-4A77-97EE-1C66DF863597}" name="Column9314"/>
    <tableColumn id="9315" xr3:uid="{01E0B3FC-25E0-4EC3-B9A1-0FD9C97D6FFD}" name="Column9315"/>
    <tableColumn id="9316" xr3:uid="{78A24090-9373-4C0C-AC8A-E930AF045139}" name="Column9316"/>
    <tableColumn id="9317" xr3:uid="{431A11F0-2DC1-42C2-A037-9415D83D0644}" name="Column9317"/>
    <tableColumn id="9318" xr3:uid="{2E949901-053A-48E8-8BC3-A4C8C4EB1373}" name="Column9318"/>
    <tableColumn id="9319" xr3:uid="{87B9AEED-92F1-4D84-A34C-73C292FBCFCB}" name="Column9319"/>
    <tableColumn id="9320" xr3:uid="{12040C4B-E187-4E8A-A7B6-BFEC8D65F34C}" name="Column9320"/>
    <tableColumn id="9321" xr3:uid="{633809D8-341D-42F8-9D30-A8B724522FE0}" name="Column9321"/>
    <tableColumn id="9322" xr3:uid="{FF053FBF-11C1-492D-848C-71AF540DBBEF}" name="Column9322"/>
    <tableColumn id="9323" xr3:uid="{5D1E4654-83B4-4EE9-A982-1D2254BF55C7}" name="Column9323"/>
    <tableColumn id="9324" xr3:uid="{D32D81CC-C701-478E-83D1-EEE3E85DCB66}" name="Column9324"/>
    <tableColumn id="9325" xr3:uid="{3738B01B-C075-4713-9C4A-0700B9CEE88E}" name="Column9325"/>
    <tableColumn id="9326" xr3:uid="{B5A2D63D-DC93-4C5E-83E4-FE6D641E4FFA}" name="Column9326"/>
    <tableColumn id="9327" xr3:uid="{D1F38ADD-52ED-4BBA-9E93-614865C7E6EF}" name="Column9327"/>
    <tableColumn id="9328" xr3:uid="{0176DFB4-5042-4B0D-BC2C-2BD9FBF4B423}" name="Column9328"/>
    <tableColumn id="9329" xr3:uid="{6D6C206C-1294-4E0F-A9E2-859B509A9CE9}" name="Column9329"/>
    <tableColumn id="9330" xr3:uid="{CDAA71AE-9EA2-4EC3-9D9D-43D38AC03F0F}" name="Column9330"/>
    <tableColumn id="9331" xr3:uid="{78540828-033D-4AC2-A074-8FA700DA4F7A}" name="Column9331"/>
    <tableColumn id="9332" xr3:uid="{B23A732B-6D79-41AD-98FE-0727D3D46503}" name="Column9332"/>
    <tableColumn id="9333" xr3:uid="{F022ACE0-7043-4755-A192-54A085506B39}" name="Column9333"/>
    <tableColumn id="9334" xr3:uid="{253462FB-363E-4804-8FFD-7E5B2CC03523}" name="Column9334"/>
    <tableColumn id="9335" xr3:uid="{D06AB34D-205C-42C3-8DF7-87BF6B906D6D}" name="Column9335"/>
    <tableColumn id="9336" xr3:uid="{3C29BA1C-72FD-4695-9B0F-436F46AA2E59}" name="Column9336"/>
    <tableColumn id="9337" xr3:uid="{A910141E-EE39-4C96-836D-5B8C312E8BA3}" name="Column9337"/>
    <tableColumn id="9338" xr3:uid="{1A84ADEC-3849-4332-A9D3-3CC7766A1D70}" name="Column9338"/>
    <tableColumn id="9339" xr3:uid="{A447726F-8C8B-4D07-9F1A-3A16E41377DB}" name="Column9339"/>
    <tableColumn id="9340" xr3:uid="{D6453CA2-45AC-4378-B559-91DF1D1D7F6D}" name="Column9340"/>
    <tableColumn id="9341" xr3:uid="{67C45354-BE95-437D-AE17-F2C45DA44599}" name="Column9341"/>
    <tableColumn id="9342" xr3:uid="{050DB4E1-3C50-4D19-85A7-FD3B1D56E28C}" name="Column9342"/>
    <tableColumn id="9343" xr3:uid="{B4C65B82-CDAD-4F19-B318-31BE4EEBFF67}" name="Column9343"/>
    <tableColumn id="9344" xr3:uid="{7D961223-0219-460B-A61B-8C6F59DA52C8}" name="Column9344"/>
    <tableColumn id="9345" xr3:uid="{88B762BD-44CC-4884-B2CF-1C0BD1AB1294}" name="Column9345"/>
    <tableColumn id="9346" xr3:uid="{582593E1-17B0-478F-8B7D-89BC58D9B14F}" name="Column9346"/>
    <tableColumn id="9347" xr3:uid="{A8E40806-EDB2-4601-9A9B-46CFF7064EEE}" name="Column9347"/>
    <tableColumn id="9348" xr3:uid="{78C5EB51-915E-472E-89B4-3BEB335BA679}" name="Column9348"/>
    <tableColumn id="9349" xr3:uid="{6635CF42-707D-4CB4-B38E-137FC8909001}" name="Column9349"/>
    <tableColumn id="9350" xr3:uid="{662B3098-2F57-4370-8A43-EF60C55DD20E}" name="Column9350"/>
    <tableColumn id="9351" xr3:uid="{746F621B-9FEF-4C3B-96B9-92377FCAE1F1}" name="Column9351"/>
    <tableColumn id="9352" xr3:uid="{0A7EB52D-ED61-4680-81EA-0440EA4DF87F}" name="Column9352"/>
    <tableColumn id="9353" xr3:uid="{805C88B2-CB9F-4F2E-8617-C5438B7D2DF8}" name="Column9353"/>
    <tableColumn id="9354" xr3:uid="{4C8BB1E7-BEDA-45A5-99C1-08F9B2A481AE}" name="Column9354"/>
    <tableColumn id="9355" xr3:uid="{08CBF2B2-5802-4FB3-A20A-9932BAB548E4}" name="Column9355"/>
    <tableColumn id="9356" xr3:uid="{DF5D7F67-1F76-4F0D-80AB-DBEC3A27625C}" name="Column9356"/>
    <tableColumn id="9357" xr3:uid="{9AE9E7CB-3FF4-4DC9-BA11-077173F01FF2}" name="Column9357"/>
    <tableColumn id="9358" xr3:uid="{DC1137FB-B016-4DBA-BBAC-2A8F05B1D110}" name="Column9358"/>
    <tableColumn id="9359" xr3:uid="{E198D91D-4B64-42C2-98E6-72C52AD7DF36}" name="Column9359"/>
    <tableColumn id="9360" xr3:uid="{2F816EC4-FFCA-4158-A049-223BA16C8759}" name="Column9360"/>
    <tableColumn id="9361" xr3:uid="{E5A2ED03-8810-48D0-9DF7-7DC413371445}" name="Column9361"/>
    <tableColumn id="9362" xr3:uid="{56B3C1A8-AE85-4DEF-A75F-3BE91BE5119B}" name="Column9362"/>
    <tableColumn id="9363" xr3:uid="{F60E0F0D-9A0B-40BC-B7C7-F7D8D74AFF44}" name="Column9363"/>
    <tableColumn id="9364" xr3:uid="{18D39ABA-F210-4AF1-93F1-42CA3BB86BB6}" name="Column9364"/>
    <tableColumn id="9365" xr3:uid="{63899191-2F83-45F9-8E4B-42DB998ED661}" name="Column9365"/>
    <tableColumn id="9366" xr3:uid="{1758D302-E304-482C-A43D-F49D3C71F44A}" name="Column9366"/>
    <tableColumn id="9367" xr3:uid="{D788B65E-81D0-4764-9250-4F75B7901101}" name="Column9367"/>
    <tableColumn id="9368" xr3:uid="{9C539AC0-5C24-486F-9002-801601C49D6E}" name="Column9368"/>
    <tableColumn id="9369" xr3:uid="{7A1B504B-CF12-43BF-A34F-F0781A692348}" name="Column9369"/>
    <tableColumn id="9370" xr3:uid="{5ADEBC82-4747-419B-A9CE-48FD0703781A}" name="Column9370"/>
    <tableColumn id="9371" xr3:uid="{E09F58E9-0B2B-4F4E-A6CD-04444551C652}" name="Column9371"/>
    <tableColumn id="9372" xr3:uid="{AE8B0A4E-3F67-4DD1-ADF6-AFC768C96936}" name="Column9372"/>
    <tableColumn id="9373" xr3:uid="{D858A86B-68D0-464F-AC11-2FFD68C1122A}" name="Column9373"/>
    <tableColumn id="9374" xr3:uid="{1D59E5B2-F68E-43F6-B6EA-7513FA97312C}" name="Column9374"/>
    <tableColumn id="9375" xr3:uid="{DA1BF8AA-3CC5-4765-9D75-BF99D882910C}" name="Column9375"/>
    <tableColumn id="9376" xr3:uid="{A640F8FA-9CA1-4553-935C-200F638C6A6F}" name="Column9376"/>
    <tableColumn id="9377" xr3:uid="{03EF0B47-F747-44AF-AB23-768FC05157B4}" name="Column9377"/>
    <tableColumn id="9378" xr3:uid="{0470E789-E97D-41DD-B7F4-21BC616052F7}" name="Column9378"/>
    <tableColumn id="9379" xr3:uid="{CD968A3A-C82B-4A8D-8AEF-551504631E5A}" name="Column9379"/>
    <tableColumn id="9380" xr3:uid="{3B50AE7E-BC69-4BA3-BCC2-C5CF7232BF4F}" name="Column9380"/>
    <tableColumn id="9381" xr3:uid="{7B432B35-718A-436D-84CF-818CBED3F0B9}" name="Column9381"/>
    <tableColumn id="9382" xr3:uid="{295DC476-E88E-4871-A20E-49D81C88757B}" name="Column9382"/>
    <tableColumn id="9383" xr3:uid="{7879FCA7-1531-45AB-AE30-45F62D8305EA}" name="Column9383"/>
    <tableColumn id="9384" xr3:uid="{A009E8DD-7E07-4320-A1DE-39727E753BBD}" name="Column9384"/>
    <tableColumn id="9385" xr3:uid="{9C91DCB6-766D-401B-9DC4-5C5CEAA8B800}" name="Column9385"/>
    <tableColumn id="9386" xr3:uid="{B892B764-E110-498B-B368-912D79D29FDD}" name="Column9386"/>
    <tableColumn id="9387" xr3:uid="{046DE2D8-E04F-45B1-A6CB-9E452D3E6825}" name="Column9387"/>
    <tableColumn id="9388" xr3:uid="{E53D6389-FA96-4899-BF4A-723833D6D099}" name="Column9388"/>
    <tableColumn id="9389" xr3:uid="{C0A96BAD-6CDF-4710-A2B5-7AFAF60527A5}" name="Column9389"/>
    <tableColumn id="9390" xr3:uid="{32030875-87CF-4124-B941-61B900DE57BF}" name="Column9390"/>
    <tableColumn id="9391" xr3:uid="{6B1D2F90-460D-49A7-814F-2E6170838DF1}" name="Column9391"/>
    <tableColumn id="9392" xr3:uid="{0F373893-73B0-4ED5-9537-1E71F9B4F453}" name="Column9392"/>
    <tableColumn id="9393" xr3:uid="{1785ABB6-0176-40FE-A127-7E219C270D81}" name="Column9393"/>
    <tableColumn id="9394" xr3:uid="{70BA84E6-A343-40FA-9635-9A3CC26024E8}" name="Column9394"/>
    <tableColumn id="9395" xr3:uid="{B06ABD90-5730-4B81-B271-83B5E7BB69C2}" name="Column9395"/>
    <tableColumn id="9396" xr3:uid="{92070626-EDDE-4E91-8CA3-2AB289F43EBF}" name="Column9396"/>
    <tableColumn id="9397" xr3:uid="{A4E0F896-F3C9-4811-A338-A94EAD7BC553}" name="Column9397"/>
    <tableColumn id="9398" xr3:uid="{7635D43E-E209-449F-9074-CF5835D26914}" name="Column9398"/>
    <tableColumn id="9399" xr3:uid="{8056AF00-74AA-442B-A7AD-F30E2B871B2C}" name="Column9399"/>
    <tableColumn id="9400" xr3:uid="{F7F09915-77FD-40C3-AE87-B8AB0D9C14AD}" name="Column9400"/>
    <tableColumn id="9401" xr3:uid="{BEB3A186-0607-4282-8BF0-EAB7CEA58662}" name="Column9401"/>
    <tableColumn id="9402" xr3:uid="{891FF8C7-EC83-4746-B7C5-E6FB8FB4301B}" name="Column9402"/>
    <tableColumn id="9403" xr3:uid="{70FF06A6-361D-4E3A-9F49-EE26E836BA30}" name="Column9403"/>
    <tableColumn id="9404" xr3:uid="{436F82D4-C152-4CC5-9516-5C2880014293}" name="Column9404"/>
    <tableColumn id="9405" xr3:uid="{4677ACD2-7651-42E2-AD24-FC55FCFD2ED7}" name="Column9405"/>
    <tableColumn id="9406" xr3:uid="{AC6DF1C4-B235-4C90-A744-535DF8DC1355}" name="Column9406"/>
    <tableColumn id="9407" xr3:uid="{51FEC1E6-AF00-4551-8C36-E624BD524FE9}" name="Column9407"/>
    <tableColumn id="9408" xr3:uid="{B80ADA3D-7D9C-4725-82D3-B3F9962AD25E}" name="Column9408"/>
    <tableColumn id="9409" xr3:uid="{E7F3E280-7014-4DFE-A552-08CD5AC53A4A}" name="Column9409"/>
    <tableColumn id="9410" xr3:uid="{33F42502-B6BD-41DE-8326-EB30AC768B20}" name="Column9410"/>
    <tableColumn id="9411" xr3:uid="{D414EA7F-F844-41D0-B056-A3ACCF1DBE24}" name="Column9411"/>
    <tableColumn id="9412" xr3:uid="{68F18623-6040-451B-BEAD-271E937E889E}" name="Column9412"/>
    <tableColumn id="9413" xr3:uid="{76144F55-D740-4C99-9823-51EB5F3780D6}" name="Column9413"/>
    <tableColumn id="9414" xr3:uid="{6E26E31B-AC69-49E1-9622-AD8316F24C65}" name="Column9414"/>
    <tableColumn id="9415" xr3:uid="{9F6BC4C8-A2C0-48D7-9CC9-1D4477FEF4A8}" name="Column9415"/>
    <tableColumn id="9416" xr3:uid="{7E145560-113F-480E-B2B6-543537F2275D}" name="Column9416"/>
    <tableColumn id="9417" xr3:uid="{D4B589B8-B68D-43DA-957A-D77A486A76DE}" name="Column9417"/>
    <tableColumn id="9418" xr3:uid="{9FF818AF-6BD7-43D1-9F08-22F5EE2AFB59}" name="Column9418"/>
    <tableColumn id="9419" xr3:uid="{AC364E73-08DD-4029-B976-7009D9143D52}" name="Column9419"/>
    <tableColumn id="9420" xr3:uid="{AFD7FC2E-0C8A-4680-AC1F-617C0B47D993}" name="Column9420"/>
    <tableColumn id="9421" xr3:uid="{6336B102-60E3-4610-9AD6-C7E5AC96C0CD}" name="Column9421"/>
    <tableColumn id="9422" xr3:uid="{93A1DBCC-5214-4535-9DD4-5227644D067F}" name="Column9422"/>
    <tableColumn id="9423" xr3:uid="{C6B41B39-AB02-4D80-8712-5B673FBCCF38}" name="Column9423"/>
    <tableColumn id="9424" xr3:uid="{2EF1A3F0-A311-4708-A774-40DD8A8BB3B4}" name="Column9424"/>
    <tableColumn id="9425" xr3:uid="{CD6C6BED-98DF-43CF-BE69-56E7B409F85B}" name="Column9425"/>
    <tableColumn id="9426" xr3:uid="{4617B565-4406-42A2-8238-AE886CD0DCA8}" name="Column9426"/>
    <tableColumn id="9427" xr3:uid="{D2CB0B97-1C5A-4687-9972-7FAC544FEF19}" name="Column9427"/>
    <tableColumn id="9428" xr3:uid="{C9513F37-FF41-402D-9EAA-7073C0886FC8}" name="Column9428"/>
    <tableColumn id="9429" xr3:uid="{C01C4C9E-7A72-47EF-A1D2-91F644E864C9}" name="Column9429"/>
    <tableColumn id="9430" xr3:uid="{DC874801-1487-4FF0-94FD-23D624235381}" name="Column9430"/>
    <tableColumn id="9431" xr3:uid="{2F9C8650-7D77-4942-8857-92DB86705BFB}" name="Column9431"/>
    <tableColumn id="9432" xr3:uid="{7B6A7460-23B4-455C-9CBA-D8602FD8363E}" name="Column9432"/>
    <tableColumn id="9433" xr3:uid="{86F5F592-4E15-4D52-922E-790EDB16AC15}" name="Column9433"/>
    <tableColumn id="9434" xr3:uid="{D87D1B23-7FA2-43E7-A439-3E3F5ECF25B5}" name="Column9434"/>
    <tableColumn id="9435" xr3:uid="{A429E320-2D0C-498B-B461-65BE36E73190}" name="Column9435"/>
    <tableColumn id="9436" xr3:uid="{D4D65564-BD5E-4071-AB63-814BDD4B4FA4}" name="Column9436"/>
    <tableColumn id="9437" xr3:uid="{68B16E8E-3959-425D-B366-BFDEB637B8F8}" name="Column9437"/>
    <tableColumn id="9438" xr3:uid="{431CCA8E-2C48-4422-A6D1-36A7A0DD6E43}" name="Column9438"/>
    <tableColumn id="9439" xr3:uid="{D4092B89-0346-475A-815C-509EB419F7D6}" name="Column9439"/>
    <tableColumn id="9440" xr3:uid="{17311DAE-4974-4643-9B7F-A68BA6CA0C5A}" name="Column9440"/>
    <tableColumn id="9441" xr3:uid="{B77476CA-00BD-4E9D-8BD0-9192402C4082}" name="Column9441"/>
    <tableColumn id="9442" xr3:uid="{BBC3C4BA-F846-4EE8-B802-26D9D41E2F7D}" name="Column9442"/>
    <tableColumn id="9443" xr3:uid="{16F27823-F3A7-4328-A9B5-5633E0E8BDB1}" name="Column9443"/>
    <tableColumn id="9444" xr3:uid="{4364FE24-C197-4E6D-980C-465E36B74CDF}" name="Column9444"/>
    <tableColumn id="9445" xr3:uid="{447C82B8-3125-4E43-BDF5-6CA76D3071A8}" name="Column9445"/>
    <tableColumn id="9446" xr3:uid="{F43D8DC6-59A9-459B-9322-B64548401D37}" name="Column9446"/>
    <tableColumn id="9447" xr3:uid="{F9700DC0-E4CA-4573-8C20-2CC1B8342075}" name="Column9447"/>
    <tableColumn id="9448" xr3:uid="{A132C81A-67E3-4D46-9E11-38D9BB105F2B}" name="Column9448"/>
    <tableColumn id="9449" xr3:uid="{1EB7BFC1-9A25-4746-872E-D1EE1D4E01F9}" name="Column9449"/>
    <tableColumn id="9450" xr3:uid="{CEE2AE2B-AF8B-4A1B-B3CB-185AA0799044}" name="Column9450"/>
    <tableColumn id="9451" xr3:uid="{8037D2DF-1749-4980-B2D7-7E532344A706}" name="Column9451"/>
    <tableColumn id="9452" xr3:uid="{4D8BF6BB-9942-4998-AC8F-338EBDD5F5B7}" name="Column9452"/>
    <tableColumn id="9453" xr3:uid="{07132FFA-0758-46BE-ABC9-691F04C1B925}" name="Column9453"/>
    <tableColumn id="9454" xr3:uid="{C0E91018-B682-4290-AAAD-BDB702C04B01}" name="Column9454"/>
    <tableColumn id="9455" xr3:uid="{ED028C86-E991-4AC4-9C08-D7413874AEAF}" name="Column9455"/>
    <tableColumn id="9456" xr3:uid="{218D4C53-D089-4EA7-A672-4B149CE31B19}" name="Column9456"/>
    <tableColumn id="9457" xr3:uid="{8E2DBC97-93A7-4FAD-867A-19E21D849B76}" name="Column9457"/>
    <tableColumn id="9458" xr3:uid="{546728BC-8D89-499C-AC37-A9F1B7236C94}" name="Column9458"/>
    <tableColumn id="9459" xr3:uid="{1434AA45-615F-4C7D-AE21-CE74B78D4FB9}" name="Column9459"/>
    <tableColumn id="9460" xr3:uid="{AFDAF123-BB4C-48CA-9B19-4BBC5D932866}" name="Column9460"/>
    <tableColumn id="9461" xr3:uid="{EDFDF98A-2F4E-48AD-B145-104BA7AFC9BF}" name="Column9461"/>
    <tableColumn id="9462" xr3:uid="{7B9279A8-6ED9-49EA-BF5F-E4A109C5A9BB}" name="Column9462"/>
    <tableColumn id="9463" xr3:uid="{A97BB001-9044-4A83-A27C-B13136A55D06}" name="Column9463"/>
    <tableColumn id="9464" xr3:uid="{93A945E9-9D8F-45E5-BAC2-3DCBFD52586E}" name="Column9464"/>
    <tableColumn id="9465" xr3:uid="{6491F16A-450C-4C4B-B2A5-76289323F875}" name="Column9465"/>
    <tableColumn id="9466" xr3:uid="{FC2C7F19-C98B-4220-B166-303C830EE1C5}" name="Column9466"/>
    <tableColumn id="9467" xr3:uid="{CC4BB9EB-E94E-40CB-8C29-5EDA9244532A}" name="Column9467"/>
    <tableColumn id="9468" xr3:uid="{6D89669A-F3E8-423C-AD6B-A4E596EF9419}" name="Column9468"/>
    <tableColumn id="9469" xr3:uid="{2D135F10-292D-4F3A-9129-66CC365C1425}" name="Column9469"/>
    <tableColumn id="9470" xr3:uid="{1C2FF353-7E69-4F6E-9397-D068CF34F535}" name="Column9470"/>
    <tableColumn id="9471" xr3:uid="{88213491-61CE-4A9D-B54D-A174F2E0C1D1}" name="Column9471"/>
    <tableColumn id="9472" xr3:uid="{BDAA05F0-6194-4063-B533-AA68694EAAB2}" name="Column9472"/>
    <tableColumn id="9473" xr3:uid="{6DE3119A-7575-485D-AD7C-0D0E8BDC9FE6}" name="Column9473"/>
    <tableColumn id="9474" xr3:uid="{4DC0AC86-1DA5-408F-85FA-56C0B559DADE}" name="Column9474"/>
    <tableColumn id="9475" xr3:uid="{9AC950E0-7CCD-48D4-B6B1-1ADF25815474}" name="Column9475"/>
    <tableColumn id="9476" xr3:uid="{40DC8C6C-6F97-490F-8843-72FCFA54D337}" name="Column9476"/>
    <tableColumn id="9477" xr3:uid="{2E6DC938-B651-4839-84D5-2AD3833CC47B}" name="Column9477"/>
    <tableColumn id="9478" xr3:uid="{3DFE0934-0BFC-4AFD-A073-18F17D874C14}" name="Column9478"/>
    <tableColumn id="9479" xr3:uid="{BF4E688D-968D-4A06-A168-5FE65CC376E8}" name="Column9479"/>
    <tableColumn id="9480" xr3:uid="{1E809A6C-B85B-43E7-B9EA-5860D1C8CA95}" name="Column9480"/>
    <tableColumn id="9481" xr3:uid="{496E9663-2D0D-4961-BA63-C885E99335D7}" name="Column9481"/>
    <tableColumn id="9482" xr3:uid="{AAE0B2D7-DAC8-4624-8DF1-F76CDFF034DC}" name="Column9482"/>
    <tableColumn id="9483" xr3:uid="{C2BD95AB-4D61-4F36-B16D-2D54B030A5ED}" name="Column9483"/>
    <tableColumn id="9484" xr3:uid="{9E4731D8-C80A-44BF-8441-43EDD314D847}" name="Column9484"/>
    <tableColumn id="9485" xr3:uid="{C50E29AC-F1BE-4D21-8768-D7D09909974F}" name="Column9485"/>
    <tableColumn id="9486" xr3:uid="{843189E3-2F6C-4A03-98BD-89A075A8CF76}" name="Column9486"/>
    <tableColumn id="9487" xr3:uid="{A3925E37-1097-445D-8B6C-3C97DAFE118D}" name="Column9487"/>
    <tableColumn id="9488" xr3:uid="{57646B01-5BBC-478F-A617-39295330B86E}" name="Column9488"/>
    <tableColumn id="9489" xr3:uid="{56AD658B-5C98-4895-8159-780820D791F1}" name="Column9489"/>
    <tableColumn id="9490" xr3:uid="{D2108ADA-2550-4B2E-BD8F-C5476FD98704}" name="Column9490"/>
    <tableColumn id="9491" xr3:uid="{64FDD9C1-2092-46D1-902C-144720FC49C5}" name="Column9491"/>
    <tableColumn id="9492" xr3:uid="{79E930ED-E53F-4457-ACFC-84802163E45D}" name="Column9492"/>
    <tableColumn id="9493" xr3:uid="{F54C510A-253D-4FC9-A351-772E88F79045}" name="Column9493"/>
    <tableColumn id="9494" xr3:uid="{9E1FD8F6-CA3A-493D-BC51-653BF32A487B}" name="Column9494"/>
    <tableColumn id="9495" xr3:uid="{33E4D8A3-5E58-4244-9DFA-E404E20C32A6}" name="Column9495"/>
    <tableColumn id="9496" xr3:uid="{A25AD4E6-244C-41D4-9999-BEA2B7DF98CE}" name="Column9496"/>
    <tableColumn id="9497" xr3:uid="{39EAA67B-0FCB-4DC1-9643-E3F18ECF1DCD}" name="Column9497"/>
    <tableColumn id="9498" xr3:uid="{518219C2-5E7C-4BCC-8310-3DFEC9E14CDE}" name="Column9498"/>
    <tableColumn id="9499" xr3:uid="{413FF1CB-5C31-479B-BE65-25DE4DCCEEB3}" name="Column9499"/>
    <tableColumn id="9500" xr3:uid="{E064508D-1D9B-4B70-AE84-1E311B9AED50}" name="Column9500"/>
    <tableColumn id="9501" xr3:uid="{F626C93A-2881-46C0-BD35-44F867156DBC}" name="Column9501"/>
    <tableColumn id="9502" xr3:uid="{490BFFD3-A3C1-4E9A-A56D-86F91CA80C4C}" name="Column9502"/>
    <tableColumn id="9503" xr3:uid="{0D26195F-8226-47B2-B802-30C6EC614FB0}" name="Column9503"/>
    <tableColumn id="9504" xr3:uid="{A3908EAE-873B-4DC6-92AD-BD9D611FC133}" name="Column9504"/>
    <tableColumn id="9505" xr3:uid="{16DFCD71-2369-49D9-AC75-8FB1B24ABC29}" name="Column9505"/>
    <tableColumn id="9506" xr3:uid="{B7E62227-02CA-4CED-A8C8-F1AA2350CB8B}" name="Column9506"/>
    <tableColumn id="9507" xr3:uid="{7B40E3FE-2D33-4D4E-8668-1F4FED7E7842}" name="Column9507"/>
    <tableColumn id="9508" xr3:uid="{90942D09-4F93-4B90-950A-B86C2DEA6130}" name="Column9508"/>
    <tableColumn id="9509" xr3:uid="{CBE97CED-833A-4D7F-9369-795E9636A4E0}" name="Column9509"/>
    <tableColumn id="9510" xr3:uid="{CD16C6E6-DB02-4628-BA42-F65FF4EBD3CE}" name="Column9510"/>
    <tableColumn id="9511" xr3:uid="{319CB567-9A46-48F2-8112-9A1F388E630E}" name="Column9511"/>
    <tableColumn id="9512" xr3:uid="{3F632B20-D1D9-4E74-B772-1666B6530231}" name="Column9512"/>
    <tableColumn id="9513" xr3:uid="{2BBCA926-C569-4BFD-AF18-BE7DEAEDF7E6}" name="Column9513"/>
    <tableColumn id="9514" xr3:uid="{AB3E0DFC-F189-4A08-8755-4A4A21397A1A}" name="Column9514"/>
    <tableColumn id="9515" xr3:uid="{B08AA81D-BF32-4EFB-AA37-60D12A3E7043}" name="Column9515"/>
    <tableColumn id="9516" xr3:uid="{2C1ABBD8-69D5-476A-BC7D-5413CB49FC66}" name="Column9516"/>
    <tableColumn id="9517" xr3:uid="{7E8532FC-21E7-4B57-9F65-ED6AC8944039}" name="Column9517"/>
    <tableColumn id="9518" xr3:uid="{59A97193-196F-4064-BE4A-F39540AF4850}" name="Column9518"/>
    <tableColumn id="9519" xr3:uid="{E786B55D-8D92-46E3-B3C0-343ED42812D4}" name="Column9519"/>
    <tableColumn id="9520" xr3:uid="{5B3A192D-BD64-4789-9F15-20A9D983FB68}" name="Column9520"/>
    <tableColumn id="9521" xr3:uid="{E612D579-B645-491D-B50D-958E753A40AB}" name="Column9521"/>
    <tableColumn id="9522" xr3:uid="{4A202749-CD97-4029-AF72-198021B2CC8A}" name="Column9522"/>
    <tableColumn id="9523" xr3:uid="{37FFF373-1407-442E-8CEF-CD24196B1697}" name="Column9523"/>
    <tableColumn id="9524" xr3:uid="{190CDE4C-27D3-4EC7-9483-104E73165D6E}" name="Column9524"/>
    <tableColumn id="9525" xr3:uid="{024EBEC1-A5AB-46AA-B3CB-941AA863B03B}" name="Column9525"/>
    <tableColumn id="9526" xr3:uid="{0454BA04-EA13-4C2C-8748-B657EEF4D5DB}" name="Column9526"/>
    <tableColumn id="9527" xr3:uid="{F5614B5C-6A89-4045-856F-9B2FEA83CC14}" name="Column9527"/>
    <tableColumn id="9528" xr3:uid="{E2AFA940-3DB4-487D-A2A4-57FF7A6DE8FA}" name="Column9528"/>
    <tableColumn id="9529" xr3:uid="{6154A914-A3F9-4D1F-8BD7-DD490C06D0CC}" name="Column9529"/>
    <tableColumn id="9530" xr3:uid="{335D4C96-1974-419A-8785-4B08F7D04E42}" name="Column9530"/>
    <tableColumn id="9531" xr3:uid="{69AC40AE-BA3B-4A67-A382-5F98D0AFA99E}" name="Column9531"/>
    <tableColumn id="9532" xr3:uid="{75943A3C-ED43-4D7D-BCDB-67A170B13722}" name="Column9532"/>
    <tableColumn id="9533" xr3:uid="{465D9764-084E-4F89-AEE1-6E7E5AF22631}" name="Column9533"/>
    <tableColumn id="9534" xr3:uid="{ECD6EA56-181A-40A6-984D-7C7FA7A17FF9}" name="Column9534"/>
    <tableColumn id="9535" xr3:uid="{B895B4A9-0821-40B4-A550-BD41FDF0CE9D}" name="Column9535"/>
    <tableColumn id="9536" xr3:uid="{B3923BA8-6E8B-41B4-95E5-C476D1555107}" name="Column9536"/>
    <tableColumn id="9537" xr3:uid="{A444A9AA-A5E5-4F67-ADEE-73A6C025913C}" name="Column9537"/>
    <tableColumn id="9538" xr3:uid="{87D6E39E-4885-4B48-83C4-71DD0DF7ECAF}" name="Column9538"/>
    <tableColumn id="9539" xr3:uid="{E4C51BBE-11B6-411B-A420-CBAB2E3DB4C3}" name="Column9539"/>
    <tableColumn id="9540" xr3:uid="{20622CF6-4931-4697-8327-7BA0C20A201E}" name="Column9540"/>
    <tableColumn id="9541" xr3:uid="{0ABD8CE4-EDE5-46DB-A619-8CA7AC3851AB}" name="Column9541"/>
    <tableColumn id="9542" xr3:uid="{47F73E5E-6F17-42C2-B29F-83A42125F568}" name="Column9542"/>
    <tableColumn id="9543" xr3:uid="{1528C27E-32D9-4144-AD21-481F293A7293}" name="Column9543"/>
    <tableColumn id="9544" xr3:uid="{9E79344C-BADA-401A-AF08-09B4D6A03B00}" name="Column9544"/>
    <tableColumn id="9545" xr3:uid="{5D829A08-5E55-4F9D-A24F-D0045D2EB8C4}" name="Column9545"/>
    <tableColumn id="9546" xr3:uid="{CD12C921-67EC-4661-A5A8-B1F7E3FCCBE4}" name="Column9546"/>
    <tableColumn id="9547" xr3:uid="{F8FC7BFD-E9D1-4E25-8B39-48D3630E7AA6}" name="Column9547"/>
    <tableColumn id="9548" xr3:uid="{7D5CB9E2-7D21-4C12-8EF2-0E7E458960DA}" name="Column9548"/>
    <tableColumn id="9549" xr3:uid="{918BC224-29F1-41D2-B014-7A0BF43BD1E4}" name="Column9549"/>
    <tableColumn id="9550" xr3:uid="{C889878E-24EC-4531-BC60-78F737F0CC2A}" name="Column9550"/>
    <tableColumn id="9551" xr3:uid="{9D45B9A3-767F-47D0-93A5-3C2A0ADCF99D}" name="Column9551"/>
    <tableColumn id="9552" xr3:uid="{7063AF06-0919-4E5D-8E06-A652B39DB855}" name="Column9552"/>
    <tableColumn id="9553" xr3:uid="{27B1E029-AB13-4FE9-BA23-B1966A7E1703}" name="Column9553"/>
    <tableColumn id="9554" xr3:uid="{B39D5D67-ECE3-4569-AAF1-3293929BBC72}" name="Column9554"/>
    <tableColumn id="9555" xr3:uid="{BEC0A0BB-0FC3-484A-AA89-7B66F94C890D}" name="Column9555"/>
    <tableColumn id="9556" xr3:uid="{7D7E7731-BEEF-4D0D-BBAC-06F3A737B278}" name="Column9556"/>
    <tableColumn id="9557" xr3:uid="{2A3D19D3-FBD7-4C4F-A05C-2FEBDF0AA902}" name="Column9557"/>
    <tableColumn id="9558" xr3:uid="{5DAE088D-EE35-48BF-A148-BC73BE39B385}" name="Column9558"/>
    <tableColumn id="9559" xr3:uid="{4E76DACD-9E86-4B80-BFD4-ABF64448BFBC}" name="Column9559"/>
    <tableColumn id="9560" xr3:uid="{CC6020E4-90B2-406A-A465-0FCAC5FE11EE}" name="Column9560"/>
    <tableColumn id="9561" xr3:uid="{E05BB8DF-F2DC-4ADA-9291-51C14577B392}" name="Column9561"/>
    <tableColumn id="9562" xr3:uid="{180ADE42-42D8-4711-B411-534159E438F5}" name="Column9562"/>
    <tableColumn id="9563" xr3:uid="{9E829EB1-D046-4E79-A8B2-8A4454E935BE}" name="Column9563"/>
    <tableColumn id="9564" xr3:uid="{E48E1FEF-ABCD-4478-BF8F-D3815170A3CF}" name="Column9564"/>
    <tableColumn id="9565" xr3:uid="{14453916-87AD-45A3-B835-0EAD6A98177C}" name="Column9565"/>
    <tableColumn id="9566" xr3:uid="{93F56E65-F29B-4E3D-B829-EC4A14A81BB7}" name="Column9566"/>
    <tableColumn id="9567" xr3:uid="{25E35D94-0A03-4ECB-8236-E15AB877CF59}" name="Column9567"/>
    <tableColumn id="9568" xr3:uid="{95C97ABB-86F8-4B64-92CF-C27E31E3115E}" name="Column9568"/>
    <tableColumn id="9569" xr3:uid="{2BD5BE75-D0B5-4683-B760-98E7258FAFA9}" name="Column9569"/>
    <tableColumn id="9570" xr3:uid="{36E2FA7E-3B54-4149-8A08-A0E7EA726693}" name="Column9570"/>
    <tableColumn id="9571" xr3:uid="{109BDFC5-D31D-4CB5-BC76-6F118C31CF95}" name="Column9571"/>
    <tableColumn id="9572" xr3:uid="{886A1E36-1A60-4BCB-B781-B4BEF14CC454}" name="Column9572"/>
    <tableColumn id="9573" xr3:uid="{66153A7D-DA9B-4ABD-943C-4B24AFE4B28E}" name="Column9573"/>
    <tableColumn id="9574" xr3:uid="{C2900447-EDB0-400D-AA95-6026936CE814}" name="Column9574"/>
    <tableColumn id="9575" xr3:uid="{6D0095CF-4D9F-41AF-A885-5A1E8FF48C33}" name="Column9575"/>
    <tableColumn id="9576" xr3:uid="{A54D0E8E-7F33-4042-9EF1-6F50B7832A6E}" name="Column9576"/>
    <tableColumn id="9577" xr3:uid="{0A4CFEDC-5C3F-41D6-A317-90FAF8135D05}" name="Column9577"/>
    <tableColumn id="9578" xr3:uid="{8AAF4B9E-E9B5-4B3D-8211-9E917E892311}" name="Column9578"/>
    <tableColumn id="9579" xr3:uid="{A26D6D66-73B8-4CD8-93DD-0877A80A51C8}" name="Column9579"/>
    <tableColumn id="9580" xr3:uid="{F791D190-8902-4C27-B3B3-7C7845E8F8D1}" name="Column9580"/>
    <tableColumn id="9581" xr3:uid="{6189C518-300F-455A-80D9-D1431A0D177A}" name="Column9581"/>
    <tableColumn id="9582" xr3:uid="{D02225E3-B54B-4852-9EB5-6972FDA22781}" name="Column9582"/>
    <tableColumn id="9583" xr3:uid="{0E220C5B-5777-4D23-AA1D-DF3F1F1A9494}" name="Column9583"/>
    <tableColumn id="9584" xr3:uid="{C48DF131-0767-4F99-896B-6D595A376068}" name="Column9584"/>
    <tableColumn id="9585" xr3:uid="{4B00A407-EB9D-4073-80B5-B458EF963A97}" name="Column9585"/>
    <tableColumn id="9586" xr3:uid="{E327C842-C608-4A81-BE07-FFEA5220E57C}" name="Column9586"/>
    <tableColumn id="9587" xr3:uid="{5D8DB5D7-C31F-4CE5-96B1-6D29C7948698}" name="Column9587"/>
    <tableColumn id="9588" xr3:uid="{E6478FB4-C996-41BA-AD37-4D5E9C9D3769}" name="Column9588"/>
    <tableColumn id="9589" xr3:uid="{F812D1C2-664E-43BC-95D1-80FF00E9CE80}" name="Column9589"/>
    <tableColumn id="9590" xr3:uid="{F96C3466-E8D0-4607-BAC6-A861804116A0}" name="Column9590"/>
    <tableColumn id="9591" xr3:uid="{D71980DC-6290-4F87-8FC0-EAF3284D800E}" name="Column9591"/>
    <tableColumn id="9592" xr3:uid="{C5DF5014-2245-4088-807B-C0539A4D922D}" name="Column9592"/>
    <tableColumn id="9593" xr3:uid="{FA3F5644-53D3-4B57-A182-6A293827EBA3}" name="Column9593"/>
    <tableColumn id="9594" xr3:uid="{9891336D-5C28-4CE4-A756-1689B837B323}" name="Column9594"/>
    <tableColumn id="9595" xr3:uid="{3EE5C566-A2FC-412A-8723-52EA78EF0554}" name="Column9595"/>
    <tableColumn id="9596" xr3:uid="{110AF947-436D-49C9-91D8-02C648DB52F8}" name="Column9596"/>
    <tableColumn id="9597" xr3:uid="{F8BFD353-EE11-48C5-BC95-45FB2D61E5ED}" name="Column9597"/>
    <tableColumn id="9598" xr3:uid="{C49E29BB-EFF1-4A64-BA67-427047514F29}" name="Column9598"/>
    <tableColumn id="9599" xr3:uid="{C42766AA-3AB2-49A5-9A47-94231E1A73F8}" name="Column9599"/>
    <tableColumn id="9600" xr3:uid="{E12006DF-789E-4B1B-8F4C-5A86EFDFB5B6}" name="Column9600"/>
    <tableColumn id="9601" xr3:uid="{5662C894-A7EF-4CF0-9E33-76170BD14AD4}" name="Column9601"/>
    <tableColumn id="9602" xr3:uid="{564E9AD3-AD7F-4F1C-A543-B61F37E4D0BA}" name="Column9602"/>
    <tableColumn id="9603" xr3:uid="{99378458-4256-46F5-896F-F4AD0AE4AC1A}" name="Column9603"/>
    <tableColumn id="9604" xr3:uid="{582F5DCB-5B04-4708-8773-20100DAEE7D7}" name="Column9604"/>
    <tableColumn id="9605" xr3:uid="{1B793199-59B7-4B26-A8D3-C65ADBC40450}" name="Column9605"/>
    <tableColumn id="9606" xr3:uid="{2E9A93F4-106A-48C0-A95E-F418D7BF653D}" name="Column9606"/>
    <tableColumn id="9607" xr3:uid="{1C0C8104-74FA-4AB4-8BCA-9047CF892A18}" name="Column9607"/>
    <tableColumn id="9608" xr3:uid="{6A80B6FF-4A3E-448B-8707-5A379F8FBD0F}" name="Column9608"/>
    <tableColumn id="9609" xr3:uid="{9A2B75CB-9E9C-481D-913D-3D25D85FD3B2}" name="Column9609"/>
    <tableColumn id="9610" xr3:uid="{8D2C9002-8924-45EF-9B12-778CF5E57A37}" name="Column9610"/>
    <tableColumn id="9611" xr3:uid="{A8A59B8D-E8E7-44D5-BCC9-9F8E02A8F926}" name="Column9611"/>
    <tableColumn id="9612" xr3:uid="{7F83C1C5-4A71-4342-AB02-949379619723}" name="Column9612"/>
    <tableColumn id="9613" xr3:uid="{58D297E3-374E-49FF-A823-BDEBBC8C0601}" name="Column9613"/>
    <tableColumn id="9614" xr3:uid="{5A858508-6AB9-4878-82CC-378EA25B689F}" name="Column9614"/>
    <tableColumn id="9615" xr3:uid="{472E0F52-42C2-4148-85A5-DEA31C37A38D}" name="Column9615"/>
    <tableColumn id="9616" xr3:uid="{87846F05-C3AD-4635-8F54-35079A7EFF7A}" name="Column9616"/>
    <tableColumn id="9617" xr3:uid="{2CFF0D18-E659-4FBA-8B51-36BDF955C632}" name="Column9617"/>
    <tableColumn id="9618" xr3:uid="{1DA422AB-C5EA-4451-AD88-FBF0CDBE73FC}" name="Column9618"/>
    <tableColumn id="9619" xr3:uid="{1DADD41B-EFA6-4332-8449-035FEB45B687}" name="Column9619"/>
    <tableColumn id="9620" xr3:uid="{64622EE9-BA07-4587-A5B2-E8E0A1BACDC6}" name="Column9620"/>
    <tableColumn id="9621" xr3:uid="{21B1382C-1332-4767-8F43-167663CD2A94}" name="Column9621"/>
    <tableColumn id="9622" xr3:uid="{1092FD12-28DF-4495-A0FF-F1D8759BA9EA}" name="Column9622"/>
    <tableColumn id="9623" xr3:uid="{B0B09D4E-EF4C-4146-AE2D-02AD11EA4B20}" name="Column9623"/>
    <tableColumn id="9624" xr3:uid="{984213BF-63C0-4728-8D4C-93833EFC173C}" name="Column9624"/>
    <tableColumn id="9625" xr3:uid="{5EA035B2-D3F3-438B-92EB-688243DE6F81}" name="Column9625"/>
    <tableColumn id="9626" xr3:uid="{DE4E1E01-395B-4F15-9B24-04DB5BAC0AF3}" name="Column9626"/>
    <tableColumn id="9627" xr3:uid="{98175EE3-890E-4A2E-AC59-30716CEA34DD}" name="Column9627"/>
    <tableColumn id="9628" xr3:uid="{DBC64230-5A05-4BD0-B4C6-0C1BE7161FD5}" name="Column9628"/>
    <tableColumn id="9629" xr3:uid="{1B2EBA7B-6129-402B-81D1-A8A797015797}" name="Column9629"/>
    <tableColumn id="9630" xr3:uid="{FC45205F-3358-4506-97A0-F200AEF165FD}" name="Column9630"/>
    <tableColumn id="9631" xr3:uid="{F0C44D5E-F7BD-44B8-8D68-DC811F15D59F}" name="Column9631"/>
    <tableColumn id="9632" xr3:uid="{A9276C12-8DDC-4173-8DD3-73F766FAC138}" name="Column9632"/>
    <tableColumn id="9633" xr3:uid="{57CC7716-0879-427A-BA96-52D40E89C3FC}" name="Column9633"/>
    <tableColumn id="9634" xr3:uid="{55171348-FFBD-4B69-BE17-59599D7F2D68}" name="Column9634"/>
    <tableColumn id="9635" xr3:uid="{5D401953-8122-42F6-804D-1A3EAA9B711C}" name="Column9635"/>
    <tableColumn id="9636" xr3:uid="{4682C0EE-9CE1-4790-A424-F7EFDC8C6266}" name="Column9636"/>
    <tableColumn id="9637" xr3:uid="{B7FA1074-D90E-4C6D-9FF0-8EF7A8B6CE4D}" name="Column9637"/>
    <tableColumn id="9638" xr3:uid="{853D3ADB-C523-4719-A6EA-EB187113201F}" name="Column9638"/>
    <tableColumn id="9639" xr3:uid="{9F3992F8-EAB9-4A4F-9DA8-5EEFB0271042}" name="Column9639"/>
    <tableColumn id="9640" xr3:uid="{11C6B6FC-9F8B-4CD8-924F-DC330BEB6E6F}" name="Column9640"/>
    <tableColumn id="9641" xr3:uid="{4E989803-56E9-407F-8DE4-86D29447CF7C}" name="Column9641"/>
    <tableColumn id="9642" xr3:uid="{07753B64-17F1-4A4E-9BE3-1FEDFC100B4F}" name="Column9642"/>
    <tableColumn id="9643" xr3:uid="{8702C02F-8DE1-4093-8577-BB9B339276E1}" name="Column9643"/>
    <tableColumn id="9644" xr3:uid="{9EE17E46-CA83-4918-9BA2-660FED8D9B30}" name="Column9644"/>
    <tableColumn id="9645" xr3:uid="{E98008C7-B7A3-46AB-B417-6AB2C6B28B2E}" name="Column9645"/>
    <tableColumn id="9646" xr3:uid="{43B4C877-403A-4FBB-B23A-2E092988980C}" name="Column9646"/>
    <tableColumn id="9647" xr3:uid="{4348F3E1-6B5B-49BA-883D-0F4CA2916BA4}" name="Column9647"/>
    <tableColumn id="9648" xr3:uid="{A5805300-930C-4C78-813F-39E01E3501FA}" name="Column9648"/>
    <tableColumn id="9649" xr3:uid="{CAF7821D-6DDA-4F96-8033-96CEB86764CB}" name="Column9649"/>
    <tableColumn id="9650" xr3:uid="{5013F71E-D47D-45DA-9C8A-6D1356B3BACD}" name="Column9650"/>
    <tableColumn id="9651" xr3:uid="{7941032B-6188-47CF-B311-FAFD3335D619}" name="Column9651"/>
    <tableColumn id="9652" xr3:uid="{807C4EF5-21D4-42AA-B8B3-10292D25157F}" name="Column9652"/>
    <tableColumn id="9653" xr3:uid="{0F541BFA-5F55-491A-A63A-0B6764E97802}" name="Column9653"/>
    <tableColumn id="9654" xr3:uid="{81A5EE58-CCFE-4424-882D-59ADD2DAAC8E}" name="Column9654"/>
    <tableColumn id="9655" xr3:uid="{7FAAFB43-D666-4181-88DD-EEAAE703350C}" name="Column9655"/>
    <tableColumn id="9656" xr3:uid="{6AAA5B94-7CBE-45A6-9B5A-CE06E2425FC8}" name="Column9656"/>
    <tableColumn id="9657" xr3:uid="{C040DA44-D712-4538-BEFD-02A8F996B932}" name="Column9657"/>
    <tableColumn id="9658" xr3:uid="{5455E9AA-029D-4BD5-9859-47AD50A711A8}" name="Column9658"/>
    <tableColumn id="9659" xr3:uid="{B1CF0662-F96C-4C82-BC4C-C4243F15502D}" name="Column9659"/>
    <tableColumn id="9660" xr3:uid="{B4E13982-12B2-4D10-A98A-8430FD93416E}" name="Column9660"/>
    <tableColumn id="9661" xr3:uid="{CC025F24-9CD3-4F46-9550-0FC6CE1B29E0}" name="Column9661"/>
    <tableColumn id="9662" xr3:uid="{EC64EB86-AEFD-476E-8AFE-9D342D8F2A82}" name="Column9662"/>
    <tableColumn id="9663" xr3:uid="{DACC73C5-1394-46EF-A9C0-3EDD4354DA2D}" name="Column9663"/>
    <tableColumn id="9664" xr3:uid="{21FD89A3-C88E-4C70-B3DC-D980FFA90123}" name="Column9664"/>
    <tableColumn id="9665" xr3:uid="{91C65F33-4C27-4F45-B37D-C6D365912208}" name="Column9665"/>
    <tableColumn id="9666" xr3:uid="{1121F669-A2F7-4A3B-8C9A-7B39F2D39B1E}" name="Column9666"/>
    <tableColumn id="9667" xr3:uid="{E95DB59B-371E-4689-8E06-CA6AE71593A8}" name="Column9667"/>
    <tableColumn id="9668" xr3:uid="{A68421F6-CF9E-4C5E-A54E-54C2CFB9DD99}" name="Column9668"/>
    <tableColumn id="9669" xr3:uid="{291973D9-A53C-46A5-9F7B-A46AA9DCB0B9}" name="Column9669"/>
    <tableColumn id="9670" xr3:uid="{713A60B7-13D7-457C-9D2D-9AD45BFC60E4}" name="Column9670"/>
    <tableColumn id="9671" xr3:uid="{AB4FBC64-95FD-49AB-96BC-2CF831973CAF}" name="Column9671"/>
    <tableColumn id="9672" xr3:uid="{E2C6EF78-5A96-424D-BFEE-D2D4DA79FB40}" name="Column9672"/>
    <tableColumn id="9673" xr3:uid="{21CAE508-8CAF-4CB2-A888-D691A6E474EA}" name="Column9673"/>
    <tableColumn id="9674" xr3:uid="{02D2ED51-BA9B-4299-8D02-BCAA94077188}" name="Column9674"/>
    <tableColumn id="9675" xr3:uid="{4E5A9E4B-4BC8-4F97-B831-2720B015D1AB}" name="Column9675"/>
    <tableColumn id="9676" xr3:uid="{79DFFB59-B65A-426F-A691-2C6D954554B8}" name="Column9676"/>
    <tableColumn id="9677" xr3:uid="{D4B6DE58-4A22-4FCA-A5D3-390047F3DB63}" name="Column9677"/>
    <tableColumn id="9678" xr3:uid="{4A286C31-482A-401F-8A87-6930A79E9EA9}" name="Column9678"/>
    <tableColumn id="9679" xr3:uid="{9E7B1FD9-EC86-40E2-8023-5D97DBD94C1B}" name="Column9679"/>
    <tableColumn id="9680" xr3:uid="{7738C5DB-CEF6-4DD4-B1C5-9EA8D71438F2}" name="Column9680"/>
    <tableColumn id="9681" xr3:uid="{C1C593F2-D2FC-4A8E-AD33-E0BFA8CF2129}" name="Column9681"/>
    <tableColumn id="9682" xr3:uid="{E3466F93-2E03-4DA3-8585-0339C1A21110}" name="Column9682"/>
    <tableColumn id="9683" xr3:uid="{9A6EE0C3-123A-40A3-93FE-75E503B7A177}" name="Column9683"/>
    <tableColumn id="9684" xr3:uid="{9CE9F910-8423-49AB-A0C7-4D8DE644D8D2}" name="Column9684"/>
    <tableColumn id="9685" xr3:uid="{23CC537D-131E-4361-8E24-ABEAFD5A2669}" name="Column9685"/>
    <tableColumn id="9686" xr3:uid="{C44C16D6-4C31-4C67-BE4E-D00E0F9C88AC}" name="Column9686"/>
    <tableColumn id="9687" xr3:uid="{E27AC15E-D11B-4CBF-98F0-8F5524029AA1}" name="Column9687"/>
    <tableColumn id="9688" xr3:uid="{9EFF0F85-F5E5-402A-B845-1EF456BA3B2E}" name="Column9688"/>
    <tableColumn id="9689" xr3:uid="{78936FB2-6807-4258-8EED-288EA1E8F1BF}" name="Column9689"/>
    <tableColumn id="9690" xr3:uid="{04CFF9B2-DECD-4013-98CF-632C692CF8BE}" name="Column9690"/>
    <tableColumn id="9691" xr3:uid="{7BEBE909-C852-4819-93DF-76D0DA140CF9}" name="Column9691"/>
    <tableColumn id="9692" xr3:uid="{17D4026F-6D98-4437-98BB-C6E0C69F7A5F}" name="Column9692"/>
    <tableColumn id="9693" xr3:uid="{A20A8EFD-4D1F-407C-B8CF-6D20B33B80A4}" name="Column9693"/>
    <tableColumn id="9694" xr3:uid="{5A08DB47-92F3-4224-90BC-D3C6C8B23103}" name="Column9694"/>
    <tableColumn id="9695" xr3:uid="{DA308936-9984-403F-8D4B-A4C737CF3BA3}" name="Column9695"/>
    <tableColumn id="9696" xr3:uid="{8A35CF2D-A931-4A13-8C97-A74323113AF2}" name="Column9696"/>
    <tableColumn id="9697" xr3:uid="{4B70633A-F86E-46D5-AF15-E59F29ABAB34}" name="Column9697"/>
    <tableColumn id="9698" xr3:uid="{31DA2FF5-11C3-4A75-9677-4F9E2337A557}" name="Column9698"/>
    <tableColumn id="9699" xr3:uid="{850B4990-32F9-4766-8432-EC2925FB33D3}" name="Column9699"/>
    <tableColumn id="9700" xr3:uid="{1BDDEE1F-2C2E-43D8-B171-B5A330E476CD}" name="Column9700"/>
    <tableColumn id="9701" xr3:uid="{D9FF384D-57CB-4CA3-B248-C6241B6C135A}" name="Column9701"/>
    <tableColumn id="9702" xr3:uid="{1B95F41A-4A96-44EE-B580-FFFB04F2A1DB}" name="Column9702"/>
    <tableColumn id="9703" xr3:uid="{9897352F-4875-4D30-95A3-1270F1064101}" name="Column9703"/>
    <tableColumn id="9704" xr3:uid="{DA854496-0D49-45CD-B43A-5D19494EF5F9}" name="Column9704"/>
    <tableColumn id="9705" xr3:uid="{3531929B-DDE1-47CB-AC7E-525503B13E7C}" name="Column9705"/>
    <tableColumn id="9706" xr3:uid="{7794322D-83F9-429C-B84D-289E6A5A848E}" name="Column9706"/>
    <tableColumn id="9707" xr3:uid="{07B90ACF-E812-433D-A367-C3DFB05995D0}" name="Column9707"/>
    <tableColumn id="9708" xr3:uid="{9E78C030-15B4-4379-8EEE-1CA1BE4E8164}" name="Column9708"/>
    <tableColumn id="9709" xr3:uid="{C9FAB8CE-A2A9-42B7-B5C3-CF4DC13FE0A0}" name="Column9709"/>
    <tableColumn id="9710" xr3:uid="{B2355F7E-4A6E-4E4C-8DDA-FC0FAFF90730}" name="Column9710"/>
    <tableColumn id="9711" xr3:uid="{128E64DF-8946-403D-9FF9-B961FA6A948C}" name="Column9711"/>
    <tableColumn id="9712" xr3:uid="{58B5EC57-18A6-4792-A1F7-0F9B4067E3F7}" name="Column9712"/>
    <tableColumn id="9713" xr3:uid="{760CEE07-F7D2-46ED-A7CA-4932998272C4}" name="Column9713"/>
    <tableColumn id="9714" xr3:uid="{AF805E2B-15A2-4C96-9C72-BA3DF8368E67}" name="Column9714"/>
    <tableColumn id="9715" xr3:uid="{326C3F6A-C400-4360-8CDA-519B89D06981}" name="Column9715"/>
    <tableColumn id="9716" xr3:uid="{AA5B5638-58CF-4944-8BF7-137908E8BFA8}" name="Column9716"/>
    <tableColumn id="9717" xr3:uid="{600E0826-DD47-4A8D-87BB-447315B34CED}" name="Column9717"/>
    <tableColumn id="9718" xr3:uid="{0825A70B-B6C2-46E0-87A2-5A4350193C99}" name="Column9718"/>
    <tableColumn id="9719" xr3:uid="{969FB27A-D55E-4324-B15F-8471D81E354E}" name="Column9719"/>
    <tableColumn id="9720" xr3:uid="{73F3702B-FE14-41BE-BED5-BF0073877315}" name="Column9720"/>
    <tableColumn id="9721" xr3:uid="{F8CE308A-5C53-4D47-A5DD-7494144A0F93}" name="Column9721"/>
    <tableColumn id="9722" xr3:uid="{429852E3-650B-4257-A277-B6E7C4A5E55A}" name="Column9722"/>
    <tableColumn id="9723" xr3:uid="{2F8F5DBF-9510-4431-876F-E42DB42DB7C0}" name="Column9723"/>
    <tableColumn id="9724" xr3:uid="{2D856CCD-98A7-43EE-B2EF-54A61743D73A}" name="Column9724"/>
    <tableColumn id="9725" xr3:uid="{87CEFF10-356A-49EE-BB03-F114021124F0}" name="Column9725"/>
    <tableColumn id="9726" xr3:uid="{2B182500-083A-4BFC-BAA6-0EA89AC55CB9}" name="Column9726"/>
    <tableColumn id="9727" xr3:uid="{B6D54C6C-AC49-4180-BAFE-195F4DA31146}" name="Column9727"/>
    <tableColumn id="9728" xr3:uid="{9FCEBC7E-7CDA-4D7B-A5C3-0AD17131F04E}" name="Column9728"/>
    <tableColumn id="9729" xr3:uid="{EF1FB219-4C0E-4A55-851A-36B419CFDC1A}" name="Column9729"/>
    <tableColumn id="9730" xr3:uid="{3CC771A3-ABA9-4D62-98F1-792C7797800C}" name="Column9730"/>
    <tableColumn id="9731" xr3:uid="{FBE250F0-E7D0-49C2-9055-CC1A6609E4D0}" name="Column9731"/>
    <tableColumn id="9732" xr3:uid="{50FC5B77-BFE6-4C0D-BA45-884EDEE10E5A}" name="Column9732"/>
    <tableColumn id="9733" xr3:uid="{EA2493C7-CE54-4342-A0A5-B5EB617D9CAC}" name="Column9733"/>
    <tableColumn id="9734" xr3:uid="{31C16390-57AD-47BC-9249-C6C0D19B4B35}" name="Column9734"/>
    <tableColumn id="9735" xr3:uid="{3AF2D4DA-A1C5-4CE3-BB15-4A67519C3BD4}" name="Column9735"/>
    <tableColumn id="9736" xr3:uid="{1F7955DA-81FD-4D85-98FA-FBE21E687A7B}" name="Column9736"/>
    <tableColumn id="9737" xr3:uid="{827E2BB4-E040-478D-A678-2DD1AF9E056B}" name="Column9737"/>
    <tableColumn id="9738" xr3:uid="{BA139EE8-55A0-4D43-A150-C1F147FE8CAE}" name="Column9738"/>
    <tableColumn id="9739" xr3:uid="{D2494FA4-005F-4911-80E5-D580197EB318}" name="Column9739"/>
    <tableColumn id="9740" xr3:uid="{B4FA1172-CA0D-462A-9C94-868EAA9FF8AC}" name="Column9740"/>
    <tableColumn id="9741" xr3:uid="{94B8308A-CB9D-4E48-811D-F16C3B3D86F6}" name="Column9741"/>
    <tableColumn id="9742" xr3:uid="{A385244C-885D-4E4A-97B3-17E8A7464337}" name="Column9742"/>
    <tableColumn id="9743" xr3:uid="{AB5178DD-4E98-43C7-8732-23D22B03C152}" name="Column9743"/>
    <tableColumn id="9744" xr3:uid="{08166450-800A-411B-B724-2974A0C34F05}" name="Column9744"/>
    <tableColumn id="9745" xr3:uid="{44FA4A1E-C188-4E92-8CB1-60C2069610C3}" name="Column9745"/>
    <tableColumn id="9746" xr3:uid="{E1C2ECF7-7F50-402A-A4F2-5C64A4DF9625}" name="Column9746"/>
    <tableColumn id="9747" xr3:uid="{2D934961-5508-4981-B55B-6BB7325F3666}" name="Column9747"/>
    <tableColumn id="9748" xr3:uid="{F57FB2E6-0A98-46FD-B992-81F96297D243}" name="Column9748"/>
    <tableColumn id="9749" xr3:uid="{AC16BA70-7D68-43F4-B6FD-79802DDDB86F}" name="Column9749"/>
    <tableColumn id="9750" xr3:uid="{A369755C-7A67-4E01-8B99-B9EDF79C8A41}" name="Column9750"/>
    <tableColumn id="9751" xr3:uid="{7071BB0B-0E90-46DF-A092-742E87CEF405}" name="Column9751"/>
    <tableColumn id="9752" xr3:uid="{7572F766-1FBF-46D9-9593-6CEA7E9559C9}" name="Column9752"/>
    <tableColumn id="9753" xr3:uid="{5F80FEDC-B635-4108-994C-4CBFAFF244F1}" name="Column9753"/>
    <tableColumn id="9754" xr3:uid="{B4E6E03C-7989-4910-AA94-5FEF0B22321A}" name="Column9754"/>
    <tableColumn id="9755" xr3:uid="{8A1EFBA1-1EE0-4FB5-82F3-D26A0CF6EF4F}" name="Column9755"/>
    <tableColumn id="9756" xr3:uid="{67E8D359-8FAE-4956-B34C-CFCFC4394BB7}" name="Column9756"/>
    <tableColumn id="9757" xr3:uid="{C1087A93-53EA-445A-B110-6607C74605E0}" name="Column9757"/>
    <tableColumn id="9758" xr3:uid="{1AFD1B0C-C23F-4B61-92B2-B697C0264109}" name="Column9758"/>
    <tableColumn id="9759" xr3:uid="{48D89F90-8F59-4FB0-A4A9-71BD6DA86F9E}" name="Column9759"/>
    <tableColumn id="9760" xr3:uid="{7056E111-1F1A-4F41-BDEA-5D78E00CEBF7}" name="Column9760"/>
    <tableColumn id="9761" xr3:uid="{2D954B77-3F54-43C7-9CD3-570F6C0CF92C}" name="Column9761"/>
    <tableColumn id="9762" xr3:uid="{4479A773-3535-4BE8-A8AC-6530A5C77FAF}" name="Column9762"/>
    <tableColumn id="9763" xr3:uid="{2872A4A5-7B3F-4268-86EF-81921F293CA3}" name="Column9763"/>
    <tableColumn id="9764" xr3:uid="{23DD526B-ACFF-4BA6-BCD4-20BF344BA60B}" name="Column9764"/>
    <tableColumn id="9765" xr3:uid="{3660D898-55AA-4930-A494-E4CE369ED0E5}" name="Column9765"/>
    <tableColumn id="9766" xr3:uid="{47DE5593-9A94-4439-B7DD-5614C08DB0DB}" name="Column9766"/>
    <tableColumn id="9767" xr3:uid="{615D8B0A-F66D-4328-9137-39B2574BE5FE}" name="Column9767"/>
    <tableColumn id="9768" xr3:uid="{B38ACAE0-EC96-45F5-8CCC-5BEA8D94C09C}" name="Column9768"/>
    <tableColumn id="9769" xr3:uid="{407D6A91-8BAB-47A3-B0FE-21D84484D60D}" name="Column9769"/>
    <tableColumn id="9770" xr3:uid="{22D5DADD-9A7F-4B15-97EC-E725D015C1E4}" name="Column9770"/>
    <tableColumn id="9771" xr3:uid="{710574D7-0DAB-4A15-BD2B-F442BD07F868}" name="Column9771"/>
    <tableColumn id="9772" xr3:uid="{2E66F37A-9E9F-4033-97A7-9D4D82A24D17}" name="Column9772"/>
    <tableColumn id="9773" xr3:uid="{DB654C1B-CEB8-4289-898D-957ACF433E91}" name="Column9773"/>
    <tableColumn id="9774" xr3:uid="{5EC12B1D-73FE-4A30-98AE-B3CAF3C030B4}" name="Column9774"/>
    <tableColumn id="9775" xr3:uid="{ACE01B8D-977C-42C8-A52A-8D90B1212C33}" name="Column9775"/>
    <tableColumn id="9776" xr3:uid="{A01CFBA3-98CA-4FAA-A56D-69497597EDAB}" name="Column9776"/>
    <tableColumn id="9777" xr3:uid="{B19D4EA2-99C6-40C0-8493-67BF7293A48A}" name="Column9777"/>
    <tableColumn id="9778" xr3:uid="{512907AD-822F-4D70-A27E-3BC201776350}" name="Column9778"/>
    <tableColumn id="9779" xr3:uid="{14E919EF-8603-4E70-99DD-47FEA72645CD}" name="Column9779"/>
    <tableColumn id="9780" xr3:uid="{3F79FB5A-DF9A-443E-B0C7-8D536C8B3A4C}" name="Column9780"/>
    <tableColumn id="9781" xr3:uid="{FC764056-8452-4E58-9FD3-A97F6505B0DF}" name="Column9781"/>
    <tableColumn id="9782" xr3:uid="{FF961CF6-609B-4362-891A-954B5FE98DF6}" name="Column9782"/>
    <tableColumn id="9783" xr3:uid="{641CB659-447A-4CD8-8E56-6F0FD3D2E0E3}" name="Column9783"/>
    <tableColumn id="9784" xr3:uid="{E7ED7454-EFCD-4D84-B01E-D448C4F11AA8}" name="Column9784"/>
    <tableColumn id="9785" xr3:uid="{99A9214F-F521-4DDC-8E0A-D7CA4181E81A}" name="Column9785"/>
    <tableColumn id="9786" xr3:uid="{8BF0E9DB-89AA-4171-A9A4-3B196E2A865C}" name="Column9786"/>
    <tableColumn id="9787" xr3:uid="{14A576DB-4333-4C64-A51B-690E63E5D7E1}" name="Column9787"/>
    <tableColumn id="9788" xr3:uid="{A4FC78D4-1C6F-4ABA-9099-DA37AF85759F}" name="Column9788"/>
    <tableColumn id="9789" xr3:uid="{F380BEF1-5D0E-413C-9E53-1F8433986675}" name="Column9789"/>
    <tableColumn id="9790" xr3:uid="{8616AB2B-3CBE-44D1-AE94-E04923CC44DC}" name="Column9790"/>
    <tableColumn id="9791" xr3:uid="{36C88030-A588-4356-9C42-32F96BAF5E88}" name="Column9791"/>
    <tableColumn id="9792" xr3:uid="{DFCFE5BB-4B5A-418D-B1C2-5E8C63622A6B}" name="Column9792"/>
    <tableColumn id="9793" xr3:uid="{4DB5BC89-652E-4893-8B38-5D9C1AE90A38}" name="Column9793"/>
    <tableColumn id="9794" xr3:uid="{1B4BB5D8-C0A0-4465-8EFB-0808D1BD02B2}" name="Column9794"/>
    <tableColumn id="9795" xr3:uid="{6FFEEA7D-B4D7-46F4-9F76-2123D47FF1E4}" name="Column9795"/>
    <tableColumn id="9796" xr3:uid="{3A5DB1A2-2C3B-4777-8FC1-4133BFDAE80C}" name="Column9796"/>
    <tableColumn id="9797" xr3:uid="{98000C90-B1BA-4B6B-9707-7F2A31D13033}" name="Column9797"/>
    <tableColumn id="9798" xr3:uid="{16BA1612-874B-492E-8DC6-B59A286F58A1}" name="Column9798"/>
    <tableColumn id="9799" xr3:uid="{E5090B19-D89E-43E5-AAD0-F83D0D7886A7}" name="Column9799"/>
    <tableColumn id="9800" xr3:uid="{080E7CFB-EF58-4F24-9829-70718296CEED}" name="Column9800"/>
    <tableColumn id="9801" xr3:uid="{9204868A-124C-4549-A44E-FF99E9DC3079}" name="Column9801"/>
    <tableColumn id="9802" xr3:uid="{A8C3874C-EA6B-45EB-8879-5C05C4D1C5B4}" name="Column9802"/>
    <tableColumn id="9803" xr3:uid="{DFF1EF3F-E79E-44A9-B20A-298969E4CA14}" name="Column9803"/>
    <tableColumn id="9804" xr3:uid="{8B28A506-61EA-4525-BE68-8AC3702DE9BE}" name="Column9804"/>
    <tableColumn id="9805" xr3:uid="{D4C65DBF-B948-4261-A126-F2F85C8EF7A6}" name="Column9805"/>
    <tableColumn id="9806" xr3:uid="{550F7F35-FF9B-4202-8E0F-1B2EF105770C}" name="Column9806"/>
    <tableColumn id="9807" xr3:uid="{A55081C6-AD8D-464A-9544-E736891FC811}" name="Column9807"/>
    <tableColumn id="9808" xr3:uid="{1C2CC41D-A0A3-468F-86BF-C63674BE482C}" name="Column9808"/>
    <tableColumn id="9809" xr3:uid="{0D7829B5-0987-420E-86F7-443FC7105F01}" name="Column9809"/>
    <tableColumn id="9810" xr3:uid="{2BCB4DB8-9ACE-47B0-8C2E-1CC2F1FF7A79}" name="Column9810"/>
    <tableColumn id="9811" xr3:uid="{7B517400-51AA-4D8E-B921-3BF524B3AA3C}" name="Column9811"/>
    <tableColumn id="9812" xr3:uid="{13616660-431A-4CFB-A431-B8EFDE48F25D}" name="Column9812"/>
    <tableColumn id="9813" xr3:uid="{B8BC6EAC-4670-414A-9264-FDAD3D79EEB8}" name="Column9813"/>
    <tableColumn id="9814" xr3:uid="{462E32EC-A12E-4350-8C85-E432417FA13B}" name="Column9814"/>
    <tableColumn id="9815" xr3:uid="{4228D62E-7187-497A-8D96-1296D09A0C25}" name="Column9815"/>
    <tableColumn id="9816" xr3:uid="{DC01B2EC-0180-4434-8053-B785718587DF}" name="Column9816"/>
    <tableColumn id="9817" xr3:uid="{AC8132F1-B613-4729-8930-70DE8BFC1E43}" name="Column9817"/>
    <tableColumn id="9818" xr3:uid="{F1DDF531-2C65-4E52-9D75-52E70E045E74}" name="Column9818"/>
    <tableColumn id="9819" xr3:uid="{8C0AA88B-E21C-464B-88BE-A5719966F019}" name="Column9819"/>
    <tableColumn id="9820" xr3:uid="{FC5318C6-6F53-4243-9C2A-18A08DB86138}" name="Column9820"/>
    <tableColumn id="9821" xr3:uid="{44D3F4D5-DECF-48E7-BCCD-DA1E9D43B870}" name="Column9821"/>
    <tableColumn id="9822" xr3:uid="{A8B7B115-905D-4B5B-B6E0-08BC8BAB787F}" name="Column9822"/>
    <tableColumn id="9823" xr3:uid="{5345C286-6351-4EF6-80B3-4D9B5AD1C15C}" name="Column9823"/>
    <tableColumn id="9824" xr3:uid="{E8E2514D-8B77-49EC-B86B-E7FE9904DE1F}" name="Column9824"/>
    <tableColumn id="9825" xr3:uid="{D0621335-C48F-4028-8713-995F4A669738}" name="Column9825"/>
    <tableColumn id="9826" xr3:uid="{DF8A67E3-E9DC-4236-95CE-453284BC0FD5}" name="Column9826"/>
    <tableColumn id="9827" xr3:uid="{A639BF5F-9B94-4E4F-8EC3-03B2E516DD49}" name="Column9827"/>
    <tableColumn id="9828" xr3:uid="{20C640FE-886B-4939-9FEE-EEDFD58AEF00}" name="Column9828"/>
    <tableColumn id="9829" xr3:uid="{DF0A24C8-6501-48EB-A386-89DC70F1D252}" name="Column9829"/>
    <tableColumn id="9830" xr3:uid="{469A6861-2F19-43FE-9F37-696705EB51B8}" name="Column9830"/>
    <tableColumn id="9831" xr3:uid="{C97A88FC-59A4-4103-8F2E-CEF5132DA07E}" name="Column9831"/>
    <tableColumn id="9832" xr3:uid="{3E09CC60-DFB3-43DB-A1D3-938AE5602B7E}" name="Column9832"/>
    <tableColumn id="9833" xr3:uid="{0A444202-CE8B-48B8-94E6-32A363218758}" name="Column9833"/>
    <tableColumn id="9834" xr3:uid="{E145C30C-0D83-43A2-AF35-8881A6BA275A}" name="Column9834"/>
    <tableColumn id="9835" xr3:uid="{637AD41F-05A8-4D19-9929-D5852300B5F7}" name="Column9835"/>
    <tableColumn id="9836" xr3:uid="{0A322DDD-87A1-4037-9E4F-11B8FA45A84D}" name="Column9836"/>
    <tableColumn id="9837" xr3:uid="{C08C94D4-E6A4-4E16-BCEB-136D98522D70}" name="Column9837"/>
    <tableColumn id="9838" xr3:uid="{A452D60B-2F6C-402B-9A7E-86575692B56F}" name="Column9838"/>
    <tableColumn id="9839" xr3:uid="{F480C8F8-2E94-4578-BD23-E1210E5D0B7C}" name="Column9839"/>
    <tableColumn id="9840" xr3:uid="{A5295050-4A21-4085-8516-DA3516A51DEA}" name="Column9840"/>
    <tableColumn id="9841" xr3:uid="{6C40A6D2-2628-4ABD-BC8A-761E855B55D1}" name="Column9841"/>
    <tableColumn id="9842" xr3:uid="{4931678A-B3EF-4CFD-A6A5-B77199236542}" name="Column9842"/>
    <tableColumn id="9843" xr3:uid="{899C97CD-2A96-40CA-A808-C82131AB50B1}" name="Column9843"/>
    <tableColumn id="9844" xr3:uid="{1C61CE68-BE16-41C6-B6CE-4FAB8FD89BC9}" name="Column9844"/>
    <tableColumn id="9845" xr3:uid="{6BF7ADDC-4F24-4AA1-851C-B918E5392628}" name="Column9845"/>
    <tableColumn id="9846" xr3:uid="{2DCE3E75-EC4F-45F7-B45D-9897D440B8E7}" name="Column9846"/>
    <tableColumn id="9847" xr3:uid="{1142C6EF-A24D-427F-94B3-BE779E331D03}" name="Column9847"/>
    <tableColumn id="9848" xr3:uid="{E4685513-12F2-4A46-A1DC-27852A67138A}" name="Column9848"/>
    <tableColumn id="9849" xr3:uid="{12B44D1F-AA19-44AF-BC42-65498B6DB528}" name="Column9849"/>
    <tableColumn id="9850" xr3:uid="{600D2164-E083-4AA1-A94C-63D71FF4A0E7}" name="Column9850"/>
    <tableColumn id="9851" xr3:uid="{AAFF9691-8F41-454A-8E26-3039C12E9E86}" name="Column9851"/>
    <tableColumn id="9852" xr3:uid="{CDF6BD79-CB1C-4B3E-AF6C-889A924F7E8C}" name="Column9852"/>
    <tableColumn id="9853" xr3:uid="{7696B2FE-A405-43CE-B608-C6D876E1066B}" name="Column9853"/>
    <tableColumn id="9854" xr3:uid="{EAC2398E-876E-433F-9355-85014452A3BE}" name="Column9854"/>
    <tableColumn id="9855" xr3:uid="{A9CFFED2-C395-4AE9-9767-A18F1C4B77B7}" name="Column9855"/>
    <tableColumn id="9856" xr3:uid="{BD2F2224-3FB6-4E11-96DD-449E363EF27A}" name="Column9856"/>
    <tableColumn id="9857" xr3:uid="{944A2AE7-A9FF-4AD2-BD7F-93084045FEB3}" name="Column9857"/>
    <tableColumn id="9858" xr3:uid="{2A4B62DD-B456-4180-9E6A-CEF0BF64F1F3}" name="Column9858"/>
    <tableColumn id="9859" xr3:uid="{5F067CEE-AD86-4900-90A8-B7EE07847849}" name="Column9859"/>
    <tableColumn id="9860" xr3:uid="{51294881-44A7-481D-84A5-75D568CE3D0B}" name="Column9860"/>
    <tableColumn id="9861" xr3:uid="{7A6A758A-80D4-44EC-BEE2-6B19F4C5E78A}" name="Column9861"/>
    <tableColumn id="9862" xr3:uid="{C9F0230A-5AEE-4F49-9509-2D68AC140126}" name="Column9862"/>
    <tableColumn id="9863" xr3:uid="{8E88D5CA-4252-4FFD-93A5-847CED32E640}" name="Column9863"/>
    <tableColumn id="9864" xr3:uid="{7FE9DD58-84D1-42BF-A91E-8F2A00194117}" name="Column9864"/>
    <tableColumn id="9865" xr3:uid="{B15EBFAA-A9CA-4684-BAFB-DC6609DDC4C3}" name="Column9865"/>
    <tableColumn id="9866" xr3:uid="{2EB564D6-7DCA-4B3A-997E-5E049FC520EE}" name="Column9866"/>
    <tableColumn id="9867" xr3:uid="{DC29E64C-256F-47C1-9A9E-42452DF0C7E4}" name="Column9867"/>
    <tableColumn id="9868" xr3:uid="{139CA1C6-9E7E-4D87-86F2-188EE4283DF4}" name="Column9868"/>
    <tableColumn id="9869" xr3:uid="{F15CCF9F-AABD-4692-A7AE-54BA85F8C876}" name="Column9869"/>
    <tableColumn id="9870" xr3:uid="{3F8A400B-2481-4404-BD58-3554F7DE3683}" name="Column9870"/>
    <tableColumn id="9871" xr3:uid="{08A886C7-CD52-48E7-8771-276840D05CE2}" name="Column9871"/>
    <tableColumn id="9872" xr3:uid="{8535CC99-7EC9-4346-B306-E9E7AA0B1CA8}" name="Column9872"/>
    <tableColumn id="9873" xr3:uid="{8971AFA3-868D-4304-9767-A3BCAA07DCED}" name="Column9873"/>
    <tableColumn id="9874" xr3:uid="{8CEF2558-4890-4C53-8673-00E2A4F1129A}" name="Column9874"/>
    <tableColumn id="9875" xr3:uid="{C0F164C3-559C-42FE-A5DC-7CA7A0AD10BA}" name="Column9875"/>
    <tableColumn id="9876" xr3:uid="{8F7E743C-CE30-48BC-A101-AB7B86C8ABE2}" name="Column9876"/>
    <tableColumn id="9877" xr3:uid="{C8E42ED0-DCAA-464C-B35E-4739DC2C488B}" name="Column9877"/>
    <tableColumn id="9878" xr3:uid="{10B81649-3566-4874-9BD8-7A382A8AEEF9}" name="Column9878"/>
    <tableColumn id="9879" xr3:uid="{FE11300D-76C8-4014-88A8-45F15C83FBCE}" name="Column9879"/>
    <tableColumn id="9880" xr3:uid="{534C6F01-06C0-4ABC-A723-8D9A5C3FD294}" name="Column9880"/>
    <tableColumn id="9881" xr3:uid="{8EDECB76-3084-4110-B724-7F0F43A958DC}" name="Column9881"/>
    <tableColumn id="9882" xr3:uid="{603D105D-15B6-475B-8C9D-B5DF4D40F3CA}" name="Column9882"/>
    <tableColumn id="9883" xr3:uid="{8E199202-1324-440C-8CFC-29AE246BBD7F}" name="Column9883"/>
    <tableColumn id="9884" xr3:uid="{5E2F3BE7-5C9E-49A9-93C4-40DEFE3E5A6A}" name="Column9884"/>
    <tableColumn id="9885" xr3:uid="{1A52A918-A425-4FFA-BC87-12AE15581B14}" name="Column9885"/>
    <tableColumn id="9886" xr3:uid="{8C7BA220-9522-4F97-9604-5311A47E78D8}" name="Column9886"/>
    <tableColumn id="9887" xr3:uid="{1057EA9B-C6FE-4CAB-A478-59254847360D}" name="Column9887"/>
    <tableColumn id="9888" xr3:uid="{E34B8B37-6C03-40F1-8D3E-015170B46CC1}" name="Column9888"/>
    <tableColumn id="9889" xr3:uid="{22E592FF-CBA6-449E-939D-5840AA6373E5}" name="Column9889"/>
    <tableColumn id="9890" xr3:uid="{D032CB14-B7E1-4C5B-907E-0A71F96B048C}" name="Column9890"/>
    <tableColumn id="9891" xr3:uid="{A655ADEC-FF93-4685-B2AD-87F9608839C6}" name="Column9891"/>
    <tableColumn id="9892" xr3:uid="{055215C9-B509-4F06-8298-7A3F175C0BF4}" name="Column9892"/>
    <tableColumn id="9893" xr3:uid="{64EDE6C7-3E1B-46E8-93B9-152AA689345F}" name="Column9893"/>
    <tableColumn id="9894" xr3:uid="{697CE27A-A3CB-4965-ADD4-F09F86025532}" name="Column9894"/>
    <tableColumn id="9895" xr3:uid="{AD7832B1-AEB2-4809-AB45-38DD1589614A}" name="Column9895"/>
    <tableColumn id="9896" xr3:uid="{FBF7BDFF-B31E-408D-B3BC-2583A1E68191}" name="Column9896"/>
    <tableColumn id="9897" xr3:uid="{164542F9-3BF4-434A-8007-C3276E617FDB}" name="Column9897"/>
    <tableColumn id="9898" xr3:uid="{78EA3246-B73D-4596-8F26-D4C11AB3DAD2}" name="Column9898"/>
    <tableColumn id="9899" xr3:uid="{A684E3A2-6EBF-4415-93C7-4B9544BFDB42}" name="Column9899"/>
    <tableColumn id="9900" xr3:uid="{E533382F-0CF4-4EBE-8EB5-D68DA1E0BE29}" name="Column9900"/>
    <tableColumn id="9901" xr3:uid="{099BEE48-7B9F-46DC-BC87-57C8A0108BB8}" name="Column9901"/>
    <tableColumn id="9902" xr3:uid="{6B18626B-5F1E-4273-8048-DF52783AB4B7}" name="Column9902"/>
    <tableColumn id="9903" xr3:uid="{E6182083-5652-4782-903B-60FF836AAE55}" name="Column9903"/>
    <tableColumn id="9904" xr3:uid="{8B7F0700-E12C-4867-B927-AE0E32E72372}" name="Column9904"/>
    <tableColumn id="9905" xr3:uid="{EE967F2A-C126-48F7-829E-9B8118C04EAC}" name="Column9905"/>
    <tableColumn id="9906" xr3:uid="{D1212AE1-BFF2-4320-B05C-4135A2947311}" name="Column9906"/>
    <tableColumn id="9907" xr3:uid="{028C1C02-7851-4B8D-ABDC-27C6CFE9B4FD}" name="Column9907"/>
    <tableColumn id="9908" xr3:uid="{AE6CB716-D988-435A-841C-72750820FCD5}" name="Column9908"/>
    <tableColumn id="9909" xr3:uid="{4EB35131-41A3-42A7-BE7F-013ECDBED6A1}" name="Column9909"/>
    <tableColumn id="9910" xr3:uid="{37D92032-DB6A-493B-AC28-90B44B853CD0}" name="Column9910"/>
    <tableColumn id="9911" xr3:uid="{F5414213-4DC1-423E-8B9C-6CB3F035AC99}" name="Column9911"/>
    <tableColumn id="9912" xr3:uid="{F9061590-70C9-4380-9CB6-DCC4ACEE7DB3}" name="Column9912"/>
    <tableColumn id="9913" xr3:uid="{22B038D0-AF34-4E1F-A004-A875F52EBBA8}" name="Column9913"/>
    <tableColumn id="9914" xr3:uid="{270637B1-1791-4AFB-970B-9B6D2205D634}" name="Column9914"/>
    <tableColumn id="9915" xr3:uid="{F544748F-B67D-450F-B131-059EE2609C75}" name="Column9915"/>
    <tableColumn id="9916" xr3:uid="{4EACAC14-4098-4A3C-845B-F71952736902}" name="Column9916"/>
    <tableColumn id="9917" xr3:uid="{49C18575-F903-4398-911F-13F53A180E9A}" name="Column9917"/>
    <tableColumn id="9918" xr3:uid="{0E938F3E-0E9E-462F-BC9F-CCB57F096A5B}" name="Column9918"/>
    <tableColumn id="9919" xr3:uid="{17233A40-A67D-4573-9718-D845BC689DA6}" name="Column9919"/>
    <tableColumn id="9920" xr3:uid="{55850FB2-CDCE-4A96-915E-7159D7799186}" name="Column9920"/>
    <tableColumn id="9921" xr3:uid="{185A0C12-C2A7-4A57-932D-9757B275C948}" name="Column9921"/>
    <tableColumn id="9922" xr3:uid="{1B6622E8-29EE-4A12-94DE-DA2E1BAA6095}" name="Column9922"/>
    <tableColumn id="9923" xr3:uid="{7F8EE786-9250-417A-B738-CB383E344FF3}" name="Column9923"/>
    <tableColumn id="9924" xr3:uid="{1FFC0B80-D9A8-4E1F-830B-BE868DD9648C}" name="Column9924"/>
    <tableColumn id="9925" xr3:uid="{593735C2-FE65-4A63-96B6-1C7C77C26145}" name="Column9925"/>
    <tableColumn id="9926" xr3:uid="{5B3C5A83-04B3-4255-AEE3-201B366277D1}" name="Column9926"/>
    <tableColumn id="9927" xr3:uid="{6CC961A5-1BCE-425F-AD19-DA104A4FBE5D}" name="Column9927"/>
    <tableColumn id="9928" xr3:uid="{375F5426-C530-437C-B526-F3A2C003615B}" name="Column9928"/>
    <tableColumn id="9929" xr3:uid="{F9E4FA21-DAC0-467C-AABD-11ED38B63B43}" name="Column9929"/>
    <tableColumn id="9930" xr3:uid="{8A3F8062-EAC4-424E-BF41-50EE8BB19C8D}" name="Column9930"/>
    <tableColumn id="9931" xr3:uid="{2E929977-3EE1-4DBB-B507-76DD97FBE9B5}" name="Column9931"/>
    <tableColumn id="9932" xr3:uid="{DF1B461A-BD1B-4844-BBCE-9B0580FC0E73}" name="Column9932"/>
    <tableColumn id="9933" xr3:uid="{D8D8482C-7F7E-4225-B0E4-D2CDD007D546}" name="Column9933"/>
    <tableColumn id="9934" xr3:uid="{F9C53F26-3BC4-4D09-8FC3-C55E5090B595}" name="Column9934"/>
    <tableColumn id="9935" xr3:uid="{406EF5EB-EF0D-4D8D-93EF-742A1337F334}" name="Column9935"/>
    <tableColumn id="9936" xr3:uid="{34F3BE9E-4511-463E-9629-0C89AB54DB6F}" name="Column9936"/>
    <tableColumn id="9937" xr3:uid="{1C1374B9-84A3-489C-8B18-E8D2E5358285}" name="Column9937"/>
    <tableColumn id="9938" xr3:uid="{BC1DBB7A-FF7D-4AFA-9897-E5B654E324AC}" name="Column9938"/>
    <tableColumn id="9939" xr3:uid="{BF45D5AC-DD2C-47CB-AF93-ACBEAC5D5697}" name="Column9939"/>
    <tableColumn id="9940" xr3:uid="{A0E45F5B-1D3E-4FC6-986E-8CBC3F9EC239}" name="Column9940"/>
    <tableColumn id="9941" xr3:uid="{6706138E-FC42-4DB0-B7D6-828983423600}" name="Column9941"/>
    <tableColumn id="9942" xr3:uid="{A52D5678-AFF0-41DC-81C5-A98CC090BE3E}" name="Column9942"/>
    <tableColumn id="9943" xr3:uid="{D07973D5-B11B-4793-9071-42EED9F85855}" name="Column9943"/>
    <tableColumn id="9944" xr3:uid="{11AFC2B0-35FC-42EB-8AA8-558D1477DAAE}" name="Column9944"/>
    <tableColumn id="9945" xr3:uid="{DE6353E6-A061-4378-AD75-05B6CAD8E3DB}" name="Column9945"/>
    <tableColumn id="9946" xr3:uid="{1AEE4643-B7B3-4600-864E-BEBF1DC95B65}" name="Column9946"/>
    <tableColumn id="9947" xr3:uid="{6B17625A-A7CA-48F6-8F13-4090E7320BB5}" name="Column9947"/>
    <tableColumn id="9948" xr3:uid="{D659773E-5765-49F2-8FA5-7DACD696D3F0}" name="Column9948"/>
    <tableColumn id="9949" xr3:uid="{1DEE949A-65CF-4C18-8341-69CC9570EDA0}" name="Column9949"/>
    <tableColumn id="9950" xr3:uid="{87121064-F68D-4431-A9F5-966657F39E1E}" name="Column9950"/>
    <tableColumn id="9951" xr3:uid="{0806436A-AB4E-4CC9-B8D0-C86B5F6992F7}" name="Column9951"/>
    <tableColumn id="9952" xr3:uid="{8B5F492C-8E08-4D16-9125-9B0615D9CA08}" name="Column9952"/>
    <tableColumn id="9953" xr3:uid="{401A2C27-7372-48FC-982A-3D56007E0D1C}" name="Column9953"/>
    <tableColumn id="9954" xr3:uid="{996C8765-8F93-4356-9913-94F71579B150}" name="Column9954"/>
    <tableColumn id="9955" xr3:uid="{1BBB6CEA-2D6B-4190-A99A-8B0AD176C6F9}" name="Column9955"/>
    <tableColumn id="9956" xr3:uid="{71577F79-DD3B-4C82-BD29-4E33E91188CB}" name="Column9956"/>
    <tableColumn id="9957" xr3:uid="{07B656EF-C386-43E8-82DC-E40E87322D8B}" name="Column9957"/>
    <tableColumn id="9958" xr3:uid="{0EC087C0-CC39-4B67-8A6F-82DF433D3853}" name="Column9958"/>
    <tableColumn id="9959" xr3:uid="{FB18A6E2-78D6-4DE5-AD13-769B0600A78C}" name="Column9959"/>
    <tableColumn id="9960" xr3:uid="{44F75BEE-0112-4717-9FE0-7E50B3949B84}" name="Column9960"/>
    <tableColumn id="9961" xr3:uid="{DA0162BE-FABF-4596-8B7C-9E9ABE7017D0}" name="Column9961"/>
    <tableColumn id="9962" xr3:uid="{BA25CC30-167D-43E6-8FBB-69A40A5539BF}" name="Column9962"/>
    <tableColumn id="9963" xr3:uid="{867B68C3-48B4-4425-A417-BD13421F0571}" name="Column9963"/>
    <tableColumn id="9964" xr3:uid="{570EB1DA-2AE4-4084-BD3A-2A64568E9BEC}" name="Column9964"/>
    <tableColumn id="9965" xr3:uid="{3AF7958B-E2B5-4B93-A6DE-A302EF9F312F}" name="Column9965"/>
    <tableColumn id="9966" xr3:uid="{4AF08087-4447-403D-BB0A-3BC3B5B4F87C}" name="Column9966"/>
    <tableColumn id="9967" xr3:uid="{2F8BE060-BF68-44EE-933E-F796971E5A3E}" name="Column9967"/>
    <tableColumn id="9968" xr3:uid="{017DEC02-568B-452E-B481-0F09AF0CC125}" name="Column9968"/>
    <tableColumn id="9969" xr3:uid="{BC1D657E-76B2-4A20-B882-87BF227C975E}" name="Column9969"/>
    <tableColumn id="9970" xr3:uid="{D8C2E01B-F207-4E14-9DF9-451B61839D37}" name="Column9970"/>
    <tableColumn id="9971" xr3:uid="{3F9322BF-86E7-4547-9B34-9E28C3D8C577}" name="Column9971"/>
    <tableColumn id="9972" xr3:uid="{67A2E28C-AA51-4282-A7C1-849595771A66}" name="Column9972"/>
    <tableColumn id="9973" xr3:uid="{F2973809-5E20-4473-A094-34973D416765}" name="Column9973"/>
    <tableColumn id="9974" xr3:uid="{D6CC4864-93E4-45C7-AB61-EDADD2368239}" name="Column9974"/>
    <tableColumn id="9975" xr3:uid="{6670538B-CF38-4A5F-81D6-3DA05EE4C083}" name="Column9975"/>
    <tableColumn id="9976" xr3:uid="{C5D76420-E103-4DA7-952E-A9103BC904A6}" name="Column9976"/>
    <tableColumn id="9977" xr3:uid="{12160825-0798-455F-B25E-069E3D5690FE}" name="Column9977"/>
    <tableColumn id="9978" xr3:uid="{82644186-F25E-4DCF-9CCB-1C83E877931E}" name="Column9978"/>
    <tableColumn id="9979" xr3:uid="{C92603F0-E03B-481C-8E13-C5023CC249FB}" name="Column9979"/>
    <tableColumn id="9980" xr3:uid="{7BB052D2-4899-4E2A-BFB3-A7404C383909}" name="Column9980"/>
    <tableColumn id="9981" xr3:uid="{23671E7E-4135-444E-B5B6-676EE2ABD1EC}" name="Column9981"/>
    <tableColumn id="9982" xr3:uid="{85CCFCB6-7A0A-4C6F-A03F-B139C7027466}" name="Column9982"/>
    <tableColumn id="9983" xr3:uid="{DFD4D7B3-17EA-4AA0-AE18-359D8DCC5A55}" name="Column9983"/>
    <tableColumn id="9984" xr3:uid="{3BD312CF-EAC3-44A3-AB70-1A80381C33E3}" name="Column9984"/>
    <tableColumn id="9985" xr3:uid="{3F83080D-59B7-49D7-8AF6-8267F86F16E5}" name="Column9985"/>
    <tableColumn id="9986" xr3:uid="{48EB1A83-A5B2-4DD4-B6A9-48503CDB8DBE}" name="Column9986"/>
    <tableColumn id="9987" xr3:uid="{10DD31A6-40D1-4FA1-95D9-601F69159B02}" name="Column9987"/>
    <tableColumn id="9988" xr3:uid="{1329D0CB-E605-4E53-9DB2-6B2D52DC66FE}" name="Column9988"/>
    <tableColumn id="9989" xr3:uid="{031D1C50-2BC5-4214-86F0-17DF3C4EB994}" name="Column9989"/>
    <tableColumn id="9990" xr3:uid="{6528B1BF-1BCA-4131-8D91-70953F968850}" name="Column9990"/>
    <tableColumn id="9991" xr3:uid="{2189B2D4-0946-45B5-A3D9-F374798AF7D2}" name="Column9991"/>
    <tableColumn id="9992" xr3:uid="{48A89D17-EA44-4393-984B-E487277F8EDF}" name="Column9992"/>
    <tableColumn id="9993" xr3:uid="{31A82AE6-B8BD-4006-B356-3891D6207313}" name="Column9993"/>
    <tableColumn id="9994" xr3:uid="{AF5E7D61-4D40-486E-A930-773ECB9D5292}" name="Column9994"/>
    <tableColumn id="9995" xr3:uid="{190AD125-24D5-45C9-B36F-B99A9D8F8F8F}" name="Column9995"/>
    <tableColumn id="9996" xr3:uid="{66CAB3B7-91F4-4B53-9D7D-BCDC77F8631B}" name="Column9996"/>
    <tableColumn id="9997" xr3:uid="{7C4ECBCC-C48C-4440-9A4D-8084E5B6E309}" name="Column9997"/>
    <tableColumn id="9998" xr3:uid="{C26A07D8-75F6-4D43-8EA4-517D17478875}" name="Column9998"/>
    <tableColumn id="9999" xr3:uid="{24B8A284-B5EA-4BF0-95AD-9067145EB129}" name="Column9999"/>
    <tableColumn id="10000" xr3:uid="{5EF33612-ABB7-4F32-9D65-E45FE26D22FB}" name="Column10000"/>
    <tableColumn id="10001" xr3:uid="{2631089F-E11E-4088-86E1-6E4268AC535F}" name="Column10001"/>
    <tableColumn id="10002" xr3:uid="{A614471A-C971-4B74-87DE-4E795A167A09}" name="Column10002"/>
    <tableColumn id="10003" xr3:uid="{584040AF-A78E-4893-BA80-D40CE0B772B1}" name="Column10003"/>
    <tableColumn id="10004" xr3:uid="{F4C4702E-9E89-4204-BB47-AE674C9C3DCD}" name="Column10004"/>
    <tableColumn id="10005" xr3:uid="{27349F4B-E71C-4E43-9765-95CA5226EEB3}" name="Column10005"/>
    <tableColumn id="10006" xr3:uid="{FF429607-DEC6-4CB7-B822-DDBB57CFE070}" name="Column10006"/>
    <tableColumn id="10007" xr3:uid="{9A3794C4-918E-49C9-8E70-57ADE4EC1CA4}" name="Column10007"/>
    <tableColumn id="10008" xr3:uid="{69FB2CFE-2B93-454C-BAB6-211C36FE2E20}" name="Column10008"/>
    <tableColumn id="10009" xr3:uid="{76A0DEB2-450E-4277-B9C5-78406342EBFA}" name="Column10009"/>
    <tableColumn id="10010" xr3:uid="{73EAD463-5115-42CF-886D-B3A4EE6CC03E}" name="Column10010"/>
    <tableColumn id="10011" xr3:uid="{45A2CAD7-E6A3-45A2-B323-EF315650C6EB}" name="Column10011"/>
    <tableColumn id="10012" xr3:uid="{8B00BADB-2FC0-4D6C-9736-E3CD93CAC385}" name="Column10012"/>
    <tableColumn id="10013" xr3:uid="{FCADBE96-2510-4E90-89B1-ADE160A9E29C}" name="Column10013"/>
    <tableColumn id="10014" xr3:uid="{10A22872-D660-4E8B-AC22-692989B0FF1F}" name="Column10014"/>
    <tableColumn id="10015" xr3:uid="{BA4B4BEB-4F1F-4371-B121-1E7E3C7A8FB3}" name="Column10015"/>
    <tableColumn id="10016" xr3:uid="{21C71B9B-528E-4AD2-9BF2-9286AC6046E2}" name="Column10016"/>
    <tableColumn id="10017" xr3:uid="{A0F108AB-C74D-4B55-8600-ACB6CA316F50}" name="Column10017"/>
    <tableColumn id="10018" xr3:uid="{AE44FF60-D629-4F79-B53D-7481503986A6}" name="Column10018"/>
    <tableColumn id="10019" xr3:uid="{8C1439A6-EC93-4125-AEA2-C68131FF0828}" name="Column10019"/>
    <tableColumn id="10020" xr3:uid="{1C7F494E-9E4A-46C8-B7E4-9D2163EAF5AC}" name="Column10020"/>
    <tableColumn id="10021" xr3:uid="{3174CE23-A24A-4659-BA67-43C8CDFD9A00}" name="Column10021"/>
    <tableColumn id="10022" xr3:uid="{CB6BEAAC-B9F8-4F79-9D11-D86B206DAC51}" name="Column10022"/>
    <tableColumn id="10023" xr3:uid="{D7C0F87D-27F4-4258-AFC1-FD250E543550}" name="Column10023"/>
    <tableColumn id="10024" xr3:uid="{49BEEA81-E90A-48F2-A679-2A82C2C9D8BB}" name="Column10024"/>
    <tableColumn id="10025" xr3:uid="{274216CA-6E87-4E0C-9D1F-ECFB28DC1B2E}" name="Column10025"/>
    <tableColumn id="10026" xr3:uid="{D6318861-9746-41CC-B488-C4ED8A3BD935}" name="Column10026"/>
    <tableColumn id="10027" xr3:uid="{A6072607-F909-4B58-91A8-CEA92C59FDCF}" name="Column10027"/>
    <tableColumn id="10028" xr3:uid="{5F35AA5C-58C9-4EF7-82E6-51BC3BB99F9F}" name="Column10028"/>
    <tableColumn id="10029" xr3:uid="{6163C4DA-7D2D-426C-AB2D-BBA0EF6E9DB9}" name="Column10029"/>
    <tableColumn id="10030" xr3:uid="{34691008-D822-4028-BDD8-48486037B2E0}" name="Column10030"/>
    <tableColumn id="10031" xr3:uid="{A935DA81-ECEE-4673-80E6-97A027BCCB77}" name="Column10031"/>
    <tableColumn id="10032" xr3:uid="{FA3132BE-3E42-47F3-B3F8-D36D080BA140}" name="Column10032"/>
    <tableColumn id="10033" xr3:uid="{6661B3EE-8B0B-44BC-8AB7-87BBAE9008C7}" name="Column10033"/>
    <tableColumn id="10034" xr3:uid="{F726AF70-2B19-4D93-87A1-4F95113FA536}" name="Column10034"/>
    <tableColumn id="10035" xr3:uid="{6CFCD823-AF9C-4640-AA0C-A1B144F7749E}" name="Column10035"/>
    <tableColumn id="10036" xr3:uid="{53F760E2-F940-41ED-A286-2D984D8D2445}" name="Column10036"/>
    <tableColumn id="10037" xr3:uid="{769ED009-8F55-4C71-84C5-8236149CD2FD}" name="Column10037"/>
    <tableColumn id="10038" xr3:uid="{7C8CAD72-1CB3-4B66-9836-81B723C56DCE}" name="Column10038"/>
    <tableColumn id="10039" xr3:uid="{9921D68A-C6AB-42B0-AF9C-B36AACABF7F4}" name="Column10039"/>
    <tableColumn id="10040" xr3:uid="{9C7F591C-10A3-4D57-87DD-4C0FB3C903E4}" name="Column10040"/>
    <tableColumn id="10041" xr3:uid="{2DEC1E94-ADC2-4E82-A06C-B5570F61B6A4}" name="Column10041"/>
    <tableColumn id="10042" xr3:uid="{F29FE77F-3730-4E0B-8C4B-9AA630E3854E}" name="Column10042"/>
    <tableColumn id="10043" xr3:uid="{4984AEBA-1A06-47C6-8DE6-E91DCF246B28}" name="Column10043"/>
    <tableColumn id="10044" xr3:uid="{102CB20F-E432-4CA8-B1AA-E11C977792A8}" name="Column10044"/>
    <tableColumn id="10045" xr3:uid="{729815CD-EA71-4A0D-B69B-BF14BEA8FE58}" name="Column10045"/>
    <tableColumn id="10046" xr3:uid="{762E2884-10BC-47BE-829C-E9D67D8870D7}" name="Column10046"/>
    <tableColumn id="10047" xr3:uid="{7304AFA1-00CC-4E3D-A676-D2793C1D0B66}" name="Column10047"/>
    <tableColumn id="10048" xr3:uid="{6828C811-7A9F-4EEF-A974-1B1036EEB3C6}" name="Column10048"/>
    <tableColumn id="10049" xr3:uid="{18EEB835-E7E2-4449-ACA7-063E44817975}" name="Column10049"/>
    <tableColumn id="10050" xr3:uid="{172A0CB1-2FAB-4F82-A3B5-26148C652207}" name="Column10050"/>
    <tableColumn id="10051" xr3:uid="{D5009B6E-1BAD-4BF7-9C84-2B7EA3AE116A}" name="Column10051"/>
    <tableColumn id="10052" xr3:uid="{6189F00E-57B7-488D-871F-19BCC76808AD}" name="Column10052"/>
    <tableColumn id="10053" xr3:uid="{AD4D36D3-E28F-4849-A458-C599C7E22BA3}" name="Column10053"/>
    <tableColumn id="10054" xr3:uid="{F8E0CCEE-69FB-47B4-8FE1-B6CA1E07377B}" name="Column10054"/>
    <tableColumn id="10055" xr3:uid="{EA6839BC-355A-48BC-9435-B186160036BA}" name="Column10055"/>
    <tableColumn id="10056" xr3:uid="{C2AC64DC-F0E5-43CA-961F-04D793F6291F}" name="Column10056"/>
    <tableColumn id="10057" xr3:uid="{82BD65D1-7C04-45A9-9903-8EC6A759CC41}" name="Column10057"/>
    <tableColumn id="10058" xr3:uid="{0C1176DA-09AA-4ADF-9F25-11EEC0700957}" name="Column10058"/>
    <tableColumn id="10059" xr3:uid="{EE6E9CF1-38AF-4AB8-B653-6034391CB505}" name="Column10059"/>
    <tableColumn id="10060" xr3:uid="{4661FD13-6B38-4F7E-A89D-6F5882836E84}" name="Column10060"/>
    <tableColumn id="10061" xr3:uid="{6CDB8ABC-24BF-4712-B17F-C9D9F8592747}" name="Column10061"/>
    <tableColumn id="10062" xr3:uid="{A34BEDFD-6504-42C0-A505-253AF4A01D63}" name="Column10062"/>
    <tableColumn id="10063" xr3:uid="{AC300F45-4905-40FE-B6DD-47B432BF8382}" name="Column10063"/>
    <tableColumn id="10064" xr3:uid="{1BCFFBAF-B91C-4B3A-8A72-1B89C5B6821B}" name="Column10064"/>
    <tableColumn id="10065" xr3:uid="{7002F96A-64F7-4D53-8F72-8C5270F31E51}" name="Column10065"/>
    <tableColumn id="10066" xr3:uid="{F57843D7-ABA4-4645-A860-3A34E56B227A}" name="Column10066"/>
    <tableColumn id="10067" xr3:uid="{538A8F54-2D40-4720-B11F-10087E360B36}" name="Column10067"/>
    <tableColumn id="10068" xr3:uid="{3A9BDCB9-C9A5-444A-ACE3-96EE23D7BD1C}" name="Column10068"/>
    <tableColumn id="10069" xr3:uid="{6009DBD5-0210-4511-8FE2-82533D80D329}" name="Column10069"/>
    <tableColumn id="10070" xr3:uid="{5F87ADAC-7730-4DF0-A5BE-6CB9A601CC51}" name="Column10070"/>
    <tableColumn id="10071" xr3:uid="{1DB0B96F-ACDC-427B-98E6-B96FB87B7E58}" name="Column10071"/>
    <tableColumn id="10072" xr3:uid="{DDF9F54A-C2E7-4AD0-B6D6-DE4895118E5F}" name="Column10072"/>
    <tableColumn id="10073" xr3:uid="{27FEC79C-960F-4384-9845-82744129C302}" name="Column10073"/>
    <tableColumn id="10074" xr3:uid="{5666D0CF-A817-4D31-B25E-C6AD9589B51B}" name="Column10074"/>
    <tableColumn id="10075" xr3:uid="{C52C0528-B5A7-4DDE-808E-E7F2DB776711}" name="Column10075"/>
    <tableColumn id="10076" xr3:uid="{CB68C00D-99AC-49AF-BB23-333070B6AF78}" name="Column10076"/>
    <tableColumn id="10077" xr3:uid="{13CA342B-61C1-4C04-9542-AA7683095345}" name="Column10077"/>
    <tableColumn id="10078" xr3:uid="{1D871CE3-EF9A-4129-8CDA-6E3ED7D01248}" name="Column10078"/>
    <tableColumn id="10079" xr3:uid="{DD0F3665-794D-4188-AD99-EEB97C93A2C9}" name="Column10079"/>
    <tableColumn id="10080" xr3:uid="{6A4D4C7F-B4EA-47E8-AF4F-F787F90F791A}" name="Column10080"/>
    <tableColumn id="10081" xr3:uid="{FDE170EE-616F-485C-A2C8-B2C439707BA6}" name="Column10081"/>
    <tableColumn id="10082" xr3:uid="{DCD3929C-A682-4C08-A314-0B74AC7CBC05}" name="Column10082"/>
    <tableColumn id="10083" xr3:uid="{026E026F-12EF-4068-9FB6-236A1242AA47}" name="Column10083"/>
    <tableColumn id="10084" xr3:uid="{133A65BA-3F1C-45BB-A9A2-7FEA78DC7D15}" name="Column10084"/>
    <tableColumn id="10085" xr3:uid="{E61EB00B-C181-424F-B71C-E8FBC6D100EE}" name="Column10085"/>
    <tableColumn id="10086" xr3:uid="{7046D062-E9CE-499A-9482-554E8A2D5DB7}" name="Column10086"/>
    <tableColumn id="10087" xr3:uid="{27436AB5-FEDA-4AF9-B82F-DD8B029D1DA8}" name="Column10087"/>
    <tableColumn id="10088" xr3:uid="{B3CDEDC3-DAC4-443B-95C3-4E5D5C9754AD}" name="Column10088"/>
    <tableColumn id="10089" xr3:uid="{A4C76F3F-47C2-45B3-AA52-0150D16B076F}" name="Column10089"/>
    <tableColumn id="10090" xr3:uid="{B644C5ED-A309-45D2-A8B8-B74DE8589B8A}" name="Column10090"/>
    <tableColumn id="10091" xr3:uid="{CC7C0598-E152-4179-99B1-B94E5DBB4616}" name="Column10091"/>
    <tableColumn id="10092" xr3:uid="{2F606DA4-EB87-44A1-9619-192C76EDBDB6}" name="Column10092"/>
    <tableColumn id="10093" xr3:uid="{61108771-C782-46D0-94FC-D961F94EB6AD}" name="Column10093"/>
    <tableColumn id="10094" xr3:uid="{5B0481AC-8848-4BA0-846C-B9C87D8D9CDE}" name="Column10094"/>
    <tableColumn id="10095" xr3:uid="{F743DE25-7B89-4803-8CB2-A1CFF48F589C}" name="Column10095"/>
    <tableColumn id="10096" xr3:uid="{210DCF2B-814F-4049-8DEF-B266C1D2F8C2}" name="Column10096"/>
    <tableColumn id="10097" xr3:uid="{14C09F49-F395-41D2-A8FB-CE29593EF68A}" name="Column10097"/>
    <tableColumn id="10098" xr3:uid="{22582FD3-D64E-45A5-B41F-C8D83673FB14}" name="Column10098"/>
    <tableColumn id="10099" xr3:uid="{B1955AEE-34F6-4EFA-B4E6-80A37CE6D931}" name="Column10099"/>
    <tableColumn id="10100" xr3:uid="{6208C8E7-0FE3-47DF-99D0-6F84B53E0750}" name="Column10100"/>
    <tableColumn id="10101" xr3:uid="{5E7E403D-38C7-4BDC-B048-14AFB7BA2889}" name="Column10101"/>
    <tableColumn id="10102" xr3:uid="{558EBDB7-1235-4743-A7E9-D8F0A5DB3302}" name="Column10102"/>
    <tableColumn id="10103" xr3:uid="{0197BE58-557D-4E79-BB65-34E91AF14010}" name="Column10103"/>
    <tableColumn id="10104" xr3:uid="{3F049757-E9F1-4940-A04A-C1BB44B2DBDB}" name="Column10104"/>
    <tableColumn id="10105" xr3:uid="{98AE5A57-7B5F-4BBB-9629-84C639E03654}" name="Column10105"/>
    <tableColumn id="10106" xr3:uid="{4FDB9E84-2C3B-4DFC-BC79-0F2123FF40B9}" name="Column10106"/>
    <tableColumn id="10107" xr3:uid="{293929E1-58C8-4F83-AC9F-E21BB06DB65E}" name="Column10107"/>
    <tableColumn id="10108" xr3:uid="{1A842A68-4B86-46FA-A28C-3A93250FFC3B}" name="Column10108"/>
    <tableColumn id="10109" xr3:uid="{1B926BF3-8F5B-4238-9FBE-86B7A803D47A}" name="Column10109"/>
    <tableColumn id="10110" xr3:uid="{0649A2EB-AAB9-4DBA-83F6-EDD6CFB1F11E}" name="Column10110"/>
    <tableColumn id="10111" xr3:uid="{AC459B85-F722-4050-9F72-158ACB40C5D0}" name="Column10111"/>
    <tableColumn id="10112" xr3:uid="{F7A4EF14-E857-49C8-AAC5-28A019977D51}" name="Column10112"/>
    <tableColumn id="10113" xr3:uid="{731CB069-27D2-4063-8CEF-9C48C1333DD7}" name="Column10113"/>
    <tableColumn id="10114" xr3:uid="{BFB41493-4EB5-4955-B7B0-2D3163D4071F}" name="Column10114"/>
    <tableColumn id="10115" xr3:uid="{1CB06F86-3AFB-42DB-A77B-4BD3E7316247}" name="Column10115"/>
    <tableColumn id="10116" xr3:uid="{0E3230B7-11A3-42DF-9FC5-491B6E2881D6}" name="Column10116"/>
    <tableColumn id="10117" xr3:uid="{133B76D7-CE2D-4ADC-A7F1-0679E29D06FA}" name="Column10117"/>
    <tableColumn id="10118" xr3:uid="{6E34197E-428D-42BE-A85A-DB584752B867}" name="Column10118"/>
    <tableColumn id="10119" xr3:uid="{C921DED7-7AE9-4280-ACCE-CFB57222A503}" name="Column10119"/>
    <tableColumn id="10120" xr3:uid="{562DDD03-DE5A-451A-9E7B-F8C99BFD6B48}" name="Column10120"/>
    <tableColumn id="10121" xr3:uid="{29DE0761-841F-4213-B8E1-B5B3527464E4}" name="Column10121"/>
    <tableColumn id="10122" xr3:uid="{DB4228FB-6D6A-4611-9FDF-36D37FF59194}" name="Column10122"/>
    <tableColumn id="10123" xr3:uid="{9EE1AC20-7791-4486-BDEF-ED237204A731}" name="Column10123"/>
    <tableColumn id="10124" xr3:uid="{B39A5F4B-4BB7-40BE-84B1-7508BFF7D067}" name="Column10124"/>
    <tableColumn id="10125" xr3:uid="{12944438-9D8A-4DF0-99B0-B9703C55072C}" name="Column10125"/>
    <tableColumn id="10126" xr3:uid="{D8E701D2-851B-4DA7-9D31-B17EF570FE2F}" name="Column10126"/>
    <tableColumn id="10127" xr3:uid="{125B6072-7AA9-447A-8ED4-AA5D078CDF62}" name="Column10127"/>
    <tableColumn id="10128" xr3:uid="{043FE5C2-D172-4B4D-806B-A0E74F9A6991}" name="Column10128"/>
    <tableColumn id="10129" xr3:uid="{1A568BFC-5209-4CBE-8B73-E5E900938D3A}" name="Column10129"/>
    <tableColumn id="10130" xr3:uid="{300B4218-46B4-40AC-87F9-C3EC1613F5AE}" name="Column10130"/>
    <tableColumn id="10131" xr3:uid="{CAF0119C-FADE-4164-9AD3-04FBAF767871}" name="Column10131"/>
    <tableColumn id="10132" xr3:uid="{FB231CF3-B367-45FA-8998-D82B86AA34CA}" name="Column10132"/>
    <tableColumn id="10133" xr3:uid="{128F4A10-735B-4319-A343-847BCF1BBF1F}" name="Column10133"/>
    <tableColumn id="10134" xr3:uid="{C757CCE0-00F0-4C06-8E38-21B8D135DC6C}" name="Column10134"/>
    <tableColumn id="10135" xr3:uid="{C11A206D-19D0-4EBA-975D-F50C3028E468}" name="Column10135"/>
    <tableColumn id="10136" xr3:uid="{EA74149A-DB21-40E8-97F3-74451734D0F1}" name="Column10136"/>
    <tableColumn id="10137" xr3:uid="{BCB96CCF-F702-4417-8516-41A05A120DEB}" name="Column10137"/>
    <tableColumn id="10138" xr3:uid="{FBCCB5D8-E069-433C-91E0-F4B44EDC7C1D}" name="Column10138"/>
    <tableColumn id="10139" xr3:uid="{3B9C3E56-0F81-4A98-9B79-AAED7135C4E5}" name="Column10139"/>
    <tableColumn id="10140" xr3:uid="{6A506E51-9D5D-4732-A857-4ECBE26647C1}" name="Column10140"/>
    <tableColumn id="10141" xr3:uid="{5B2BD5F5-9A4E-4125-A600-DD26DCE7FE42}" name="Column10141"/>
    <tableColumn id="10142" xr3:uid="{8A7CEDAC-F1F4-408D-A883-2600C627D36F}" name="Column10142"/>
    <tableColumn id="10143" xr3:uid="{B64A802C-61AB-4DE7-BD43-6464B8A10768}" name="Column10143"/>
    <tableColumn id="10144" xr3:uid="{8028E26D-1C9A-4CC2-A2A8-3EE5A20701AC}" name="Column10144"/>
    <tableColumn id="10145" xr3:uid="{B0EE4D2B-7C5C-44B3-B23B-C552E0CBB923}" name="Column10145"/>
    <tableColumn id="10146" xr3:uid="{453C93D9-EB4C-4192-9686-85FFB2D350E1}" name="Column10146"/>
    <tableColumn id="10147" xr3:uid="{112048DC-393B-4572-8EC6-61C6BAB4FE0D}" name="Column10147"/>
    <tableColumn id="10148" xr3:uid="{918529B6-D54C-41AA-AF2A-DB02DC390101}" name="Column10148"/>
    <tableColumn id="10149" xr3:uid="{6A72D770-909A-492E-B236-3E464EA22F55}" name="Column10149"/>
    <tableColumn id="10150" xr3:uid="{5CD6387F-10B4-4A9E-A213-76EF1CA3ADC9}" name="Column10150"/>
    <tableColumn id="10151" xr3:uid="{CDE5BAB0-A6A0-412F-AB75-E952EAF0F8F5}" name="Column10151"/>
    <tableColumn id="10152" xr3:uid="{DB142AC4-A35C-4967-8771-C3C24CDE9D58}" name="Column10152"/>
    <tableColumn id="10153" xr3:uid="{C42E7167-0121-4D28-BA93-FFD639DED69D}" name="Column10153"/>
    <tableColumn id="10154" xr3:uid="{D5D2CFA2-EF0A-4064-A9E8-0915CD6FA81D}" name="Column10154"/>
    <tableColumn id="10155" xr3:uid="{E0BBECC8-8A82-40F3-BD28-6DC49FD163C2}" name="Column10155"/>
    <tableColumn id="10156" xr3:uid="{D9BB2354-3DEB-4926-AAAE-1750AC61ADD3}" name="Column10156"/>
    <tableColumn id="10157" xr3:uid="{533546DB-A880-4729-9DAE-5F77CC05BB3F}" name="Column10157"/>
    <tableColumn id="10158" xr3:uid="{5676E93E-E8B3-4D20-863A-40BA6A9A0811}" name="Column10158"/>
    <tableColumn id="10159" xr3:uid="{81D4CA44-D8A6-493A-8FE0-E9F6724808D9}" name="Column10159"/>
    <tableColumn id="10160" xr3:uid="{12A918E4-DAD8-4781-9D60-0842F5B3FE83}" name="Column10160"/>
    <tableColumn id="10161" xr3:uid="{D6455A8E-4A23-4659-9CBE-8F503C0914AB}" name="Column10161"/>
    <tableColumn id="10162" xr3:uid="{45CFCCB9-A8F0-4219-B9C6-70A1B96B1DD7}" name="Column10162"/>
    <tableColumn id="10163" xr3:uid="{ECD191FA-D904-49FA-BA9B-922EB33F9323}" name="Column10163"/>
    <tableColumn id="10164" xr3:uid="{B5612FCB-47CE-458B-BBE2-B7437BCC30E8}" name="Column10164"/>
    <tableColumn id="10165" xr3:uid="{678618E9-9392-4988-9162-0F6F5A9CEBF9}" name="Column10165"/>
    <tableColumn id="10166" xr3:uid="{3D75FE29-1DAA-4C57-8BA3-C5CBDF6E261F}" name="Column10166"/>
    <tableColumn id="10167" xr3:uid="{ABB84882-B408-4C72-86EC-144D8EAC7A81}" name="Column10167"/>
    <tableColumn id="10168" xr3:uid="{2DFDF643-7935-41C3-B06D-4FA4143A7AEE}" name="Column10168"/>
    <tableColumn id="10169" xr3:uid="{BF7E6B2D-AA7B-44EB-9988-CC1DDBCC9386}" name="Column10169"/>
    <tableColumn id="10170" xr3:uid="{2DFEA7AD-D264-446A-BDCC-82809B2C7AF0}" name="Column10170"/>
    <tableColumn id="10171" xr3:uid="{167EB6F4-8A2F-4C0E-AF03-7718E57B2E3B}" name="Column10171"/>
    <tableColumn id="10172" xr3:uid="{D23069A1-B252-4CC0-BF10-A393E5F89B45}" name="Column10172"/>
    <tableColumn id="10173" xr3:uid="{E273F09D-35F4-4402-9D99-A734C0C549E5}" name="Column10173"/>
    <tableColumn id="10174" xr3:uid="{381DC070-5865-4181-B1AA-6A5BC86781AE}" name="Column10174"/>
    <tableColumn id="10175" xr3:uid="{DBA66DBB-E20C-4E9B-ACC1-54E765773270}" name="Column10175"/>
    <tableColumn id="10176" xr3:uid="{E61CF89B-8719-4EF7-9C5E-2292258EE6A7}" name="Column10176"/>
    <tableColumn id="10177" xr3:uid="{7251CC80-6D58-4A20-AEEA-5E79D72AB748}" name="Column10177"/>
    <tableColumn id="10178" xr3:uid="{080969F4-D66C-47AB-A1D1-AC7E9623C50F}" name="Column10178"/>
    <tableColumn id="10179" xr3:uid="{78DCCA31-95C8-4444-8FA0-1530FEF3FEA9}" name="Column10179"/>
    <tableColumn id="10180" xr3:uid="{AE45AE60-4603-4376-82F4-FD4C7CB576C4}" name="Column10180"/>
    <tableColumn id="10181" xr3:uid="{267BCEF1-12D1-470D-89EB-62EEB5026F81}" name="Column10181"/>
    <tableColumn id="10182" xr3:uid="{9DD194A0-FAF2-442D-A574-34036215E286}" name="Column10182"/>
    <tableColumn id="10183" xr3:uid="{8D7CB4B9-2376-46C7-95F9-BAC781E05A4A}" name="Column10183"/>
    <tableColumn id="10184" xr3:uid="{19393F24-A4EE-4708-AD13-6E59733734D1}" name="Column10184"/>
    <tableColumn id="10185" xr3:uid="{7431B048-A62E-4E2B-9D55-C6395813ABFA}" name="Column10185"/>
    <tableColumn id="10186" xr3:uid="{62CB7530-8041-4E0C-BD08-4CA5614A3254}" name="Column10186"/>
    <tableColumn id="10187" xr3:uid="{EC25AB4C-A843-44B0-B5E5-3E7126798E6D}" name="Column10187"/>
    <tableColumn id="10188" xr3:uid="{B52B84A9-F46A-4F7E-8736-ACF60519DF08}" name="Column10188"/>
    <tableColumn id="10189" xr3:uid="{328ED903-2272-4F35-81DA-02DEA445573F}" name="Column10189"/>
    <tableColumn id="10190" xr3:uid="{33D9E14D-64E8-4822-9A6C-EA9D50BFA0DF}" name="Column10190"/>
    <tableColumn id="10191" xr3:uid="{30C067A1-DBEB-4A39-A812-52175AF42F8E}" name="Column10191"/>
    <tableColumn id="10192" xr3:uid="{858E3CF6-4F09-447C-8680-4395D582D888}" name="Column10192"/>
    <tableColumn id="10193" xr3:uid="{6182464A-2180-4F1D-9988-61AA455FCDEB}" name="Column10193"/>
    <tableColumn id="10194" xr3:uid="{DA63A03C-FD9A-43E9-8AD6-6BD7C208059A}" name="Column10194"/>
    <tableColumn id="10195" xr3:uid="{EEBAFB9B-B84D-420F-80F6-3AA6DB42DEF7}" name="Column10195"/>
    <tableColumn id="10196" xr3:uid="{9F2FE1CB-64FB-44D9-AD91-F782FA620D91}" name="Column10196"/>
    <tableColumn id="10197" xr3:uid="{8D785661-261F-477F-8D36-6EB7825F0B4B}" name="Column10197"/>
    <tableColumn id="10198" xr3:uid="{A894BBC7-3A14-489C-BC5F-793408BB9B9A}" name="Column10198"/>
    <tableColumn id="10199" xr3:uid="{DA54BC2E-1E4C-4111-8939-A02125A1F749}" name="Column10199"/>
    <tableColumn id="10200" xr3:uid="{26968893-E11B-4EB2-A384-EAFA94672809}" name="Column10200"/>
    <tableColumn id="10201" xr3:uid="{7105388B-1492-476D-84D5-B4A8DDF1C669}" name="Column10201"/>
    <tableColumn id="10202" xr3:uid="{2320B54B-A310-458A-9894-CFC33A165D17}" name="Column10202"/>
    <tableColumn id="10203" xr3:uid="{C4C23615-B39D-471E-A8EB-F8D3FBF17715}" name="Column10203"/>
    <tableColumn id="10204" xr3:uid="{FBF3049B-FA78-49DC-A497-122FAA99BE4B}" name="Column10204"/>
    <tableColumn id="10205" xr3:uid="{D47D32E7-929A-4A18-A441-6C9617E42293}" name="Column10205"/>
    <tableColumn id="10206" xr3:uid="{4EAA45BE-6DB4-4871-B09D-4DACA57506D8}" name="Column10206"/>
    <tableColumn id="10207" xr3:uid="{C5A05F71-92F1-430B-83C1-BEEAB10B4F45}" name="Column10207"/>
    <tableColumn id="10208" xr3:uid="{DC38A882-F693-42BD-A3E3-2254A7E9E177}" name="Column10208"/>
    <tableColumn id="10209" xr3:uid="{4398DA50-4160-42D3-A378-E25AC619F415}" name="Column10209"/>
    <tableColumn id="10210" xr3:uid="{C5B201B7-6DF0-49CA-9C02-4C3F9F922EA4}" name="Column10210"/>
    <tableColumn id="10211" xr3:uid="{624133F3-DC19-4D2F-8540-2266206317A1}" name="Column10211"/>
    <tableColumn id="10212" xr3:uid="{8BFB68AF-6ED4-464F-A192-D1FFD4014148}" name="Column10212"/>
    <tableColumn id="10213" xr3:uid="{0EC609EC-9FAA-4577-BBE1-3F1CF0F0DF99}" name="Column10213"/>
    <tableColumn id="10214" xr3:uid="{031F148C-828C-4FF2-BBFF-CD9E240B03E4}" name="Column10214"/>
    <tableColumn id="10215" xr3:uid="{40B559C0-36F0-4DD3-8B52-A8061390C209}" name="Column10215"/>
    <tableColumn id="10216" xr3:uid="{D7EEDB6C-F53E-47A6-B093-11481B10835C}" name="Column10216"/>
    <tableColumn id="10217" xr3:uid="{297C6FA5-B5C2-4C06-82EB-7907752DFF22}" name="Column10217"/>
    <tableColumn id="10218" xr3:uid="{89A799A4-9EF5-4DCA-B5F2-E1C346E0478F}" name="Column10218"/>
    <tableColumn id="10219" xr3:uid="{0203A5B0-BD06-4892-AB62-64A77F6804AF}" name="Column10219"/>
    <tableColumn id="10220" xr3:uid="{68963487-050B-4FE7-9A52-D13D101C9348}" name="Column10220"/>
    <tableColumn id="10221" xr3:uid="{EA7CEF60-25C2-4E57-9970-5091003E8F48}" name="Column10221"/>
    <tableColumn id="10222" xr3:uid="{2ACE7327-A45D-4C74-B3FD-75EFDA265AB5}" name="Column10222"/>
    <tableColumn id="10223" xr3:uid="{59CAA850-7BE8-4F9F-A90D-F54863884575}" name="Column10223"/>
    <tableColumn id="10224" xr3:uid="{25D9255B-CB97-42FB-8B21-607BA9DAE28E}" name="Column10224"/>
    <tableColumn id="10225" xr3:uid="{10A5D93A-9E40-46EC-9D6E-EBF67A5A7055}" name="Column10225"/>
    <tableColumn id="10226" xr3:uid="{9D123541-C57E-43FD-B264-D60CEC41F478}" name="Column10226"/>
    <tableColumn id="10227" xr3:uid="{0CB9EA49-F69B-460F-8A36-7285B6B59E57}" name="Column10227"/>
    <tableColumn id="10228" xr3:uid="{635E640E-0E54-4927-ABD5-DDB7BE524915}" name="Column10228"/>
    <tableColumn id="10229" xr3:uid="{A16E3D07-09E2-481B-AD90-652CB042A1C2}" name="Column10229"/>
    <tableColumn id="10230" xr3:uid="{3CD8A7B4-AE07-403E-AB9B-69F928830ED7}" name="Column10230"/>
    <tableColumn id="10231" xr3:uid="{4EB71951-FB9C-429F-953D-29C11AD48E5B}" name="Column10231"/>
    <tableColumn id="10232" xr3:uid="{04A6EDD5-5A50-4C45-8814-42CE604ABE5E}" name="Column10232"/>
    <tableColumn id="10233" xr3:uid="{AC8A6AF5-C87E-4824-B9F9-F42AF5B3F08A}" name="Column10233"/>
    <tableColumn id="10234" xr3:uid="{1BDCF0FA-E929-4807-8AFE-58536B0829A2}" name="Column10234"/>
    <tableColumn id="10235" xr3:uid="{A577654A-392A-4648-9375-8DE3B06E4B0D}" name="Column10235"/>
    <tableColumn id="10236" xr3:uid="{2EF8FA79-FC99-4ABA-A22B-C53CFF31EDB1}" name="Column10236"/>
    <tableColumn id="10237" xr3:uid="{F1D9F62F-FC1C-45D0-85C5-C3622BB5EB56}" name="Column10237"/>
    <tableColumn id="10238" xr3:uid="{2CA010FA-D086-488F-9AE8-C2B1A59791BA}" name="Column10238"/>
    <tableColumn id="10239" xr3:uid="{975CE18D-605F-42C8-98EC-24FB2F9DFC72}" name="Column10239"/>
    <tableColumn id="10240" xr3:uid="{ED16AC26-3BCB-4269-AC08-DAC5000C2B69}" name="Column10240"/>
    <tableColumn id="10241" xr3:uid="{26F53B61-55A3-4A5D-B380-774A0C560E54}" name="Column10241"/>
    <tableColumn id="10242" xr3:uid="{FC59CA78-3845-4DEA-BBB2-0C2BE0F4DB81}" name="Column10242"/>
    <tableColumn id="10243" xr3:uid="{C5A85EBE-3A2A-4243-AB04-D370BDE9F419}" name="Column10243"/>
    <tableColumn id="10244" xr3:uid="{3BD09E43-8086-4EAE-9014-D4FEEED1D768}" name="Column10244"/>
    <tableColumn id="10245" xr3:uid="{5E966A52-7F80-4932-AE41-2806AA26C935}" name="Column10245"/>
    <tableColumn id="10246" xr3:uid="{1AEE29BD-0F15-4CE7-8EAF-152BEEDE131F}" name="Column10246"/>
    <tableColumn id="10247" xr3:uid="{D8024DFE-A809-4193-9891-F614C9D560BD}" name="Column10247"/>
    <tableColumn id="10248" xr3:uid="{4AA584EC-A7C7-4CEF-91E4-728DF0C2A41A}" name="Column10248"/>
    <tableColumn id="10249" xr3:uid="{D9A94E8F-0B23-4FBC-944C-2133F42065B6}" name="Column10249"/>
    <tableColumn id="10250" xr3:uid="{A47A4302-8207-4D1C-AB21-1F6E89819E82}" name="Column10250"/>
    <tableColumn id="10251" xr3:uid="{046E9369-E731-4884-AD43-AD94C7611C77}" name="Column10251"/>
    <tableColumn id="10252" xr3:uid="{1CD43DCE-B521-4CBD-8F76-1183AE5FDFFC}" name="Column10252"/>
    <tableColumn id="10253" xr3:uid="{1E8BC587-F6B7-41F0-97E6-8E8C7CEC8997}" name="Column10253"/>
    <tableColumn id="10254" xr3:uid="{CF1D240F-0E69-433F-82EA-1E8105EF08DF}" name="Column10254"/>
    <tableColumn id="10255" xr3:uid="{CD3A0718-9485-4BC8-946F-5CA4AD0A9B69}" name="Column10255"/>
    <tableColumn id="10256" xr3:uid="{4C93272C-E6E0-42DC-B7C1-8EFFD80AEA99}" name="Column10256"/>
    <tableColumn id="10257" xr3:uid="{0E72FA35-B18F-492F-BCB6-D2469867BCEC}" name="Column10257"/>
    <tableColumn id="10258" xr3:uid="{96B64947-16FA-4570-AFAC-5A825DDFFBDF}" name="Column10258"/>
    <tableColumn id="10259" xr3:uid="{34F7B499-D06A-44D8-A17A-7A5C334FA571}" name="Column10259"/>
    <tableColumn id="10260" xr3:uid="{85F6BDC0-F44F-40F8-9ADE-DF4566CCF43A}" name="Column10260"/>
    <tableColumn id="10261" xr3:uid="{73A6074B-2582-4AAF-8109-AFB55A206973}" name="Column10261"/>
    <tableColumn id="10262" xr3:uid="{CC66C604-D0FE-4CCC-BB84-C1148219C234}" name="Column10262"/>
    <tableColumn id="10263" xr3:uid="{A8EA57A7-BF02-4991-BDE9-0519D6609648}" name="Column10263"/>
    <tableColumn id="10264" xr3:uid="{639C5C7B-E184-46E2-8A9E-C4C203FF1221}" name="Column10264"/>
    <tableColumn id="10265" xr3:uid="{CC5B2A77-C11B-4C00-958B-A55DE9F1AEBB}" name="Column10265"/>
    <tableColumn id="10266" xr3:uid="{8D8E962F-809E-443F-8F59-FD96A29191AE}" name="Column10266"/>
    <tableColumn id="10267" xr3:uid="{70D27F9E-28C0-4348-9B83-9FCC6220143B}" name="Column10267"/>
    <tableColumn id="10268" xr3:uid="{2F831529-9E86-47E7-B123-2A223E2A6C16}" name="Column10268"/>
    <tableColumn id="10269" xr3:uid="{1A0110B6-F7DD-4052-9DEC-1C1F5565A974}" name="Column10269"/>
    <tableColumn id="10270" xr3:uid="{0CA5781E-6F4F-4BD5-B7B2-C36E074B3848}" name="Column10270"/>
    <tableColumn id="10271" xr3:uid="{782B660A-D37F-4F4B-9938-F9EBF924A3B9}" name="Column10271"/>
    <tableColumn id="10272" xr3:uid="{C0944692-9F3D-433C-B412-800689BC22B7}" name="Column10272"/>
    <tableColumn id="10273" xr3:uid="{F6DC4AD5-8BA3-4DF7-B6A1-36AC4EEC583C}" name="Column10273"/>
    <tableColumn id="10274" xr3:uid="{194467EC-5B90-49E2-8E8F-E78A8EA962BB}" name="Column10274"/>
    <tableColumn id="10275" xr3:uid="{410E7E5F-75B8-4866-A5BF-5BF93E0B4633}" name="Column10275"/>
    <tableColumn id="10276" xr3:uid="{98D2A3E1-DCF8-454C-8020-89D790D4FA69}" name="Column10276"/>
    <tableColumn id="10277" xr3:uid="{34B84873-94B5-4AC4-BCA7-712C7DBA87BB}" name="Column10277"/>
    <tableColumn id="10278" xr3:uid="{1087C2D4-150D-407B-8E3D-37F12DE8FA00}" name="Column10278"/>
    <tableColumn id="10279" xr3:uid="{2F192431-BCD7-4267-A686-EAEB99CD8FFA}" name="Column10279"/>
    <tableColumn id="10280" xr3:uid="{D2AA2AA7-23D4-4115-91D6-0E573869FCDB}" name="Column10280"/>
    <tableColumn id="10281" xr3:uid="{3E7C84A3-DA42-4B32-A6DA-36B04E1127E3}" name="Column10281"/>
    <tableColumn id="10282" xr3:uid="{4E5003FE-1E0A-4B6D-B494-FEA00D07FF13}" name="Column10282"/>
    <tableColumn id="10283" xr3:uid="{349E0E65-318F-423B-90E1-1B07894E09FA}" name="Column10283"/>
    <tableColumn id="10284" xr3:uid="{CE744186-8E86-4193-9F9B-BEDFF91DD750}" name="Column10284"/>
    <tableColumn id="10285" xr3:uid="{4E1AA33C-3018-4012-AD5B-DD680E474275}" name="Column10285"/>
    <tableColumn id="10286" xr3:uid="{297A4E22-FC88-4874-AAE7-D3A4BB4CDEC8}" name="Column10286"/>
    <tableColumn id="10287" xr3:uid="{446D4E44-6739-4C31-9B98-512E32B49351}" name="Column10287"/>
    <tableColumn id="10288" xr3:uid="{9BAC0116-0CD5-4EF2-BF65-F8994929AD74}" name="Column10288"/>
    <tableColumn id="10289" xr3:uid="{946EB7EC-93C2-45C6-A398-1A0FE7961195}" name="Column10289"/>
    <tableColumn id="10290" xr3:uid="{272C0714-950B-431F-A073-F15E2241C551}" name="Column10290"/>
    <tableColumn id="10291" xr3:uid="{3B99B363-5120-443D-A08F-781F59CC9846}" name="Column10291"/>
    <tableColumn id="10292" xr3:uid="{8E29D459-C1FD-4B90-849C-1D8C00950C56}" name="Column10292"/>
    <tableColumn id="10293" xr3:uid="{3C7C2F89-9B4D-4F46-BF41-43E60EE627E1}" name="Column10293"/>
    <tableColumn id="10294" xr3:uid="{EE9B4ABE-8E12-4654-941E-1DBD6446332D}" name="Column10294"/>
    <tableColumn id="10295" xr3:uid="{C253DDE4-D849-46AE-B9B4-8EAAF0536832}" name="Column10295"/>
    <tableColumn id="10296" xr3:uid="{083BDAFC-99BD-49CA-AFB4-4266CE51BDE6}" name="Column10296"/>
    <tableColumn id="10297" xr3:uid="{6A7F736B-B056-47D9-9F13-A9E648A6DCCB}" name="Column10297"/>
    <tableColumn id="10298" xr3:uid="{2D9F18CF-2128-4081-B78D-9F992773DFA4}" name="Column10298"/>
    <tableColumn id="10299" xr3:uid="{0837F138-B903-43EA-84A8-27F84EAB09FE}" name="Column10299"/>
    <tableColumn id="10300" xr3:uid="{31DD196C-1FAB-4A9F-92D1-FD739A14BC40}" name="Column10300"/>
    <tableColumn id="10301" xr3:uid="{5C2E2107-3DDB-48A0-A2B3-F7BC8B7271A2}" name="Column10301"/>
    <tableColumn id="10302" xr3:uid="{281C766C-0ED6-4EEE-82DF-38E742B292B2}" name="Column10302"/>
    <tableColumn id="10303" xr3:uid="{179316AA-A006-46E2-A32C-32336317D0A5}" name="Column10303"/>
    <tableColumn id="10304" xr3:uid="{2732545D-713B-47A5-8500-DEC708A2E71F}" name="Column10304"/>
    <tableColumn id="10305" xr3:uid="{FCB327BE-5EE6-4229-8F1C-5D625D4429CD}" name="Column10305"/>
    <tableColumn id="10306" xr3:uid="{F4DD7FE5-E041-41EB-B1C7-0B71373D484F}" name="Column10306"/>
    <tableColumn id="10307" xr3:uid="{1545B083-D80D-4EAF-BCD2-C256EA80E401}" name="Column10307"/>
    <tableColumn id="10308" xr3:uid="{834275F8-6988-4312-9047-D273A67877EB}" name="Column10308"/>
    <tableColumn id="10309" xr3:uid="{43A4F425-5405-4DB2-879C-BDF77C6F3796}" name="Column10309"/>
    <tableColumn id="10310" xr3:uid="{25167235-4F41-4517-A1A0-867899BF26FF}" name="Column10310"/>
    <tableColumn id="10311" xr3:uid="{E18E5068-7512-4929-B1D3-9FC46DFA04E2}" name="Column10311"/>
    <tableColumn id="10312" xr3:uid="{58E4B5F0-A69E-4453-A488-03994355DEFA}" name="Column10312"/>
    <tableColumn id="10313" xr3:uid="{BCC21894-0EF7-4CE8-A429-C6D41AE1DDCE}" name="Column10313"/>
    <tableColumn id="10314" xr3:uid="{7FF3F5D2-4DC9-4EA5-A995-E05536654CE6}" name="Column10314"/>
    <tableColumn id="10315" xr3:uid="{84F36500-BB9F-4A7E-B1D8-8B6BB59552C6}" name="Column10315"/>
    <tableColumn id="10316" xr3:uid="{412F5B23-36CC-4F02-9967-2BE081D873B7}" name="Column10316"/>
    <tableColumn id="10317" xr3:uid="{F4ABD56E-889B-4395-B5BC-29A93AF2CC19}" name="Column10317"/>
    <tableColumn id="10318" xr3:uid="{9D6D9FE4-066C-438F-A11A-0A19E54D6607}" name="Column10318"/>
    <tableColumn id="10319" xr3:uid="{8603B3E9-790F-43E7-8DB4-5127AD064171}" name="Column10319"/>
    <tableColumn id="10320" xr3:uid="{B25D4A8B-C964-4F7E-A41A-850DFED8B029}" name="Column10320"/>
    <tableColumn id="10321" xr3:uid="{569701E5-93B3-4AE8-9446-AF0AB98D54D0}" name="Column10321"/>
    <tableColumn id="10322" xr3:uid="{93DFD4FD-6895-4627-B085-4891642A167B}" name="Column10322"/>
    <tableColumn id="10323" xr3:uid="{CC347593-36FE-4F17-987F-1ACF79812328}" name="Column10323"/>
    <tableColumn id="10324" xr3:uid="{16A5396B-F93A-4BEA-B44F-057B26A91AB4}" name="Column10324"/>
    <tableColumn id="10325" xr3:uid="{E99FD5C4-6A4D-4C6B-B7E8-C94DE55C8CE5}" name="Column10325"/>
    <tableColumn id="10326" xr3:uid="{97524B47-CB9A-41B2-9F4B-F03367AC4476}" name="Column10326"/>
    <tableColumn id="10327" xr3:uid="{E0650097-E626-4064-8ACA-0C8499111E58}" name="Column10327"/>
    <tableColumn id="10328" xr3:uid="{918F7A39-B03C-4E2D-B1C6-A8DBCA67D5AE}" name="Column10328"/>
    <tableColumn id="10329" xr3:uid="{A989A0C8-926A-45D4-B508-A203357A40C9}" name="Column10329"/>
    <tableColumn id="10330" xr3:uid="{46009A63-5597-496F-8822-C7CEDF4E6466}" name="Column10330"/>
    <tableColumn id="10331" xr3:uid="{806E07BD-5ADD-45B1-829E-3BE93A05846A}" name="Column10331"/>
    <tableColumn id="10332" xr3:uid="{D5A8237C-647F-49AE-A2E4-1BEF14CC691F}" name="Column10332"/>
    <tableColumn id="10333" xr3:uid="{67122C65-48E7-4BEF-8DC0-95151E5FF468}" name="Column10333"/>
    <tableColumn id="10334" xr3:uid="{631A76B1-FA97-4344-87C0-5545D2AA8047}" name="Column10334"/>
    <tableColumn id="10335" xr3:uid="{5EFA1CB1-FF99-4396-B6A0-313F551C66A4}" name="Column10335"/>
    <tableColumn id="10336" xr3:uid="{F9CA597B-AB6F-435A-AF26-DFBCB6599D51}" name="Column10336"/>
    <tableColumn id="10337" xr3:uid="{0B964B3A-01CB-4BC8-8D24-D141067C0B1F}" name="Column10337"/>
    <tableColumn id="10338" xr3:uid="{3284917C-289D-44E8-B286-EB4FDE4BA39A}" name="Column10338"/>
    <tableColumn id="10339" xr3:uid="{FCB1D439-CF7B-4FD1-9AD1-5A559470634A}" name="Column10339"/>
    <tableColumn id="10340" xr3:uid="{5D8E4A7B-5A5A-46B5-8EE1-35EF465E6E16}" name="Column10340"/>
    <tableColumn id="10341" xr3:uid="{04AA6C39-747D-4A6D-B00C-A3BFFAF35694}" name="Column10341"/>
    <tableColumn id="10342" xr3:uid="{8D220425-EDDF-43B6-8BF3-755816526567}" name="Column10342"/>
    <tableColumn id="10343" xr3:uid="{063ED757-37E1-46CD-88E7-BF7CB7B5EB06}" name="Column10343"/>
    <tableColumn id="10344" xr3:uid="{3E8C6A5F-FABB-44A6-99F5-DC8CA6601DA9}" name="Column10344"/>
    <tableColumn id="10345" xr3:uid="{72A519D9-A829-4976-BB5B-41E36FEC3705}" name="Column10345"/>
    <tableColumn id="10346" xr3:uid="{9CD23CB7-E7A5-4625-BF63-BF8B88D1C9EF}" name="Column10346"/>
    <tableColumn id="10347" xr3:uid="{882E33FA-296E-4B5E-9935-9B83D6D7CA32}" name="Column10347"/>
    <tableColumn id="10348" xr3:uid="{C209170D-A6C7-4BDD-96F5-6BDB63EAE910}" name="Column10348"/>
    <tableColumn id="10349" xr3:uid="{9A4D5FAE-D6BF-4615-A7BC-974E3A6FEAF9}" name="Column10349"/>
    <tableColumn id="10350" xr3:uid="{C3DD2A85-093B-4882-8524-FAF137E44C60}" name="Column10350"/>
    <tableColumn id="10351" xr3:uid="{CE32047D-B089-4C46-83F4-A2FB1A2BA8A0}" name="Column10351"/>
    <tableColumn id="10352" xr3:uid="{ED4B4E93-70BB-4564-B5E7-FB923AFB44FC}" name="Column10352"/>
    <tableColumn id="10353" xr3:uid="{70B1665A-C21B-4F2B-8BF3-FB08B2C2C16C}" name="Column10353"/>
    <tableColumn id="10354" xr3:uid="{FB2A968F-7960-4940-9D10-FA4F43256BBE}" name="Column10354"/>
    <tableColumn id="10355" xr3:uid="{406F1FFA-FEFA-46EA-A092-3A0F33B140FE}" name="Column10355"/>
    <tableColumn id="10356" xr3:uid="{EAA6B883-A4C5-4966-90E1-EFCBF4D09912}" name="Column10356"/>
    <tableColumn id="10357" xr3:uid="{CCA9D6DF-DCB4-4DE9-A702-A77D88B91CFD}" name="Column10357"/>
    <tableColumn id="10358" xr3:uid="{94348AB0-3460-4ACA-B928-4F530D1895AC}" name="Column10358"/>
    <tableColumn id="10359" xr3:uid="{ADA3E909-2C6D-45B1-A84A-A3B73D8627D8}" name="Column10359"/>
    <tableColumn id="10360" xr3:uid="{82B9CD68-BAB9-439E-8807-4F6632F9C8D9}" name="Column10360"/>
    <tableColumn id="10361" xr3:uid="{48D04F0A-1B26-4E7A-B291-8B16F8301DEF}" name="Column10361"/>
    <tableColumn id="10362" xr3:uid="{1BD95EF3-B5C8-4BCB-A7D0-891EF21D9B24}" name="Column10362"/>
    <tableColumn id="10363" xr3:uid="{5F684F79-CFB0-402E-9EE0-59B69C268CD7}" name="Column10363"/>
    <tableColumn id="10364" xr3:uid="{7CE0DE3C-8829-48AF-AC52-A0132B3E3593}" name="Column10364"/>
    <tableColumn id="10365" xr3:uid="{CE0C0B88-7240-4685-971A-67084FE533B5}" name="Column10365"/>
    <tableColumn id="10366" xr3:uid="{D0FB0FBF-143E-4F50-8940-2CFF670D647D}" name="Column10366"/>
    <tableColumn id="10367" xr3:uid="{AC8445D2-9492-4EAF-9D9C-79F22ACC54E5}" name="Column10367"/>
    <tableColumn id="10368" xr3:uid="{0EC68B21-31B8-4CCD-A9BA-9C8FEB8302BA}" name="Column10368"/>
    <tableColumn id="10369" xr3:uid="{95E58A95-00D3-4613-BAEB-61EF57F718C4}" name="Column10369"/>
    <tableColumn id="10370" xr3:uid="{71E685C0-7584-4EB5-988A-3EEA9F0F3D4F}" name="Column10370"/>
    <tableColumn id="10371" xr3:uid="{6202A1AB-EA19-4848-83E1-214443173F0A}" name="Column10371"/>
    <tableColumn id="10372" xr3:uid="{A45914EB-EE98-4B09-8AC1-51BEAAA55468}" name="Column10372"/>
    <tableColumn id="10373" xr3:uid="{AC55A0DC-DF63-468E-948E-1E838390BC33}" name="Column10373"/>
    <tableColumn id="10374" xr3:uid="{32668031-F5F6-428C-8277-CBE44B1CB6A4}" name="Column10374"/>
    <tableColumn id="10375" xr3:uid="{9D095CEA-CD25-474C-88E8-5A713CB0B087}" name="Column10375"/>
    <tableColumn id="10376" xr3:uid="{F00DA98A-122B-4185-AD3F-3B1D2CB4751D}" name="Column10376"/>
    <tableColumn id="10377" xr3:uid="{8C9D96A3-9399-4CFE-BE81-A0837F31C44F}" name="Column10377"/>
    <tableColumn id="10378" xr3:uid="{14F1580F-0BD3-4FC0-BD0A-A9ECCFBF2A41}" name="Column10378"/>
    <tableColumn id="10379" xr3:uid="{86877341-0A27-4AAB-BBC5-8E9282632063}" name="Column10379"/>
    <tableColumn id="10380" xr3:uid="{00B06C68-0F39-43C1-A3BF-1DEF14516C5D}" name="Column10380"/>
    <tableColumn id="10381" xr3:uid="{4AA1B0D0-C2C4-4F01-B12C-259A0044A389}" name="Column10381"/>
    <tableColumn id="10382" xr3:uid="{F821B011-FE87-4878-ABD8-DF761B21ED29}" name="Column10382"/>
    <tableColumn id="10383" xr3:uid="{719F4B81-33B8-4332-9690-6F66C6CF81B6}" name="Column10383"/>
    <tableColumn id="10384" xr3:uid="{1E72D024-CC25-4130-809E-B3B9A151D36E}" name="Column10384"/>
    <tableColumn id="10385" xr3:uid="{ADD8A7DB-11F3-48A1-8735-2DA281D65424}" name="Column10385"/>
    <tableColumn id="10386" xr3:uid="{54A16916-D4D0-4175-9FA3-DD3BFBBA90FC}" name="Column10386"/>
    <tableColumn id="10387" xr3:uid="{4A334F92-6E91-4C54-A535-C7F4452D5D81}" name="Column10387"/>
    <tableColumn id="10388" xr3:uid="{5F51B499-AAFB-4525-A427-BF0F6011F83F}" name="Column10388"/>
    <tableColumn id="10389" xr3:uid="{EE8E2F76-120C-44A9-84CB-695BC96597BD}" name="Column10389"/>
    <tableColumn id="10390" xr3:uid="{14632170-BDA4-4CE4-88C2-7E87C098211D}" name="Column10390"/>
    <tableColumn id="10391" xr3:uid="{43893672-B406-4594-8FD2-6682AA59B875}" name="Column10391"/>
    <tableColumn id="10392" xr3:uid="{8FBAD0A8-70A6-4983-B4CA-D4BCA7F13B82}" name="Column10392"/>
    <tableColumn id="10393" xr3:uid="{38852970-931D-4C80-A5EA-9BC5FD3F57E6}" name="Column10393"/>
    <tableColumn id="10394" xr3:uid="{D9C89B83-7363-43CB-B1D2-6DB8AA4FC2F2}" name="Column10394"/>
    <tableColumn id="10395" xr3:uid="{5AA051E5-F611-4A12-9BE5-36B87AB8CA25}" name="Column10395"/>
    <tableColumn id="10396" xr3:uid="{AA8D6BF8-0243-4848-9300-02B135463DA5}" name="Column10396"/>
    <tableColumn id="10397" xr3:uid="{481ED4FE-1130-4EFF-99B2-8A429A135577}" name="Column10397"/>
    <tableColumn id="10398" xr3:uid="{77A146C0-323D-452F-8587-273119A595F4}" name="Column10398"/>
    <tableColumn id="10399" xr3:uid="{51006FCC-A46F-4618-BB74-7AB91D53E8A1}" name="Column10399"/>
    <tableColumn id="10400" xr3:uid="{94052FDB-2DA1-479D-9E72-BB71D3CCE431}" name="Column10400"/>
    <tableColumn id="10401" xr3:uid="{7ED4169D-631C-486B-8F0C-18558B1FD2F5}" name="Column10401"/>
    <tableColumn id="10402" xr3:uid="{2503A5DA-BF67-4789-B836-4E183252E5CB}" name="Column10402"/>
    <tableColumn id="10403" xr3:uid="{938F4E1E-7405-4184-955D-F4D3CF02F9DF}" name="Column10403"/>
    <tableColumn id="10404" xr3:uid="{E8D8363D-118E-457E-B23A-B2A77DEBA98F}" name="Column10404"/>
    <tableColumn id="10405" xr3:uid="{29F29D68-DDF4-48ED-A889-D1E587F39740}" name="Column10405"/>
    <tableColumn id="10406" xr3:uid="{F92CFB56-6638-459D-880D-F54679B7BE30}" name="Column10406"/>
    <tableColumn id="10407" xr3:uid="{903A6745-95F6-433F-B750-2E8AE34741E3}" name="Column10407"/>
    <tableColumn id="10408" xr3:uid="{0D3F2DA2-2AB4-4B36-AABE-70250EE88B27}" name="Column10408"/>
    <tableColumn id="10409" xr3:uid="{EA983FC9-E22B-426D-B8AB-40ACFACBD4A8}" name="Column10409"/>
    <tableColumn id="10410" xr3:uid="{04247D6F-9CE7-47B7-8D89-4AC05FC2DA83}" name="Column10410"/>
    <tableColumn id="10411" xr3:uid="{23B9F9FA-75FD-4A26-8349-EEE9429E1927}" name="Column10411"/>
    <tableColumn id="10412" xr3:uid="{7B1203EC-8E6A-4E9C-9195-54F7E24DD10C}" name="Column10412"/>
    <tableColumn id="10413" xr3:uid="{2248F9BD-8D19-4597-BAA6-544F38AFDA62}" name="Column10413"/>
    <tableColumn id="10414" xr3:uid="{1F7F0F20-7940-4CC7-B272-3EE7CEE128BD}" name="Column10414"/>
    <tableColumn id="10415" xr3:uid="{B0B56025-E01E-4E2E-9E88-EDFE528A77FC}" name="Column10415"/>
    <tableColumn id="10416" xr3:uid="{6A38257B-0359-4D43-9A38-CA47DD118312}" name="Column10416"/>
    <tableColumn id="10417" xr3:uid="{B793310C-8DF1-46DA-BD89-2A0FDFC16E61}" name="Column10417"/>
    <tableColumn id="10418" xr3:uid="{1C5FA4E2-835A-480A-AD9E-B7CC064B34EE}" name="Column10418"/>
    <tableColumn id="10419" xr3:uid="{CF616B4D-369D-45E2-809B-B00AC5745215}" name="Column10419"/>
    <tableColumn id="10420" xr3:uid="{6A3E5D06-6AF7-408A-BE4B-93BA4336A824}" name="Column10420"/>
    <tableColumn id="10421" xr3:uid="{0A81F01D-FDDD-4A23-84BE-20DEA0BA60F2}" name="Column10421"/>
    <tableColumn id="10422" xr3:uid="{6F26210F-F956-4443-90A1-FE493D21FB3B}" name="Column10422"/>
    <tableColumn id="10423" xr3:uid="{26B195E3-0530-42DF-8978-A2668D4EFE21}" name="Column10423"/>
    <tableColumn id="10424" xr3:uid="{55EC6FA0-FC87-43FD-A14B-4ECFAF43A24B}" name="Column10424"/>
    <tableColumn id="10425" xr3:uid="{4345DC25-41D9-402E-98EF-C8E14DA5FA65}" name="Column10425"/>
    <tableColumn id="10426" xr3:uid="{A42CA5AA-86B6-4C0F-AC6D-7911E69B03C7}" name="Column10426"/>
    <tableColumn id="10427" xr3:uid="{C38910F4-3909-4485-A26D-85F70679F51D}" name="Column10427"/>
    <tableColumn id="10428" xr3:uid="{69E9CF57-AF2D-4E09-BEEA-D98EC3F00306}" name="Column10428"/>
    <tableColumn id="10429" xr3:uid="{489A9942-8564-4504-B6D9-50A8480C8F4B}" name="Column10429"/>
    <tableColumn id="10430" xr3:uid="{43B234F4-D095-4BAF-B559-C0FBF63352AA}" name="Column10430"/>
    <tableColumn id="10431" xr3:uid="{99F96E7A-32EC-4B26-A3B7-0D5D2BDBF347}" name="Column10431"/>
    <tableColumn id="10432" xr3:uid="{B7458E9B-1836-4C5E-B9C1-3EC842AEF1BD}" name="Column10432"/>
    <tableColumn id="10433" xr3:uid="{C44E8415-A731-44C2-9DBD-9903A0D55D71}" name="Column10433"/>
    <tableColumn id="10434" xr3:uid="{0AC0A14C-FCEF-44A4-BE96-FCA69D4CAB4B}" name="Column10434"/>
    <tableColumn id="10435" xr3:uid="{6A55B3D0-8A30-4A7E-BC8C-F6A0002CBE6F}" name="Column10435"/>
    <tableColumn id="10436" xr3:uid="{25844E6D-4687-4500-863F-3136313A12EC}" name="Column10436"/>
    <tableColumn id="10437" xr3:uid="{D0E50C11-1C65-487B-AE11-D9EBDFEEBB7A}" name="Column10437"/>
    <tableColumn id="10438" xr3:uid="{9B31DB26-53C5-421C-86A2-5E133795216D}" name="Column10438"/>
    <tableColumn id="10439" xr3:uid="{88618D20-9C09-4C2A-95DF-A6975CD5DB03}" name="Column10439"/>
    <tableColumn id="10440" xr3:uid="{6170350D-067C-4EE2-9141-FC94CB46A62F}" name="Column10440"/>
    <tableColumn id="10441" xr3:uid="{C4181D8F-E958-4B7D-B5C3-B2BBDBE8ED67}" name="Column10441"/>
    <tableColumn id="10442" xr3:uid="{C4C002E5-99C1-4366-B54B-881FA4A08E26}" name="Column10442"/>
    <tableColumn id="10443" xr3:uid="{DDABD994-234C-4018-BF05-AB170B848434}" name="Column10443"/>
    <tableColumn id="10444" xr3:uid="{0DBAD4FD-DE86-4B6B-B327-BF676AF87E61}" name="Column10444"/>
    <tableColumn id="10445" xr3:uid="{14F66F38-32F3-4DD6-9FE4-9EF37F12940E}" name="Column10445"/>
    <tableColumn id="10446" xr3:uid="{E2C2B0A1-7924-43F3-8B95-B890A76E80C8}" name="Column10446"/>
    <tableColumn id="10447" xr3:uid="{9E8C95C5-1448-4CDA-86BA-E13AEC0949A0}" name="Column10447"/>
    <tableColumn id="10448" xr3:uid="{D5137897-53A7-4164-8048-9A60C69DA5DD}" name="Column10448"/>
    <tableColumn id="10449" xr3:uid="{237CA703-934F-4EA2-81A6-93232AB26B9D}" name="Column10449"/>
    <tableColumn id="10450" xr3:uid="{57346A61-5EB9-4307-9217-7A9BDBE35EC5}" name="Column10450"/>
    <tableColumn id="10451" xr3:uid="{0F527CC6-FB45-4C2F-BAF6-0575BDBECB49}" name="Column10451"/>
    <tableColumn id="10452" xr3:uid="{E0CED3A4-7A61-46C3-8857-07E1F7AAB388}" name="Column10452"/>
    <tableColumn id="10453" xr3:uid="{67BF3BB8-B4A9-4257-8B4E-9C2808CD85CD}" name="Column10453"/>
    <tableColumn id="10454" xr3:uid="{A10BCA62-976F-4107-AE7F-5C80C78FD202}" name="Column10454"/>
    <tableColumn id="10455" xr3:uid="{BF0AB046-49A9-4D73-9913-4BA4E825E4A1}" name="Column10455"/>
    <tableColumn id="10456" xr3:uid="{95D0519B-A68E-44EC-BBCE-A1715648E68D}" name="Column10456"/>
    <tableColumn id="10457" xr3:uid="{A266D531-BD95-410F-BC56-D7EFDB0B1A7B}" name="Column10457"/>
    <tableColumn id="10458" xr3:uid="{39C6C288-931C-4CD1-8F47-AF8A020ECFC8}" name="Column10458"/>
    <tableColumn id="10459" xr3:uid="{73F91FE7-09F6-452E-947A-F8C32C73E067}" name="Column10459"/>
    <tableColumn id="10460" xr3:uid="{3A1AD845-3B1C-4FFC-BC1C-D1371D237A7E}" name="Column10460"/>
    <tableColumn id="10461" xr3:uid="{B1D88621-2CCF-4C54-BFC6-B7316FC63CA0}" name="Column10461"/>
    <tableColumn id="10462" xr3:uid="{B7E04295-A488-4104-93C6-4E04D9DF3D7F}" name="Column10462"/>
    <tableColumn id="10463" xr3:uid="{B2E03840-E075-4097-AF78-7AAC08424D4A}" name="Column10463"/>
    <tableColumn id="10464" xr3:uid="{C3C4AFA7-192C-4298-B29C-1AF7BBCCA00F}" name="Column10464"/>
    <tableColumn id="10465" xr3:uid="{09819484-C7C9-477C-B791-117621520DB3}" name="Column10465"/>
    <tableColumn id="10466" xr3:uid="{28E9C649-6289-425C-BFC0-73A751EA008E}" name="Column10466"/>
    <tableColumn id="10467" xr3:uid="{F81D39D2-EDA3-4984-B31A-C80923309F31}" name="Column10467"/>
    <tableColumn id="10468" xr3:uid="{59C9D18A-77AC-46DD-8C49-55C65CE6C955}" name="Column10468"/>
    <tableColumn id="10469" xr3:uid="{E5F1298E-1B89-4EBA-8DED-FD170EB04703}" name="Column10469"/>
    <tableColumn id="10470" xr3:uid="{809429BB-28E5-48C7-9A95-6A8E9B067199}" name="Column10470"/>
    <tableColumn id="10471" xr3:uid="{8A5EC014-9B6E-4DEC-9D13-A3A9BFF97358}" name="Column10471"/>
    <tableColumn id="10472" xr3:uid="{392EBD46-F2B3-4184-8D77-96139A3402FB}" name="Column10472"/>
    <tableColumn id="10473" xr3:uid="{D23C0B27-A9E3-4BD0-AB98-1A7A50B29150}" name="Column10473"/>
    <tableColumn id="10474" xr3:uid="{A077E9FA-F700-44D7-A3DA-B8FE7E02FB62}" name="Column10474"/>
    <tableColumn id="10475" xr3:uid="{1EA685B6-3E4E-42D3-9E5D-A37EC343768C}" name="Column10475"/>
    <tableColumn id="10476" xr3:uid="{4DBFA542-C60A-4654-8702-C923676F43A1}" name="Column10476"/>
    <tableColumn id="10477" xr3:uid="{15E6403C-EBEC-45F9-9E3B-0585E14889CC}" name="Column10477"/>
    <tableColumn id="10478" xr3:uid="{B4DCB85F-C727-46F5-9830-2AF1D23CDC66}" name="Column10478"/>
    <tableColumn id="10479" xr3:uid="{7F0EBE0F-2E9F-41C8-BD2E-915F05265217}" name="Column10479"/>
    <tableColumn id="10480" xr3:uid="{3BC653C4-1895-430F-9436-0CBCE48FF82F}" name="Column10480"/>
    <tableColumn id="10481" xr3:uid="{ECD13C1F-49C4-489C-8D9E-76A723E3BE1C}" name="Column10481"/>
    <tableColumn id="10482" xr3:uid="{645E5A1F-A243-46A8-9B86-2E69A7EED7F5}" name="Column10482"/>
    <tableColumn id="10483" xr3:uid="{B06259FD-7F8C-4D2F-812B-F04982C40266}" name="Column10483"/>
    <tableColumn id="10484" xr3:uid="{FCA1ED05-510A-4EF5-9C77-896019CA1197}" name="Column10484"/>
    <tableColumn id="10485" xr3:uid="{91408228-BAFC-4956-B559-44CADEDA6132}" name="Column10485"/>
    <tableColumn id="10486" xr3:uid="{15FD1C7F-E724-4FE6-90DA-52483E36DD57}" name="Column10486"/>
    <tableColumn id="10487" xr3:uid="{A562BAB6-DE48-45EC-AE95-3AC4D5622B2C}" name="Column10487"/>
    <tableColumn id="10488" xr3:uid="{8B75967F-E875-49AA-A06A-BD88D763BA65}" name="Column10488"/>
    <tableColumn id="10489" xr3:uid="{29D24D90-959E-4D2D-B861-54C9701B57C7}" name="Column10489"/>
    <tableColumn id="10490" xr3:uid="{E93F908C-4E1A-4A69-8BFC-190226C07DB4}" name="Column10490"/>
    <tableColumn id="10491" xr3:uid="{AE584491-D102-4266-9A5B-ADDE2FCF478C}" name="Column10491"/>
    <tableColumn id="10492" xr3:uid="{3A35BB59-211A-45F6-AE8D-B349092D9AF6}" name="Column10492"/>
    <tableColumn id="10493" xr3:uid="{FB630694-6DB7-40AE-93AF-3B8D5AAE4A36}" name="Column10493"/>
    <tableColumn id="10494" xr3:uid="{2A528D16-90E6-4F73-9467-36B045EA0F7E}" name="Column10494"/>
    <tableColumn id="10495" xr3:uid="{41046C99-7431-44EA-92AA-EB264EFADF74}" name="Column10495"/>
    <tableColumn id="10496" xr3:uid="{C1EE0AB7-090D-424A-A820-D3FC7641ABC4}" name="Column10496"/>
    <tableColumn id="10497" xr3:uid="{CD1DEA4E-D2F2-4C0C-A489-D03C82A9922B}" name="Column10497"/>
    <tableColumn id="10498" xr3:uid="{E166DACF-147F-448C-A3AA-2B5F639CA720}" name="Column10498"/>
    <tableColumn id="10499" xr3:uid="{3B4FBDA2-3973-4EDC-A868-F0906F6CA156}" name="Column10499"/>
    <tableColumn id="10500" xr3:uid="{61494D1A-E4B0-4084-ACB5-42FE08AEAE29}" name="Column10500"/>
    <tableColumn id="10501" xr3:uid="{56DA8CDF-033A-4489-B3BB-4BCD43D32CFC}" name="Column10501"/>
    <tableColumn id="10502" xr3:uid="{DF392385-4A1B-4AD8-A571-A129BD4C329A}" name="Column10502"/>
    <tableColumn id="10503" xr3:uid="{06FD5A35-31F8-4B1F-8A06-669403DEBA64}" name="Column10503"/>
    <tableColumn id="10504" xr3:uid="{686E55E5-D3FE-42CE-A886-F486DDA48D53}" name="Column10504"/>
    <tableColumn id="10505" xr3:uid="{AB1D6179-C73B-4F04-A098-E42EC0D03617}" name="Column10505"/>
    <tableColumn id="10506" xr3:uid="{F84F06A7-205C-4D84-8CE6-AB080CBE65E3}" name="Column10506"/>
    <tableColumn id="10507" xr3:uid="{FA852D7A-9EC4-4B12-A0F3-A972E6CA9D1B}" name="Column10507"/>
    <tableColumn id="10508" xr3:uid="{D317C4E3-7F95-40DB-82EE-6B1BCA1BA72F}" name="Column10508"/>
    <tableColumn id="10509" xr3:uid="{CF67C90F-E0A4-4A63-A9D6-ED195B71208C}" name="Column10509"/>
    <tableColumn id="10510" xr3:uid="{670D98BB-A896-47C0-826F-04094122FE05}" name="Column10510"/>
    <tableColumn id="10511" xr3:uid="{73CAEF3C-D86E-4480-8987-814BEAC60DB8}" name="Column10511"/>
    <tableColumn id="10512" xr3:uid="{DEB220B2-9826-4014-8159-9B75B070FE2E}" name="Column10512"/>
    <tableColumn id="10513" xr3:uid="{06706F09-AE2D-40BF-964F-613376F36552}" name="Column10513"/>
    <tableColumn id="10514" xr3:uid="{46AD290F-936B-4DF7-9271-E33C9EA97967}" name="Column10514"/>
    <tableColumn id="10515" xr3:uid="{197CCC59-0FA7-4EC1-A0CC-60A9EDC60470}" name="Column10515"/>
    <tableColumn id="10516" xr3:uid="{B096DE24-33F5-4A35-9F12-FB9E336CC78E}" name="Column10516"/>
    <tableColumn id="10517" xr3:uid="{1F7C5A00-9DD8-45FC-9C35-FCE477FECCEC}" name="Column10517"/>
    <tableColumn id="10518" xr3:uid="{0806DD09-2122-4093-944C-001F6CA320C5}" name="Column10518"/>
    <tableColumn id="10519" xr3:uid="{8E283FE6-88F4-41ED-AEEA-8ACC3B39D4AB}" name="Column10519"/>
    <tableColumn id="10520" xr3:uid="{AEC69F28-FF77-4B91-9269-D52BF5D1EC9B}" name="Column10520"/>
    <tableColumn id="10521" xr3:uid="{E32F16D1-7CC0-45AD-A596-0595497FE163}" name="Column10521"/>
    <tableColumn id="10522" xr3:uid="{11E7A8EC-617F-4843-BA65-B2F1043A1DBB}" name="Column10522"/>
    <tableColumn id="10523" xr3:uid="{6D6301C4-E479-40A5-BF34-8A67AD6D0AB5}" name="Column10523"/>
    <tableColumn id="10524" xr3:uid="{51E4BFA1-5221-45FC-A47F-E2441AC33B20}" name="Column10524"/>
    <tableColumn id="10525" xr3:uid="{00263F57-17BD-475F-B949-1A6510680794}" name="Column10525"/>
    <tableColumn id="10526" xr3:uid="{60D362FA-A664-45B2-BB86-F2E1BB54FDE5}" name="Column10526"/>
    <tableColumn id="10527" xr3:uid="{5A8F6F82-334E-4D02-9529-D3B54AC5B78A}" name="Column10527"/>
    <tableColumn id="10528" xr3:uid="{46FA4B2F-0BE5-4A44-BA7F-5C507E5D280C}" name="Column10528"/>
    <tableColumn id="10529" xr3:uid="{B2E1963D-6D96-4ED7-8D27-0D7F9D83CD84}" name="Column10529"/>
    <tableColumn id="10530" xr3:uid="{8CF6991B-D3BD-45DE-921B-C56B52F0C549}" name="Column10530"/>
    <tableColumn id="10531" xr3:uid="{D541096E-C742-4440-842B-68953241CA0A}" name="Column10531"/>
    <tableColumn id="10532" xr3:uid="{1615B3EC-EFCA-4FC4-83C6-DE46DC7A1302}" name="Column10532"/>
    <tableColumn id="10533" xr3:uid="{94CAA6A2-1211-447B-A478-294B0A6DBB4E}" name="Column10533"/>
    <tableColumn id="10534" xr3:uid="{8E7F40C9-57C6-47B8-92A6-0F946206EC5C}" name="Column10534"/>
    <tableColumn id="10535" xr3:uid="{D57EB47E-5927-44A5-A8F2-5DFA8BC09A09}" name="Column10535"/>
    <tableColumn id="10536" xr3:uid="{E8D38576-90C4-46CC-A6BF-39C3A6ACE6F1}" name="Column10536"/>
    <tableColumn id="10537" xr3:uid="{8E2439CC-7D8D-42F7-8316-9B8F9B7B66AB}" name="Column10537"/>
    <tableColumn id="10538" xr3:uid="{F0D9B873-EFFD-46CE-AAD9-90E9E0ECC3CE}" name="Column10538"/>
    <tableColumn id="10539" xr3:uid="{187E424F-436C-4D7F-9E2B-6D2525008DC1}" name="Column10539"/>
    <tableColumn id="10540" xr3:uid="{50283269-550E-4501-8CB9-1A7733C5E497}" name="Column10540"/>
    <tableColumn id="10541" xr3:uid="{4431863B-BA03-476F-91E7-81E142A4A536}" name="Column10541"/>
    <tableColumn id="10542" xr3:uid="{1EFD0BC5-C6E8-42FA-941F-E2B558E6B914}" name="Column10542"/>
    <tableColumn id="10543" xr3:uid="{5762A4E8-C471-4006-B690-406CBA61FDF6}" name="Column10543"/>
    <tableColumn id="10544" xr3:uid="{D0786127-2974-4EBB-AC8F-7BD6AEC23BDC}" name="Column10544"/>
    <tableColumn id="10545" xr3:uid="{73927A70-24F1-4DC1-BDC6-D65961A2C8C6}" name="Column10545"/>
    <tableColumn id="10546" xr3:uid="{71BCE6E5-EBDB-4CD6-9367-53587DFD0705}" name="Column10546"/>
    <tableColumn id="10547" xr3:uid="{AEB4AB9C-7742-4E36-B423-3DCF5356919D}" name="Column10547"/>
    <tableColumn id="10548" xr3:uid="{E017CAAA-5D42-4866-B295-F019BC86DAA2}" name="Column10548"/>
    <tableColumn id="10549" xr3:uid="{E31FFFA6-1F13-49C6-BE3F-DA7EE75F40AD}" name="Column10549"/>
    <tableColumn id="10550" xr3:uid="{757765AD-F633-4D27-AE95-FDA94277F06B}" name="Column10550"/>
    <tableColumn id="10551" xr3:uid="{F27F3691-6BB0-4397-BA65-AC1074D7D3E1}" name="Column10551"/>
    <tableColumn id="10552" xr3:uid="{04025319-D932-44E6-BE2C-A67E8C346EDF}" name="Column10552"/>
    <tableColumn id="10553" xr3:uid="{482D99C0-48FA-4D38-B9C0-B30AF257524E}" name="Column10553"/>
    <tableColumn id="10554" xr3:uid="{9DD5A237-D8A7-4964-9EFD-8772B621760F}" name="Column10554"/>
    <tableColumn id="10555" xr3:uid="{79317411-58D0-4AC0-A706-3D30C7ABA96B}" name="Column10555"/>
    <tableColumn id="10556" xr3:uid="{D0CCDCE0-DEDA-4CB1-BDDF-425EE5A91312}" name="Column10556"/>
    <tableColumn id="10557" xr3:uid="{5F95E6C8-CEB3-49AE-A16A-9599A78DBC14}" name="Column10557"/>
    <tableColumn id="10558" xr3:uid="{D47B8CA7-E12F-45DB-BB62-547487DDCCA5}" name="Column10558"/>
    <tableColumn id="10559" xr3:uid="{A2D2397E-C638-404B-A8F8-94622213A37B}" name="Column10559"/>
    <tableColumn id="10560" xr3:uid="{1B9012AC-2D41-4BEB-BC96-D632F70DF1F3}" name="Column10560"/>
    <tableColumn id="10561" xr3:uid="{EFA270D7-8AF8-4304-8D2E-4CEF328C8C39}" name="Column10561"/>
    <tableColumn id="10562" xr3:uid="{830C7E62-3739-47D4-B23E-C94CF45616BD}" name="Column10562"/>
    <tableColumn id="10563" xr3:uid="{E161D7CE-EDBB-4092-B03F-972FA04C9AA3}" name="Column10563"/>
    <tableColumn id="10564" xr3:uid="{08736EB4-03F9-4CEB-B486-B75AF3DB61EC}" name="Column10564"/>
    <tableColumn id="10565" xr3:uid="{8B363C52-6841-401E-A1B9-0B990635B275}" name="Column10565"/>
    <tableColumn id="10566" xr3:uid="{98EA22D8-D2C6-4DA2-AB49-299A3ADEFC3B}" name="Column10566"/>
    <tableColumn id="10567" xr3:uid="{25B5A3EC-CEF2-4D0D-A8EE-FE6DA4CCF99B}" name="Column10567"/>
    <tableColumn id="10568" xr3:uid="{50E8C2F9-9F64-4B00-97C3-2346CFF90FB1}" name="Column10568"/>
    <tableColumn id="10569" xr3:uid="{EDCC2C31-3480-4E1A-B4AC-173B450A8C55}" name="Column10569"/>
    <tableColumn id="10570" xr3:uid="{0440B9AE-E72B-4BC7-ABB8-DD7E0AAEFAE1}" name="Column10570"/>
    <tableColumn id="10571" xr3:uid="{0E877C09-2EDE-43EA-8DB1-E3918FAD9200}" name="Column10571"/>
    <tableColumn id="10572" xr3:uid="{33B5642D-1AF9-490F-9D1A-F9989BD9511C}" name="Column10572"/>
    <tableColumn id="10573" xr3:uid="{B02E3505-A366-49A6-A3EF-F42C96E4A53C}" name="Column10573"/>
    <tableColumn id="10574" xr3:uid="{29E93B25-3630-4F7B-BF03-4B56B1609AE0}" name="Column10574"/>
    <tableColumn id="10575" xr3:uid="{D8EA2757-B449-4D13-90FC-8895C6932C9E}" name="Column10575"/>
    <tableColumn id="10576" xr3:uid="{24366A11-72AC-4CE5-8DC8-D604DB4D0C1E}" name="Column10576"/>
    <tableColumn id="10577" xr3:uid="{4201A860-BB25-4F0B-ADB4-6BA6D6F4DFD4}" name="Column10577"/>
    <tableColumn id="10578" xr3:uid="{A6B7F037-02F6-42FA-8BAD-C0D5B5BCA1CE}" name="Column10578"/>
    <tableColumn id="10579" xr3:uid="{6557EC5C-18C7-43D6-AFAA-AFF4AEC51989}" name="Column10579"/>
    <tableColumn id="10580" xr3:uid="{DAD5BF62-8B2E-4169-8DB9-96F45BBAA4DB}" name="Column10580"/>
    <tableColumn id="10581" xr3:uid="{7C16D485-3887-42A0-83FB-FFDBB6FAE419}" name="Column10581"/>
    <tableColumn id="10582" xr3:uid="{86C22361-14D5-418E-8813-BFF36B2F54B2}" name="Column10582"/>
    <tableColumn id="10583" xr3:uid="{044D71C6-9452-49C5-868F-0D195C4503A3}" name="Column10583"/>
    <tableColumn id="10584" xr3:uid="{2BD5089E-3604-4AC0-8121-65C4321C431B}" name="Column10584"/>
    <tableColumn id="10585" xr3:uid="{42BE5259-A299-452F-963A-164D12FB0B8F}" name="Column10585"/>
    <tableColumn id="10586" xr3:uid="{64C64AA2-6C91-4AA9-94EC-5DA6D0F033B0}" name="Column10586"/>
    <tableColumn id="10587" xr3:uid="{BC30415F-5076-4F4C-B19A-84EE50558D90}" name="Column10587"/>
    <tableColumn id="10588" xr3:uid="{3AB4C549-4E2C-40BE-9FCF-BF1FF6E0E189}" name="Column10588"/>
    <tableColumn id="10589" xr3:uid="{A6E16D60-BA73-420F-B778-37DBC33FC2C8}" name="Column10589"/>
    <tableColumn id="10590" xr3:uid="{1CC269A4-797D-4B19-B678-7D0865FFC8DE}" name="Column10590"/>
    <tableColumn id="10591" xr3:uid="{D50C2BCF-9951-474B-BD9C-7166558C0ADD}" name="Column10591"/>
    <tableColumn id="10592" xr3:uid="{3E442813-EC46-43B9-9B50-6F0F953AA5C1}" name="Column10592"/>
    <tableColumn id="10593" xr3:uid="{D439B7CE-C921-45C3-9A6B-C434CA424518}" name="Column10593"/>
    <tableColumn id="10594" xr3:uid="{F0667C3D-E08F-4289-A0FC-9D925CC48586}" name="Column10594"/>
    <tableColumn id="10595" xr3:uid="{D1BBF74F-E1CF-4249-A938-90C83EDA18B5}" name="Column10595"/>
    <tableColumn id="10596" xr3:uid="{52F7BD1E-8659-4951-A796-5E697C7FE6EE}" name="Column10596"/>
    <tableColumn id="10597" xr3:uid="{0A350202-93BB-4208-BD26-1A8028C92AB1}" name="Column10597"/>
    <tableColumn id="10598" xr3:uid="{BA0DDB0B-0F80-4DA6-AD9E-6AC51B395CF5}" name="Column10598"/>
    <tableColumn id="10599" xr3:uid="{EAF00F70-5B76-49BB-AB3F-1B48F0FD12E0}" name="Column10599"/>
    <tableColumn id="10600" xr3:uid="{E9D446D9-3806-4EBB-8EC3-9A9E0005C130}" name="Column10600"/>
    <tableColumn id="10601" xr3:uid="{10652B31-DE97-4596-A685-632BDCB223E9}" name="Column10601"/>
    <tableColumn id="10602" xr3:uid="{6B7EAED3-FB32-457C-946F-FB16ADFE571C}" name="Column10602"/>
    <tableColumn id="10603" xr3:uid="{66DF3F6D-A2FA-4ACD-BE77-2AD875E62B7B}" name="Column10603"/>
    <tableColumn id="10604" xr3:uid="{94E7DA4E-98AC-4923-82F2-F7E9A23AFF03}" name="Column10604"/>
    <tableColumn id="10605" xr3:uid="{FAA34DB3-8839-4DE5-B595-E67237C177AB}" name="Column10605"/>
    <tableColumn id="10606" xr3:uid="{C035A862-E37D-4F5C-908C-4349C74402D6}" name="Column10606"/>
    <tableColumn id="10607" xr3:uid="{5EDF9D6D-8D01-43F6-8C05-95BE4AC17DDD}" name="Column10607"/>
    <tableColumn id="10608" xr3:uid="{12D8110C-D166-4B1C-8334-0527388F1771}" name="Column10608"/>
    <tableColumn id="10609" xr3:uid="{02C8E736-B0FC-4A1F-A93B-3304AFA8AAEC}" name="Column10609"/>
    <tableColumn id="10610" xr3:uid="{C9459FB9-24A3-4B19-8096-ADA605A10A9B}" name="Column10610"/>
    <tableColumn id="10611" xr3:uid="{A64B4047-2A48-498C-A246-5ECAE36074FF}" name="Column10611"/>
    <tableColumn id="10612" xr3:uid="{95AB81A8-777F-4DAD-9CBD-F638FED024CD}" name="Column10612"/>
    <tableColumn id="10613" xr3:uid="{31F8B3A1-6A82-45BF-90BB-905F91317830}" name="Column10613"/>
    <tableColumn id="10614" xr3:uid="{3A5F943B-CAC7-44D7-8A25-7BE9C912364F}" name="Column10614"/>
    <tableColumn id="10615" xr3:uid="{CE470503-0010-4917-9B9C-6929A55A7D8B}" name="Column10615"/>
    <tableColumn id="10616" xr3:uid="{23875A59-D1C5-4896-9441-15CFE7D6BB81}" name="Column10616"/>
    <tableColumn id="10617" xr3:uid="{427BC8EB-8D7C-4237-992B-788F86A83FE0}" name="Column10617"/>
    <tableColumn id="10618" xr3:uid="{EAD92022-34F1-4EB7-9EBC-CF2E578B3BEA}" name="Column10618"/>
    <tableColumn id="10619" xr3:uid="{C17AFE61-3A13-4BF1-BCDE-EA7161073ED2}" name="Column10619"/>
    <tableColumn id="10620" xr3:uid="{B0154C90-6997-4A12-820B-49BA9D4A33CF}" name="Column10620"/>
    <tableColumn id="10621" xr3:uid="{1FD2B5A4-FA4F-40A5-B1C3-EB268CE9405F}" name="Column10621"/>
    <tableColumn id="10622" xr3:uid="{4FCEA396-B796-45DE-9579-6F36F6E3CAEA}" name="Column10622"/>
    <tableColumn id="10623" xr3:uid="{9F90A16C-8EB4-45C1-BD00-8B8201FCDAA1}" name="Column10623"/>
    <tableColumn id="10624" xr3:uid="{D46426AC-DE4F-46BE-9ADF-2BAA53118AAA}" name="Column10624"/>
    <tableColumn id="10625" xr3:uid="{7F303BF7-6FD3-4058-87BA-19274FC56454}" name="Column10625"/>
    <tableColumn id="10626" xr3:uid="{94567443-6938-41FD-837D-37C8F5EE3CEE}" name="Column10626"/>
    <tableColumn id="10627" xr3:uid="{2B9B4335-BA63-40B5-BC0B-C223B9DF5E8C}" name="Column10627"/>
    <tableColumn id="10628" xr3:uid="{53118554-8E92-4B2A-8D98-6D05431D2DB6}" name="Column10628"/>
    <tableColumn id="10629" xr3:uid="{86458C2F-A3C5-4552-8A4B-1A1E592A0F5A}" name="Column10629"/>
    <tableColumn id="10630" xr3:uid="{8A350B18-EE90-4EBE-9D05-4005F118ACD2}" name="Column10630"/>
    <tableColumn id="10631" xr3:uid="{11A3C2C1-84F8-4F53-BEAE-70E30D7D4660}" name="Column10631"/>
    <tableColumn id="10632" xr3:uid="{802524C4-4B87-4F0E-8599-0F0ED3EB09DA}" name="Column10632"/>
    <tableColumn id="10633" xr3:uid="{1C57CD23-9E06-4BCE-BF39-502485C57FB1}" name="Column10633"/>
    <tableColumn id="10634" xr3:uid="{274A0A82-266F-444E-BD2B-6764A5F211E3}" name="Column10634"/>
    <tableColumn id="10635" xr3:uid="{99E1F49B-F4A4-432A-9F64-E5CAB286F997}" name="Column10635"/>
    <tableColumn id="10636" xr3:uid="{BECE9C8A-7F66-4C90-B180-C4AF5659AA7B}" name="Column10636"/>
    <tableColumn id="10637" xr3:uid="{20838CB3-82EE-46D1-8106-3613D74AF5B8}" name="Column10637"/>
    <tableColumn id="10638" xr3:uid="{56448121-E08B-47A4-A99A-325A4D3002FB}" name="Column10638"/>
    <tableColumn id="10639" xr3:uid="{3208F143-4CD8-462A-8B41-93DE739D27B3}" name="Column10639"/>
    <tableColumn id="10640" xr3:uid="{154E7A62-2D07-43BC-83EB-D345D599D593}" name="Column10640"/>
    <tableColumn id="10641" xr3:uid="{8CA8A254-AC05-4F55-90E6-A3D2989EF115}" name="Column10641"/>
    <tableColumn id="10642" xr3:uid="{ECA43B35-D123-42F2-ADEC-1EB235E3FD9E}" name="Column10642"/>
    <tableColumn id="10643" xr3:uid="{A6623946-9F26-4751-8503-1B4276825C6F}" name="Column10643"/>
    <tableColumn id="10644" xr3:uid="{9D6F75AA-E47C-4C22-97BD-5F3F1C362629}" name="Column10644"/>
    <tableColumn id="10645" xr3:uid="{97B95360-0ED0-4CF0-97B9-F9B6C719F782}" name="Column10645"/>
    <tableColumn id="10646" xr3:uid="{3B419CF2-BB7A-4258-B7D8-40C7DA036465}" name="Column10646"/>
    <tableColumn id="10647" xr3:uid="{859550BD-4BB0-4B54-9317-1E1C86272962}" name="Column10647"/>
    <tableColumn id="10648" xr3:uid="{A1EFAE85-37B0-48C7-B84F-EEAA53330843}" name="Column10648"/>
    <tableColumn id="10649" xr3:uid="{12DA6C4A-EF3B-4939-8616-8F7B53F3DF6D}" name="Column10649"/>
    <tableColumn id="10650" xr3:uid="{05DF9AB1-FDE8-4A15-8953-07FD09F59BA9}" name="Column10650"/>
    <tableColumn id="10651" xr3:uid="{C860BA20-3661-448A-ACB0-25645C680D6F}" name="Column10651"/>
    <tableColumn id="10652" xr3:uid="{51614308-B778-438E-8BDA-27CBA5A0170E}" name="Column10652"/>
    <tableColumn id="10653" xr3:uid="{3B95E54D-A233-4EE0-95C2-921BDB9AE843}" name="Column10653"/>
    <tableColumn id="10654" xr3:uid="{B031F297-C1C1-4631-B65E-96B317B34AB9}" name="Column10654"/>
    <tableColumn id="10655" xr3:uid="{9B74897B-1F13-4BFD-A558-9838BAE49692}" name="Column10655"/>
    <tableColumn id="10656" xr3:uid="{6AFED51F-11D8-4C12-B67D-C1E5FCEE3ED0}" name="Column10656"/>
    <tableColumn id="10657" xr3:uid="{6F8A80B6-E1B8-4CF8-91BD-65AA7B474430}" name="Column10657"/>
    <tableColumn id="10658" xr3:uid="{187F1E83-D91F-4522-A6AF-1C04DE85C0B5}" name="Column10658"/>
    <tableColumn id="10659" xr3:uid="{0FFA393D-487B-4F0A-85F6-5328C22FB190}" name="Column10659"/>
    <tableColumn id="10660" xr3:uid="{E3120BD6-2554-4619-98D3-EE4AD6FA34A1}" name="Column10660"/>
    <tableColumn id="10661" xr3:uid="{DFFE9980-DABA-42FB-9B53-B85684F3A835}" name="Column10661"/>
    <tableColumn id="10662" xr3:uid="{09650BED-2C3F-4D7A-A6C1-5DF95AD9A785}" name="Column10662"/>
    <tableColumn id="10663" xr3:uid="{C51C0227-E3F2-4478-B1DE-959FD916BBAE}" name="Column10663"/>
    <tableColumn id="10664" xr3:uid="{9B611325-D50C-4C3F-B698-B541D7EAC0D6}" name="Column10664"/>
    <tableColumn id="10665" xr3:uid="{8D7D12C1-E6F9-46CB-A150-C887395419CA}" name="Column10665"/>
    <tableColumn id="10666" xr3:uid="{559C8045-82D3-4682-99E9-7FFA2429DA37}" name="Column10666"/>
    <tableColumn id="10667" xr3:uid="{1BDD9D91-C4C3-491F-8B9D-10985BEE6504}" name="Column10667"/>
    <tableColumn id="10668" xr3:uid="{6B27746B-FE5F-4695-93F1-8D61570C7428}" name="Column10668"/>
    <tableColumn id="10669" xr3:uid="{5A0F4ECC-75D2-4555-B684-C98A2151742D}" name="Column10669"/>
    <tableColumn id="10670" xr3:uid="{968AE07F-CE20-465A-BA3A-A164F177415E}" name="Column10670"/>
    <tableColumn id="10671" xr3:uid="{396A7259-D310-4583-8B77-EC84A6385F40}" name="Column10671"/>
    <tableColumn id="10672" xr3:uid="{339975E0-C266-4DBD-AD03-485A1EEAD0C2}" name="Column10672"/>
    <tableColumn id="10673" xr3:uid="{964C5A1F-CF6D-4015-88A8-5E94FC948BB2}" name="Column10673"/>
    <tableColumn id="10674" xr3:uid="{4817A039-3282-4116-A1B6-FCF68A37B0FF}" name="Column10674"/>
    <tableColumn id="10675" xr3:uid="{1DD5D35A-7A8B-4B95-AD18-9B30296F9F43}" name="Column10675"/>
    <tableColumn id="10676" xr3:uid="{2B2D957A-C353-44C3-85E4-BEB24ECFC7A7}" name="Column10676"/>
    <tableColumn id="10677" xr3:uid="{EC2EC294-0A4E-494F-882F-AB7747F07809}" name="Column10677"/>
    <tableColumn id="10678" xr3:uid="{757CDF5D-0A1D-41ED-8755-E889B4BD761A}" name="Column10678"/>
    <tableColumn id="10679" xr3:uid="{E6E60CC9-DAA4-4D98-8FCB-88933F3F8164}" name="Column10679"/>
    <tableColumn id="10680" xr3:uid="{9017033A-9B95-4D2D-85BE-B43EB186C0D7}" name="Column10680"/>
    <tableColumn id="10681" xr3:uid="{0A1E2CF5-6208-4ABE-AF42-91142F93F77D}" name="Column10681"/>
    <tableColumn id="10682" xr3:uid="{23866516-B788-48C5-B44D-5CBB571ACF4E}" name="Column10682"/>
    <tableColumn id="10683" xr3:uid="{48577BC8-A76D-49D2-8E5C-9B9F0A2A71D2}" name="Column10683"/>
    <tableColumn id="10684" xr3:uid="{62ECAE1E-FB01-499C-8AFF-A705CED7FCE2}" name="Column10684"/>
    <tableColumn id="10685" xr3:uid="{5BD76199-895E-40C8-A328-2589E4E932E7}" name="Column10685"/>
    <tableColumn id="10686" xr3:uid="{4EC28BB6-5872-47E3-AA84-5A5DF6BA0E81}" name="Column10686"/>
    <tableColumn id="10687" xr3:uid="{AD97BCEC-E7A6-4B05-8053-C72CAF6515E6}" name="Column10687"/>
    <tableColumn id="10688" xr3:uid="{B6A75C70-196F-4787-A653-AF2C95C78DE1}" name="Column10688"/>
    <tableColumn id="10689" xr3:uid="{15DE6F5A-28A1-4AFE-A77A-B4E3F5B6B3CD}" name="Column10689"/>
    <tableColumn id="10690" xr3:uid="{32CA68DA-A4A4-45EE-B390-1D2680BB596B}" name="Column10690"/>
    <tableColumn id="10691" xr3:uid="{B005ADEC-3EAC-4D6F-8749-C9A1C45A3562}" name="Column10691"/>
    <tableColumn id="10692" xr3:uid="{B0B5B75E-FDFB-4F3E-B832-FCF434A9D0DF}" name="Column10692"/>
    <tableColumn id="10693" xr3:uid="{3697AA58-7EF6-4A77-911E-9AB385AD6759}" name="Column10693"/>
    <tableColumn id="10694" xr3:uid="{1D52AD18-A088-416C-BA2A-2B3868A9CC3C}" name="Column10694"/>
    <tableColumn id="10695" xr3:uid="{91E1CC8B-C628-4AB0-9A99-491DB5627AFF}" name="Column10695"/>
    <tableColumn id="10696" xr3:uid="{87B9CD83-64DC-4590-91D3-DB05FEE5F693}" name="Column10696"/>
    <tableColumn id="10697" xr3:uid="{BC726C3F-9FE2-49D3-BFD5-6A196EDA58BE}" name="Column10697"/>
    <tableColumn id="10698" xr3:uid="{2DB68E1A-1F74-48A2-AF2E-11E25D35217B}" name="Column10698"/>
    <tableColumn id="10699" xr3:uid="{6B430417-5DBB-4F1D-A288-3D855A548C33}" name="Column10699"/>
    <tableColumn id="10700" xr3:uid="{B7FEF596-B2F8-419C-9A6E-F371387EA11D}" name="Column10700"/>
    <tableColumn id="10701" xr3:uid="{AA100721-1C6D-4464-AEC1-D85D11F197AF}" name="Column10701"/>
    <tableColumn id="10702" xr3:uid="{F78C38D1-5E85-4367-8297-9749F8AAA049}" name="Column10702"/>
    <tableColumn id="10703" xr3:uid="{AAE0EE27-E934-4EC7-9485-6EC9810D2BD6}" name="Column10703"/>
    <tableColumn id="10704" xr3:uid="{841B6847-5113-4A01-BF53-17AAB4201B93}" name="Column10704"/>
    <tableColumn id="10705" xr3:uid="{0109E00C-005B-413B-895C-BC858BDF08FA}" name="Column10705"/>
    <tableColumn id="10706" xr3:uid="{574E5CD8-26C1-441E-827E-31B81679DFB0}" name="Column10706"/>
    <tableColumn id="10707" xr3:uid="{317971C4-6A32-472A-9AEA-36E55578FDEA}" name="Column10707"/>
    <tableColumn id="10708" xr3:uid="{9AE7CB31-EF21-49A3-A35F-7A193E8BEB8E}" name="Column10708"/>
    <tableColumn id="10709" xr3:uid="{3D8B3BEE-0694-4A68-8AA1-0D4DB908D217}" name="Column10709"/>
    <tableColumn id="10710" xr3:uid="{E2700EC5-0B28-42F9-A78D-C71C511C91D8}" name="Column10710"/>
    <tableColumn id="10711" xr3:uid="{0D7A60A1-12D1-4D2F-8737-97368E760609}" name="Column10711"/>
    <tableColumn id="10712" xr3:uid="{0E0AF212-3D34-40F2-91B3-551835ECD001}" name="Column10712"/>
    <tableColumn id="10713" xr3:uid="{AD5AFEF3-BE94-4032-B3AA-A8FD2E436883}" name="Column10713"/>
    <tableColumn id="10714" xr3:uid="{983C3FE2-4387-4579-83A7-77AD8D222136}" name="Column10714"/>
    <tableColumn id="10715" xr3:uid="{A1D4399A-E978-4D22-8656-A12DD5F3C339}" name="Column10715"/>
    <tableColumn id="10716" xr3:uid="{0F69F15A-26B6-4D05-ACAD-250FCE9E24FA}" name="Column10716"/>
    <tableColumn id="10717" xr3:uid="{4F941C38-6A9B-4F8A-BCAD-A7A197CF6A6E}" name="Column10717"/>
    <tableColumn id="10718" xr3:uid="{21F4009A-EA80-4ACC-BBAA-36C7D47A1461}" name="Column10718"/>
    <tableColumn id="10719" xr3:uid="{77AEF8C5-0CA6-4582-996F-22C7974BABEE}" name="Column10719"/>
    <tableColumn id="10720" xr3:uid="{C138A7D8-9A9F-4D08-89A2-67DAFD012F44}" name="Column10720"/>
    <tableColumn id="10721" xr3:uid="{B37376FB-1AE0-4BC5-83AE-F0C774C34D63}" name="Column10721"/>
    <tableColumn id="10722" xr3:uid="{170362CB-B5FA-4418-9E52-AA0234D4F354}" name="Column10722"/>
    <tableColumn id="10723" xr3:uid="{111710CC-69E0-4081-8371-BC1C67075A8C}" name="Column10723"/>
    <tableColumn id="10724" xr3:uid="{AA287964-001F-4D92-BF9D-7C12F9CA746D}" name="Column10724"/>
    <tableColumn id="10725" xr3:uid="{9307D35E-0095-462C-B967-0789E984E1B6}" name="Column10725"/>
    <tableColumn id="10726" xr3:uid="{A03E2663-ACA7-478D-8212-BFD4F0205C88}" name="Column10726"/>
    <tableColumn id="10727" xr3:uid="{3D3E2C28-A8B9-4231-A09A-B6DA784EE199}" name="Column10727"/>
    <tableColumn id="10728" xr3:uid="{29AF6669-133F-4925-8D75-B7F8BBF38849}" name="Column10728"/>
    <tableColumn id="10729" xr3:uid="{6BA7627A-9099-490C-A279-1B201291BF00}" name="Column10729"/>
    <tableColumn id="10730" xr3:uid="{39955FE2-6939-404F-8485-4FFE5DE6BB47}" name="Column10730"/>
    <tableColumn id="10731" xr3:uid="{772231C5-AEFF-40D8-AD57-68267BCB9FB8}" name="Column10731"/>
    <tableColumn id="10732" xr3:uid="{60A5153D-FF41-470E-8592-88EA7E86F2F2}" name="Column10732"/>
    <tableColumn id="10733" xr3:uid="{AA52C86F-A6C5-473D-AB0C-3BCEB885ED41}" name="Column10733"/>
    <tableColumn id="10734" xr3:uid="{1D4173DB-FC35-4302-AA3F-7DFE2E4B9D4C}" name="Column10734"/>
    <tableColumn id="10735" xr3:uid="{EE4A5E2B-C2BC-4ACC-B815-3625BA60D4C5}" name="Column10735"/>
    <tableColumn id="10736" xr3:uid="{BEE72291-F295-4DE6-AF94-EB3DF694E0E2}" name="Column10736"/>
    <tableColumn id="10737" xr3:uid="{4D50A3E8-8AC9-41F1-8F92-C5B833E31AAA}" name="Column10737"/>
    <tableColumn id="10738" xr3:uid="{7656E42D-22D4-4AC4-8986-96890C2FDADD}" name="Column10738"/>
    <tableColumn id="10739" xr3:uid="{DD7F5163-2A30-495B-8492-70E4623483B8}" name="Column10739"/>
    <tableColumn id="10740" xr3:uid="{9D44BE97-0A95-4D4E-B8DC-44B3C2A86333}" name="Column10740"/>
    <tableColumn id="10741" xr3:uid="{57343680-1419-4B44-9128-21972467D666}" name="Column10741"/>
    <tableColumn id="10742" xr3:uid="{CB095EB8-E730-4FE1-BDC1-45F655E1D6EC}" name="Column10742"/>
    <tableColumn id="10743" xr3:uid="{FD32BCC6-13CD-418D-8702-B14235DE9527}" name="Column10743"/>
    <tableColumn id="10744" xr3:uid="{6429ED38-6F56-4C65-BFBE-C0BCB91748D9}" name="Column10744"/>
    <tableColumn id="10745" xr3:uid="{6227AB30-1593-497C-88F5-9AB898C64C0A}" name="Column10745"/>
    <tableColumn id="10746" xr3:uid="{FBC1F2FF-7DEA-48F5-B668-CAAA107EE5C2}" name="Column10746"/>
    <tableColumn id="10747" xr3:uid="{AC8C9B14-1EEC-4D61-9F4A-026207DAE4D3}" name="Column10747"/>
    <tableColumn id="10748" xr3:uid="{429F7EF1-028A-4AF0-8E99-9A6FB6093DCC}" name="Column10748"/>
    <tableColumn id="10749" xr3:uid="{708A8559-552B-456F-B69E-3354B10BCA15}" name="Column10749"/>
    <tableColumn id="10750" xr3:uid="{5B9EE18A-3E41-429C-95AC-A1AA17311B7C}" name="Column10750"/>
    <tableColumn id="10751" xr3:uid="{C1978910-2898-4E55-BD22-5FFC365D562B}" name="Column10751"/>
    <tableColumn id="10752" xr3:uid="{FB4E6215-7C8F-47DB-A4B6-2CC6E5C6C960}" name="Column10752"/>
    <tableColumn id="10753" xr3:uid="{2D499960-85D0-4F9E-BCFF-66656702E813}" name="Column10753"/>
    <tableColumn id="10754" xr3:uid="{C276301F-215D-4238-AD4D-E78586D5575F}" name="Column10754"/>
    <tableColumn id="10755" xr3:uid="{8D6647B1-7FA3-4A66-8B20-C7E5D1482052}" name="Column10755"/>
    <tableColumn id="10756" xr3:uid="{94FFD3A7-AA54-4C67-8D82-BF5C2F33D35F}" name="Column10756"/>
    <tableColumn id="10757" xr3:uid="{C6D13B16-8D2E-4ED3-A8DA-3487866AA0D6}" name="Column10757"/>
    <tableColumn id="10758" xr3:uid="{DBB1711B-4067-4F1D-8FD4-14CD7609F098}" name="Column10758"/>
    <tableColumn id="10759" xr3:uid="{7A09ECFA-40CE-4ABD-8967-573D5FD54767}" name="Column10759"/>
    <tableColumn id="10760" xr3:uid="{9CBFDBFF-29A2-43A9-A4B9-A3539BECA109}" name="Column10760"/>
    <tableColumn id="10761" xr3:uid="{33E2D3BB-A0AD-4B04-8479-1977597E30D6}" name="Column10761"/>
    <tableColumn id="10762" xr3:uid="{65263A4A-91C8-4BF8-92A3-43E445D686D1}" name="Column10762"/>
    <tableColumn id="10763" xr3:uid="{57B3E737-3189-47DE-9914-CB3CB48CA15E}" name="Column10763"/>
    <tableColumn id="10764" xr3:uid="{C516307A-AAC6-4C74-A34C-F43888CB5FE6}" name="Column10764"/>
    <tableColumn id="10765" xr3:uid="{E48C1F01-EB6C-401B-9659-18D63DD193A2}" name="Column10765"/>
    <tableColumn id="10766" xr3:uid="{2B7D832D-AF51-4002-A462-15445C9566E3}" name="Column10766"/>
    <tableColumn id="10767" xr3:uid="{3A9AE70C-F1BC-4A10-BCB3-EA87A8928A5A}" name="Column10767"/>
    <tableColumn id="10768" xr3:uid="{F1F56E52-4C06-4184-8138-85C72361B7C3}" name="Column10768"/>
    <tableColumn id="10769" xr3:uid="{D2EB4E35-608D-45FD-A831-F2CEA1DBA15E}" name="Column10769"/>
    <tableColumn id="10770" xr3:uid="{E2CDAB11-9013-4DA7-BFDB-D4265FE5532A}" name="Column10770"/>
    <tableColumn id="10771" xr3:uid="{85A341C4-0E51-4C04-A114-A692F876907F}" name="Column10771"/>
    <tableColumn id="10772" xr3:uid="{7CB5FE32-5ACC-4AA1-92E4-AFF8F40650B6}" name="Column10772"/>
    <tableColumn id="10773" xr3:uid="{DE37FBA9-0340-4366-A310-3A7B1FEE164E}" name="Column10773"/>
    <tableColumn id="10774" xr3:uid="{3A3EEF39-EFDE-4FCB-A38D-080C3DE1DFB9}" name="Column10774"/>
    <tableColumn id="10775" xr3:uid="{9F0237EC-BC55-4266-99AD-D08035375459}" name="Column10775"/>
    <tableColumn id="10776" xr3:uid="{CDBE5E83-3DBD-4E21-BD41-9F1C2C18DE0D}" name="Column10776"/>
    <tableColumn id="10777" xr3:uid="{0E4CC964-4C9F-49D3-8252-A483146B32DB}" name="Column10777"/>
    <tableColumn id="10778" xr3:uid="{789D0703-DC81-4CBF-9F04-6AB4DDEC46D2}" name="Column10778"/>
    <tableColumn id="10779" xr3:uid="{2508DAB1-518F-45CA-89CB-96AE2C413D48}" name="Column10779"/>
    <tableColumn id="10780" xr3:uid="{7DA1D49B-764B-4BA5-A27D-F4593393F869}" name="Column10780"/>
    <tableColumn id="10781" xr3:uid="{28FCF4DA-C6FD-464B-9313-7EB423A36274}" name="Column10781"/>
    <tableColumn id="10782" xr3:uid="{1B4C9A8D-1D0D-48EE-8FE0-E8C07233F190}" name="Column10782"/>
    <tableColumn id="10783" xr3:uid="{EC0842E3-553D-4609-B0BF-E0FACF77A11C}" name="Column10783"/>
    <tableColumn id="10784" xr3:uid="{D565EE91-C99C-4915-AC7E-B44D0F0EA7CC}" name="Column10784"/>
    <tableColumn id="10785" xr3:uid="{3099567E-46C0-43C1-9CB7-9BA572F6ECFB}" name="Column10785"/>
    <tableColumn id="10786" xr3:uid="{737B94D5-A553-4BB9-B8C1-8095942F4FA8}" name="Column10786"/>
    <tableColumn id="10787" xr3:uid="{EC7B704B-7E41-48C7-8434-42B43C8C28B9}" name="Column10787"/>
    <tableColumn id="10788" xr3:uid="{5E0740F4-7317-44F3-AE7B-1E709688F7FE}" name="Column10788"/>
    <tableColumn id="10789" xr3:uid="{B5DB7FC6-7C16-455B-A195-A33E296C9B0B}" name="Column10789"/>
    <tableColumn id="10790" xr3:uid="{46D19096-85CA-4401-BA13-3C334F7843E6}" name="Column10790"/>
    <tableColumn id="10791" xr3:uid="{E13715BC-D0C5-4E89-BE59-24FF22EF143F}" name="Column10791"/>
    <tableColumn id="10792" xr3:uid="{B6E63A33-302C-45FA-8DFD-6C016C4A6E39}" name="Column10792"/>
    <tableColumn id="10793" xr3:uid="{0282501B-7D6E-4AE7-990A-E23C4E91E1E6}" name="Column10793"/>
    <tableColumn id="10794" xr3:uid="{23E86379-BDBF-4FF0-980C-F7DE70B5ACDB}" name="Column10794"/>
    <tableColumn id="10795" xr3:uid="{633C2477-4A56-46BE-9C27-83718CC05955}" name="Column10795"/>
    <tableColumn id="10796" xr3:uid="{A45DDA3E-4A11-47BF-8919-05D198B3997F}" name="Column10796"/>
    <tableColumn id="10797" xr3:uid="{D15F4B51-1B22-4D96-A0DE-405B70192B41}" name="Column10797"/>
    <tableColumn id="10798" xr3:uid="{84567C58-35CC-46E2-9B0E-E09946DCEC0D}" name="Column10798"/>
    <tableColumn id="10799" xr3:uid="{96D5DFA2-4F53-444D-9421-E2E1BFB95206}" name="Column10799"/>
    <tableColumn id="10800" xr3:uid="{CCBED415-8DC0-44E1-B287-E5E03FB57914}" name="Column10800"/>
    <tableColumn id="10801" xr3:uid="{21D8E6C7-F523-4783-A0EB-5216DCBDB76D}" name="Column10801"/>
    <tableColumn id="10802" xr3:uid="{FCC6F508-2561-42F0-8027-83B6AF48DCA9}" name="Column10802"/>
    <tableColumn id="10803" xr3:uid="{EF223D99-226C-4AEE-8C97-C70FDE7FE981}" name="Column10803"/>
    <tableColumn id="10804" xr3:uid="{2AE13640-441B-4240-91C3-6C83BF0FC11A}" name="Column10804"/>
    <tableColumn id="10805" xr3:uid="{5C3592BE-2CAD-4E62-A307-616BE3BBEC38}" name="Column10805"/>
    <tableColumn id="10806" xr3:uid="{FB2D421B-3813-4CA5-9565-4EAF8854633F}" name="Column10806"/>
    <tableColumn id="10807" xr3:uid="{FD920BCD-EE95-4A16-8582-C68DA832CE5B}" name="Column10807"/>
    <tableColumn id="10808" xr3:uid="{42405229-E023-44E4-94C5-B93AFC4A94D5}" name="Column10808"/>
    <tableColumn id="10809" xr3:uid="{C5C5D27D-8EFD-40FD-A24C-1B2D9F3BAAE2}" name="Column10809"/>
    <tableColumn id="10810" xr3:uid="{AE00F8E8-C36C-4479-AF37-6F129B4BE649}" name="Column10810"/>
    <tableColumn id="10811" xr3:uid="{BD91BFD3-A115-4476-9E0C-4096A2677CDB}" name="Column10811"/>
    <tableColumn id="10812" xr3:uid="{637D229F-D368-4C66-BF9D-4D0481091F1F}" name="Column10812"/>
    <tableColumn id="10813" xr3:uid="{283EC581-606C-4036-BD8D-E31F47A65321}" name="Column10813"/>
    <tableColumn id="10814" xr3:uid="{C41D7BAD-7170-4AAD-B721-303E13001727}" name="Column10814"/>
    <tableColumn id="10815" xr3:uid="{E381E42A-F719-48FB-A865-FA87B41B3A87}" name="Column10815"/>
    <tableColumn id="10816" xr3:uid="{B64B7B86-AD18-4852-9944-AC45F0881BC2}" name="Column10816"/>
    <tableColumn id="10817" xr3:uid="{1AE4970E-E7B0-4FFF-B833-A64D946EF62F}" name="Column10817"/>
    <tableColumn id="10818" xr3:uid="{9625E472-F218-4046-826C-109F839EEC58}" name="Column10818"/>
    <tableColumn id="10819" xr3:uid="{63BE6A92-D336-41C5-9CA5-4CA26B841540}" name="Column10819"/>
    <tableColumn id="10820" xr3:uid="{27A1E7B4-2FD3-41C5-ACA5-7314E26093E3}" name="Column10820"/>
    <tableColumn id="10821" xr3:uid="{90255EFC-2DA4-47E3-A7B0-6688FF345A66}" name="Column10821"/>
    <tableColumn id="10822" xr3:uid="{6E50C446-55B4-4A9A-BCDC-9C72047061C9}" name="Column10822"/>
    <tableColumn id="10823" xr3:uid="{5B97584D-B56F-496A-B0C9-7C03B2C063CC}" name="Column10823"/>
    <tableColumn id="10824" xr3:uid="{CDD5F48F-AD31-4A23-BE66-9E7AC4EAC28A}" name="Column10824"/>
    <tableColumn id="10825" xr3:uid="{10E152EF-C074-4410-91E3-B7732D7C5985}" name="Column10825"/>
    <tableColumn id="10826" xr3:uid="{C13AD7EA-5717-47E0-801E-96B475255854}" name="Column10826"/>
    <tableColumn id="10827" xr3:uid="{3D749137-BFFA-46DA-A63B-059BF359C80F}" name="Column10827"/>
    <tableColumn id="10828" xr3:uid="{F612ED6D-2FB4-4146-A92A-37ACBD8247D7}" name="Column10828"/>
    <tableColumn id="10829" xr3:uid="{3C7FEAF7-EA32-4D23-BA7F-143E76D1725F}" name="Column10829"/>
    <tableColumn id="10830" xr3:uid="{4D08C283-37D7-4768-BC18-A1424F1D16AB}" name="Column10830"/>
    <tableColumn id="10831" xr3:uid="{AE8FA4FD-CD79-4C98-BF43-4B5515CCDE02}" name="Column10831"/>
    <tableColumn id="10832" xr3:uid="{AEE9493A-58E7-4207-9D1B-603214C5CB0A}" name="Column10832"/>
    <tableColumn id="10833" xr3:uid="{6DAAEFD6-A372-4379-8740-9C5FF0F107E3}" name="Column10833"/>
    <tableColumn id="10834" xr3:uid="{A71FEC0D-CBC3-487E-AC2A-4D92F143C255}" name="Column10834"/>
    <tableColumn id="10835" xr3:uid="{99B713BA-CBEC-42D1-853B-A7B4A5B4D443}" name="Column10835"/>
    <tableColumn id="10836" xr3:uid="{8ADB6A3C-068F-4470-AC61-D822A947A86B}" name="Column10836"/>
    <tableColumn id="10837" xr3:uid="{2225053E-FAD1-43F7-83F0-692E2C080C3E}" name="Column10837"/>
    <tableColumn id="10838" xr3:uid="{4CEA1D58-0C51-4EE4-83AE-9E21A9C71C23}" name="Column10838"/>
    <tableColumn id="10839" xr3:uid="{D8D64C80-0F8B-4FC5-A7CC-3094CDC363FA}" name="Column10839"/>
    <tableColumn id="10840" xr3:uid="{A45D8E90-F01E-4077-8523-EBD41A1377CC}" name="Column10840"/>
    <tableColumn id="10841" xr3:uid="{9E26F128-AC93-49D2-A336-7352CBC607A3}" name="Column10841"/>
    <tableColumn id="10842" xr3:uid="{C820FCB8-6219-455E-8CC1-73F7CB962DE1}" name="Column10842"/>
    <tableColumn id="10843" xr3:uid="{A2582AE9-B8F8-4A92-A929-FA99963B508F}" name="Column10843"/>
    <tableColumn id="10844" xr3:uid="{1D399EA6-0E0B-4551-BC45-EDA3971FE14E}" name="Column10844"/>
    <tableColumn id="10845" xr3:uid="{23900766-FE06-4189-8E11-F877DC793579}" name="Column10845"/>
    <tableColumn id="10846" xr3:uid="{8576F8D0-5895-4A87-9B6F-16C6652B7F7C}" name="Column10846"/>
    <tableColumn id="10847" xr3:uid="{A859086D-F371-43E8-B764-ACCAA96388C3}" name="Column10847"/>
    <tableColumn id="10848" xr3:uid="{D162D42A-56EF-4F55-B872-4AF58C3D3E0F}" name="Column10848"/>
    <tableColumn id="10849" xr3:uid="{245F68A8-8939-4A97-8302-45E94395B668}" name="Column10849"/>
    <tableColumn id="10850" xr3:uid="{68FB8FB5-8821-45DF-8A06-508451E56F09}" name="Column10850"/>
    <tableColumn id="10851" xr3:uid="{EA12D1D5-CAA5-43E3-A02C-F3BD1FEEDDA1}" name="Column10851"/>
    <tableColumn id="10852" xr3:uid="{3EC82686-B1FE-4673-8925-6B9CB5E3FDAC}" name="Column10852"/>
    <tableColumn id="10853" xr3:uid="{C62E99E9-236F-42DA-A2CB-4C48C7357621}" name="Column10853"/>
    <tableColumn id="10854" xr3:uid="{C5A9F4DD-FC34-48A5-81A7-89315A1BBD98}" name="Column10854"/>
    <tableColumn id="10855" xr3:uid="{37ABDC75-B68C-4FB4-AF8A-531C9CC54FB4}" name="Column10855"/>
    <tableColumn id="10856" xr3:uid="{4703EF4D-AABE-4E8D-B17D-4C00726132A3}" name="Column10856"/>
    <tableColumn id="10857" xr3:uid="{21D7DFF8-CB6E-4294-994D-F3B8016D6A6D}" name="Column10857"/>
    <tableColumn id="10858" xr3:uid="{05D8F756-7CFF-47F6-ADE5-E33C67D9BAB9}" name="Column10858"/>
    <tableColumn id="10859" xr3:uid="{FE497773-C20E-4A11-BF51-F040174FF4C1}" name="Column10859"/>
    <tableColumn id="10860" xr3:uid="{CF6A33A0-40F3-4246-9655-1EE2C34366D3}" name="Column10860"/>
    <tableColumn id="10861" xr3:uid="{F65AEBF1-D423-4DCB-9290-5C0636751F95}" name="Column10861"/>
    <tableColumn id="10862" xr3:uid="{C6018997-138B-4EBE-9012-C2735D3786A1}" name="Column10862"/>
    <tableColumn id="10863" xr3:uid="{313D0D7D-A5C5-4526-8063-DBAC983D6025}" name="Column10863"/>
    <tableColumn id="10864" xr3:uid="{A1AC7594-1458-4DFC-9893-F16E1E45D09B}" name="Column10864"/>
    <tableColumn id="10865" xr3:uid="{0C8BE2A9-32DD-4CF3-8663-D4F832DC4AC9}" name="Column10865"/>
    <tableColumn id="10866" xr3:uid="{6073CA3F-4EB0-484E-AF59-EC9D81130D00}" name="Column10866"/>
    <tableColumn id="10867" xr3:uid="{8DE22B9A-299D-422E-BBA0-CE3D12F8E935}" name="Column10867"/>
    <tableColumn id="10868" xr3:uid="{EB32DFB2-D543-4699-A82C-430B3A1217F8}" name="Column10868"/>
    <tableColumn id="10869" xr3:uid="{D71001B0-C123-4714-9EF3-E5C0D1C1E13A}" name="Column10869"/>
    <tableColumn id="10870" xr3:uid="{58321534-EF39-4FB8-A8AE-6E48721ED86F}" name="Column10870"/>
    <tableColumn id="10871" xr3:uid="{307070EE-D3F8-4F80-8489-874314CB597E}" name="Column10871"/>
    <tableColumn id="10872" xr3:uid="{037BBF22-BB50-4E72-8082-9EC1481145D2}" name="Column10872"/>
    <tableColumn id="10873" xr3:uid="{A33BBE20-8738-4A57-9D49-CB9FAA205E7B}" name="Column10873"/>
    <tableColumn id="10874" xr3:uid="{320C3C62-0117-4639-874B-5B9F7BA5FA03}" name="Column10874"/>
    <tableColumn id="10875" xr3:uid="{FA333105-A87A-4281-B600-0141ED8EF9BE}" name="Column10875"/>
    <tableColumn id="10876" xr3:uid="{B67ED02F-A5E8-4CD2-838A-C3C1D64AEC2D}" name="Column10876"/>
    <tableColumn id="10877" xr3:uid="{CFFB1152-150F-4DDA-BFC9-A3C0D2185FE7}" name="Column10877"/>
    <tableColumn id="10878" xr3:uid="{22E12BE4-7D08-4A5B-9D87-C042CED5558F}" name="Column10878"/>
    <tableColumn id="10879" xr3:uid="{504B4A49-148D-4480-83E5-E60D83BCDEFE}" name="Column10879"/>
    <tableColumn id="10880" xr3:uid="{D055ADED-6BDA-4C50-80E7-872F6C5B1B1E}" name="Column10880"/>
    <tableColumn id="10881" xr3:uid="{EF237DAC-83AF-4F2B-8DC8-ECF353700360}" name="Column10881"/>
    <tableColumn id="10882" xr3:uid="{E84FE3EF-9A54-4C56-8223-5E69016C66DB}" name="Column10882"/>
    <tableColumn id="10883" xr3:uid="{0165EE8B-0B63-4631-BDCE-47CCBD14D7DA}" name="Column10883"/>
    <tableColumn id="10884" xr3:uid="{E2EDC982-7550-4131-ACC0-D104DEDEB8D4}" name="Column10884"/>
    <tableColumn id="10885" xr3:uid="{88229293-95C2-47E6-ABC9-C7D7F78D09AA}" name="Column10885"/>
    <tableColumn id="10886" xr3:uid="{4D169F7C-5E65-4E44-B1B3-BFA5F7D4D2BB}" name="Column10886"/>
    <tableColumn id="10887" xr3:uid="{A92FEB56-A316-4F6F-A701-E7A9750A178A}" name="Column10887"/>
    <tableColumn id="10888" xr3:uid="{99867F7C-F441-4EED-8F14-D8DBF34BF5FF}" name="Column10888"/>
    <tableColumn id="10889" xr3:uid="{54A7A275-A83A-4366-9593-32F3D8251780}" name="Column10889"/>
    <tableColumn id="10890" xr3:uid="{8B31CED8-EC12-4D6C-AD30-3223969258CD}" name="Column10890"/>
    <tableColumn id="10891" xr3:uid="{7F80BB2A-7681-4C68-B84B-12D59AAC525E}" name="Column10891"/>
    <tableColumn id="10892" xr3:uid="{A4AD75D9-156F-4DCC-9F6B-53340693C17C}" name="Column10892"/>
    <tableColumn id="10893" xr3:uid="{1ADE6076-C4A4-4E50-BDA5-0D1A9AA9605D}" name="Column10893"/>
    <tableColumn id="10894" xr3:uid="{0CAB2125-130F-4FE7-9C32-DDB1076CD5F6}" name="Column10894"/>
    <tableColumn id="10895" xr3:uid="{49E9C263-1899-47C5-8EA4-9243C3AEE34A}" name="Column10895"/>
    <tableColumn id="10896" xr3:uid="{CF001B46-D209-4EBF-84FA-CB80A7273CEF}" name="Column10896"/>
    <tableColumn id="10897" xr3:uid="{C49596BF-C0A5-4F13-83E1-E2BF2F66DB03}" name="Column10897"/>
    <tableColumn id="10898" xr3:uid="{FACAF81A-1CD2-4C25-9FC9-DAE5CC687830}" name="Column10898"/>
    <tableColumn id="10899" xr3:uid="{7AA82F3D-F70F-4DBE-878E-3E72682767B5}" name="Column10899"/>
    <tableColumn id="10900" xr3:uid="{13DD51A1-5E46-4EC2-83D9-4146BFC838DE}" name="Column10900"/>
    <tableColumn id="10901" xr3:uid="{CB8885E9-0979-427D-9DD9-16E28ADCC309}" name="Column10901"/>
    <tableColumn id="10902" xr3:uid="{100D0655-1A17-4027-A70C-E00D7FFE00F8}" name="Column10902"/>
    <tableColumn id="10903" xr3:uid="{AC53876B-75D0-426F-BCCA-8ED343D0C6DD}" name="Column10903"/>
    <tableColumn id="10904" xr3:uid="{0F079D5B-A6F9-493F-BDF4-32F442251399}" name="Column10904"/>
    <tableColumn id="10905" xr3:uid="{C8FA78E0-B8F7-4D0F-B3F7-4B1C3A6CE8F5}" name="Column10905"/>
    <tableColumn id="10906" xr3:uid="{BD645D46-DCD1-457E-8526-40E6E57E04F3}" name="Column10906"/>
    <tableColumn id="10907" xr3:uid="{41CBD6C2-EC9B-4E02-B9AF-C0CD42D3F448}" name="Column10907"/>
    <tableColumn id="10908" xr3:uid="{A66DD870-7849-4F02-9B83-F62EBC80F027}" name="Column10908"/>
    <tableColumn id="10909" xr3:uid="{7E58AD21-6E6E-4482-A745-C462C06F35D2}" name="Column10909"/>
    <tableColumn id="10910" xr3:uid="{37231F7B-D780-45B8-9595-791BA647471C}" name="Column10910"/>
    <tableColumn id="10911" xr3:uid="{19E23A25-A814-4A4A-91B7-81F5F96615B5}" name="Column10911"/>
    <tableColumn id="10912" xr3:uid="{A04B1045-E517-4DAA-98A4-FEFB73728200}" name="Column10912"/>
    <tableColumn id="10913" xr3:uid="{27ED570B-3625-4079-9DEA-161E9977F875}" name="Column10913"/>
    <tableColumn id="10914" xr3:uid="{3881D195-CBAF-4594-99E1-6621AEF845F1}" name="Column10914"/>
    <tableColumn id="10915" xr3:uid="{0431F221-29F8-4AEB-A4FA-FB33B673B661}" name="Column10915"/>
    <tableColumn id="10916" xr3:uid="{3CCEAEF6-C566-4327-90FB-FE27D4A184A9}" name="Column10916"/>
    <tableColumn id="10917" xr3:uid="{6ACB92B6-2B94-4DD0-85FB-E5800968AB0C}" name="Column10917"/>
    <tableColumn id="10918" xr3:uid="{3035C813-9C50-444A-9391-BF35A75D6C63}" name="Column10918"/>
    <tableColumn id="10919" xr3:uid="{0BA0504F-C32F-42A1-AAC6-003D352AEDB0}" name="Column10919"/>
    <tableColumn id="10920" xr3:uid="{51900013-D152-4925-8512-5933CA59F637}" name="Column10920"/>
    <tableColumn id="10921" xr3:uid="{AC197E1C-F7DA-46AC-9FED-6E421D35EEE1}" name="Column10921"/>
    <tableColumn id="10922" xr3:uid="{B6AB76B5-B204-4060-B9F5-9B8FAB0F23A8}" name="Column10922"/>
    <tableColumn id="10923" xr3:uid="{7D3097CF-6738-4317-80FC-B913B86A1318}" name="Column10923"/>
    <tableColumn id="10924" xr3:uid="{EAF0F70D-895D-4D38-BD4B-6B63CA76B535}" name="Column10924"/>
    <tableColumn id="10925" xr3:uid="{70F1DEA4-D36E-4D86-85A0-622F1AB1AF5E}" name="Column10925"/>
    <tableColumn id="10926" xr3:uid="{471EE971-0A77-455B-9FC2-63820DBF63DA}" name="Column10926"/>
    <tableColumn id="10927" xr3:uid="{6FFBC43F-0D57-4AA8-8B15-0B008E61E2F6}" name="Column10927"/>
    <tableColumn id="10928" xr3:uid="{DD10B08C-81BB-4607-B06E-2616F4CA47F9}" name="Column10928"/>
    <tableColumn id="10929" xr3:uid="{CE85EF17-E4E0-490C-933E-C33ED76D8A58}" name="Column10929"/>
    <tableColumn id="10930" xr3:uid="{0942DC08-98C6-4E1F-9B5F-559CD086C84F}" name="Column10930"/>
    <tableColumn id="10931" xr3:uid="{96C224DE-BEDD-4BB9-AEEC-E2F5B09223A1}" name="Column10931"/>
    <tableColumn id="10932" xr3:uid="{A10DA8C8-FF3E-44E2-910E-E317AB7E9FFE}" name="Column10932"/>
    <tableColumn id="10933" xr3:uid="{629EF2F5-A6BB-44C2-8EAF-84655B2C3029}" name="Column10933"/>
    <tableColumn id="10934" xr3:uid="{E2BCA72F-93A6-4EB2-BCCB-611664FD57FE}" name="Column10934"/>
    <tableColumn id="10935" xr3:uid="{A6A21BFD-4CA9-4E1F-9F63-BD51EC6FA374}" name="Column10935"/>
    <tableColumn id="10936" xr3:uid="{D7803917-91D7-4ECC-AD28-3256DC1D6692}" name="Column10936"/>
    <tableColumn id="10937" xr3:uid="{BB4301D2-A9C3-42F0-8D7E-23EAC8B3625A}" name="Column10937"/>
    <tableColumn id="10938" xr3:uid="{47CA9331-3451-46D1-8EBC-584BFCAA6649}" name="Column10938"/>
    <tableColumn id="10939" xr3:uid="{0419A544-90ED-44B6-8588-8E1454A5F91F}" name="Column10939"/>
    <tableColumn id="10940" xr3:uid="{0342FBB5-8482-471C-B370-625034D4E93D}" name="Column10940"/>
    <tableColumn id="10941" xr3:uid="{35975C00-7398-4C81-ABF9-3177A589095C}" name="Column10941"/>
    <tableColumn id="10942" xr3:uid="{8C202140-4A83-43E2-A883-CDF9ADB3B732}" name="Column10942"/>
    <tableColumn id="10943" xr3:uid="{083BB12F-9D4E-41E9-B479-32926842E51D}" name="Column10943"/>
    <tableColumn id="10944" xr3:uid="{D1B50C56-5B75-48F1-86AC-2F09D08DFD34}" name="Column10944"/>
    <tableColumn id="10945" xr3:uid="{B5BC57FC-14C3-498D-B04B-2E1D34230CA7}" name="Column10945"/>
    <tableColumn id="10946" xr3:uid="{CE5FF616-9E89-4521-91EE-A54BF8227B33}" name="Column10946"/>
    <tableColumn id="10947" xr3:uid="{AC9987CB-AC7D-4076-BF1E-CFD412C75D99}" name="Column10947"/>
    <tableColumn id="10948" xr3:uid="{4ED5FFD3-5247-4AF6-B469-54903C0B7D59}" name="Column10948"/>
    <tableColumn id="10949" xr3:uid="{78104BF3-ABF4-4C28-A944-3129500C1BE0}" name="Column10949"/>
    <tableColumn id="10950" xr3:uid="{58072404-75D1-40C1-BA1B-A14AC36D3100}" name="Column10950"/>
    <tableColumn id="10951" xr3:uid="{5C13B445-4AB5-47D6-AD42-B81494D7CFC7}" name="Column10951"/>
    <tableColumn id="10952" xr3:uid="{2973C644-D821-4248-8530-D2FCDCACFEE9}" name="Column10952"/>
    <tableColumn id="10953" xr3:uid="{CCD022FC-5CDD-4A3E-9C68-DCF614C0BE47}" name="Column10953"/>
    <tableColumn id="10954" xr3:uid="{3572CB8B-DBE3-462A-A4A6-43AB2E5537CF}" name="Column10954"/>
    <tableColumn id="10955" xr3:uid="{F71FA32A-A0FA-4203-B9B0-C949CAB59C96}" name="Column10955"/>
    <tableColumn id="10956" xr3:uid="{32723F90-810A-4C61-8EA5-643E265A4DDD}" name="Column10956"/>
    <tableColumn id="10957" xr3:uid="{1415AE00-5A7C-4FBA-835E-481459063423}" name="Column10957"/>
    <tableColumn id="10958" xr3:uid="{728E4831-4671-41C0-887F-A205BA53EFCE}" name="Column10958"/>
    <tableColumn id="10959" xr3:uid="{F8E6A35D-AB06-411E-BE89-9E2739B04CCE}" name="Column10959"/>
    <tableColumn id="10960" xr3:uid="{A9B455E0-68DB-481F-A616-EE43AD591428}" name="Column10960"/>
    <tableColumn id="10961" xr3:uid="{A8039A3B-B59F-47FB-B257-01A8ACF67AA8}" name="Column10961"/>
    <tableColumn id="10962" xr3:uid="{2FA63E40-41EA-4A98-A56A-6ED96D9378ED}" name="Column10962"/>
    <tableColumn id="10963" xr3:uid="{0E7D2F61-4A8D-40EE-8526-334E735DDB0B}" name="Column10963"/>
    <tableColumn id="10964" xr3:uid="{28109B90-4E73-4E70-B9E4-D4213DE2006A}" name="Column10964"/>
    <tableColumn id="10965" xr3:uid="{1DE89159-966F-47B1-9A15-DF314A63A51B}" name="Column10965"/>
    <tableColumn id="10966" xr3:uid="{EECE1276-C620-4097-8B56-DCBC79942C01}" name="Column10966"/>
    <tableColumn id="10967" xr3:uid="{7453EFF1-5B6F-4DCF-8D8F-7C65974A5AE6}" name="Column10967"/>
    <tableColumn id="10968" xr3:uid="{7E5CDD67-E7BB-4EEC-ABBC-6EFC896190E7}" name="Column10968"/>
    <tableColumn id="10969" xr3:uid="{4D5FE417-4D63-4E22-ABF0-5C24FC90042E}" name="Column10969"/>
    <tableColumn id="10970" xr3:uid="{A6151788-A53C-457B-8F07-C0A8F2A39BBE}" name="Column10970"/>
    <tableColumn id="10971" xr3:uid="{AB51D142-58FE-4906-8C36-30F0034EB90B}" name="Column10971"/>
    <tableColumn id="10972" xr3:uid="{D757E085-C0FF-4BFC-87F5-5D574CB7FE5C}" name="Column10972"/>
    <tableColumn id="10973" xr3:uid="{FB637895-5DF3-477F-9D3A-645E7ED54921}" name="Column10973"/>
    <tableColumn id="10974" xr3:uid="{B76ACBE4-7BAF-4C7C-8489-3B540E1F9B0F}" name="Column10974"/>
    <tableColumn id="10975" xr3:uid="{F0A72D48-2D78-4DFD-BAD5-9A0374AC64D8}" name="Column10975"/>
    <tableColumn id="10976" xr3:uid="{8DFEFBEC-7561-4DE5-9B43-0D693DDAA9CC}" name="Column10976"/>
    <tableColumn id="10977" xr3:uid="{DF291A76-FB24-41C4-A297-CD3D1AFA9197}" name="Column10977"/>
    <tableColumn id="10978" xr3:uid="{D95A4492-63F6-4D70-8599-FE490D7F1307}" name="Column10978"/>
    <tableColumn id="10979" xr3:uid="{152373CA-2D41-4511-B880-CC9B23DF3DE5}" name="Column10979"/>
    <tableColumn id="10980" xr3:uid="{93EC309C-6FE7-4869-954B-4EB8E75A8C1E}" name="Column10980"/>
    <tableColumn id="10981" xr3:uid="{5A9FFFDD-BFDA-47DC-80BF-62F377EBCF0C}" name="Column10981"/>
    <tableColumn id="10982" xr3:uid="{303A9100-124A-4A72-B812-4DEF97247329}" name="Column10982"/>
    <tableColumn id="10983" xr3:uid="{2291811E-A2D4-44B7-99F7-2E9D4D26FEB3}" name="Column10983"/>
    <tableColumn id="10984" xr3:uid="{90ED707F-CF7B-417C-8B78-9F5022213FF9}" name="Column10984"/>
    <tableColumn id="10985" xr3:uid="{674433AD-DEC8-4EFF-83B1-4DF897F0DCDD}" name="Column10985"/>
    <tableColumn id="10986" xr3:uid="{5D740834-3956-4E25-AA00-44B00E297007}" name="Column10986"/>
    <tableColumn id="10987" xr3:uid="{BF5FF526-EC64-4F55-B314-961B7A453C63}" name="Column10987"/>
    <tableColumn id="10988" xr3:uid="{2BA9ED0D-212F-4B7D-9202-D15B58345320}" name="Column10988"/>
    <tableColumn id="10989" xr3:uid="{09386CAA-B5DC-4D94-9DCD-D8D71AD31DFE}" name="Column10989"/>
    <tableColumn id="10990" xr3:uid="{C88D5A5C-F326-4601-976F-C6322398C4AE}" name="Column10990"/>
    <tableColumn id="10991" xr3:uid="{A927E735-0298-471F-AF03-75AA9F899DD9}" name="Column10991"/>
    <tableColumn id="10992" xr3:uid="{CD982EC9-DE68-4D82-9F25-C6E808516498}" name="Column10992"/>
    <tableColumn id="10993" xr3:uid="{A10D7B68-1314-4AD8-991C-9D7526F9C54B}" name="Column10993"/>
    <tableColumn id="10994" xr3:uid="{58D4DC77-D916-4C96-9027-B1AB38BF0F1B}" name="Column10994"/>
    <tableColumn id="10995" xr3:uid="{52D991D7-FC78-48EA-A2E2-98DF6EEF9F54}" name="Column10995"/>
    <tableColumn id="10996" xr3:uid="{2ADD46A2-724C-450E-9A34-966EC218B5B9}" name="Column10996"/>
    <tableColumn id="10997" xr3:uid="{0AE2E1C9-6D6A-42EE-B31D-A91B782BD772}" name="Column10997"/>
    <tableColumn id="10998" xr3:uid="{D4D81241-4425-4793-81E1-A716F55F9574}" name="Column10998"/>
    <tableColumn id="10999" xr3:uid="{02995F4D-FAE6-4DC6-A803-BB762FE065D3}" name="Column10999"/>
    <tableColumn id="11000" xr3:uid="{5952C2DC-D776-493B-835D-38312B0EF704}" name="Column11000"/>
    <tableColumn id="11001" xr3:uid="{20FAD663-20D4-4D42-9751-42886DFD5B58}" name="Column11001"/>
    <tableColumn id="11002" xr3:uid="{8C04C643-016D-41ED-8D26-32D2AB2E1D98}" name="Column11002"/>
    <tableColumn id="11003" xr3:uid="{754F2233-9819-40B0-9CC4-5A4B35ABC159}" name="Column11003"/>
    <tableColumn id="11004" xr3:uid="{C09B8F61-D15D-4D03-A0CA-77F155C193FA}" name="Column11004"/>
    <tableColumn id="11005" xr3:uid="{98E47303-D0BC-4BD8-8AB1-C7965E963996}" name="Column11005"/>
    <tableColumn id="11006" xr3:uid="{8820CC11-60BC-44FC-9A21-27628F498759}" name="Column11006"/>
    <tableColumn id="11007" xr3:uid="{CB46291A-926D-4511-A49A-6CBF25433F4E}" name="Column11007"/>
    <tableColumn id="11008" xr3:uid="{9F823106-F48E-4ED5-BAE4-1DC171B431C2}" name="Column11008"/>
    <tableColumn id="11009" xr3:uid="{7BA792E6-65C5-4F21-87D4-E722DEF7B992}" name="Column11009"/>
    <tableColumn id="11010" xr3:uid="{4BEFBAFF-7CE8-4A84-A12B-50028EDC67EF}" name="Column11010"/>
    <tableColumn id="11011" xr3:uid="{CF7B7FCE-74E1-4ED2-94FB-B12A5D0DCA31}" name="Column11011"/>
    <tableColumn id="11012" xr3:uid="{3ED08898-690C-4177-BFCF-51AB07986592}" name="Column11012"/>
    <tableColumn id="11013" xr3:uid="{06FAAC5C-D35C-4510-BF1C-94A62C5163B6}" name="Column11013"/>
    <tableColumn id="11014" xr3:uid="{22815795-4FC0-4A3B-A979-58804E4D156D}" name="Column11014"/>
    <tableColumn id="11015" xr3:uid="{AAC5DA79-1ADB-4815-9CB4-BD92F636C631}" name="Column11015"/>
    <tableColumn id="11016" xr3:uid="{DD7F87F9-A4FB-4630-B183-0AD36F4325E2}" name="Column11016"/>
    <tableColumn id="11017" xr3:uid="{3007076F-D2C4-4CB7-9587-C829222DCC56}" name="Column11017"/>
    <tableColumn id="11018" xr3:uid="{4752BE1E-35B2-4C12-A3CD-C35A00CFF49F}" name="Column11018"/>
    <tableColumn id="11019" xr3:uid="{C2CAD11B-CDDD-4383-A5D5-A173333E94C6}" name="Column11019"/>
    <tableColumn id="11020" xr3:uid="{0A870F30-A937-4A97-94EA-3E8F935196F8}" name="Column11020"/>
    <tableColumn id="11021" xr3:uid="{D4278CD9-BF94-4EA9-A5D4-AE393049FED9}" name="Column11021"/>
    <tableColumn id="11022" xr3:uid="{02EDA88D-20EA-445C-8978-3825DB4594A3}" name="Column11022"/>
    <tableColumn id="11023" xr3:uid="{881280F8-457E-4EDD-908A-F9764A1F2EDC}" name="Column11023"/>
    <tableColumn id="11024" xr3:uid="{C41A3404-1B32-424D-B76B-FFDAEC9B312A}" name="Column11024"/>
    <tableColumn id="11025" xr3:uid="{4CD0C269-A267-4024-8143-06A9605F5D52}" name="Column11025"/>
    <tableColumn id="11026" xr3:uid="{0DCCBE92-6F50-419D-AB06-B990B3447EB7}" name="Column11026"/>
    <tableColumn id="11027" xr3:uid="{E530CBB9-F369-4D81-9F17-D660DDB036B9}" name="Column11027"/>
    <tableColumn id="11028" xr3:uid="{F14D7805-0F68-437F-9245-5820C200ABF0}" name="Column11028"/>
    <tableColumn id="11029" xr3:uid="{C05B59AC-F6CC-47C5-A376-31FB0ABCD273}" name="Column11029"/>
    <tableColumn id="11030" xr3:uid="{3AB213F0-608E-4060-AA49-184F5CBD7882}" name="Column11030"/>
    <tableColumn id="11031" xr3:uid="{40412C65-0B8D-45BC-9700-9AB84774BDF3}" name="Column11031"/>
    <tableColumn id="11032" xr3:uid="{298C2BB2-985B-4FC7-9133-6E8CFB2044D0}" name="Column11032"/>
    <tableColumn id="11033" xr3:uid="{B64D23C3-D21A-4253-8FF6-5A013AE46F39}" name="Column11033"/>
    <tableColumn id="11034" xr3:uid="{0F531EC3-3AFE-4886-89B5-52DBA645687E}" name="Column11034"/>
    <tableColumn id="11035" xr3:uid="{A3E117D5-9E27-4962-BE83-AD5E44D5DDB6}" name="Column11035"/>
    <tableColumn id="11036" xr3:uid="{658E6775-CC47-429B-8931-7CBAC8C2CD49}" name="Column11036"/>
    <tableColumn id="11037" xr3:uid="{8220B637-49C4-4FC6-99E7-2124E578F62B}" name="Column11037"/>
    <tableColumn id="11038" xr3:uid="{AF52F4AC-EE33-4209-B7D1-48622AC748DF}" name="Column11038"/>
    <tableColumn id="11039" xr3:uid="{87C57BB0-8111-49C5-989C-527FDE9FC827}" name="Column11039"/>
    <tableColumn id="11040" xr3:uid="{B5E53616-0F8F-4CCC-921C-E5C7AB2C4BB6}" name="Column11040"/>
    <tableColumn id="11041" xr3:uid="{A54EA12B-0627-4FDB-A075-A3A21F93D574}" name="Column11041"/>
    <tableColumn id="11042" xr3:uid="{7789007F-2751-48F0-A6BA-8BE38230E2F2}" name="Column11042"/>
    <tableColumn id="11043" xr3:uid="{22272902-3774-4B8E-80E3-217E20B19597}" name="Column11043"/>
    <tableColumn id="11044" xr3:uid="{00056617-A501-4F88-9EC2-FBFEA74178D4}" name="Column11044"/>
    <tableColumn id="11045" xr3:uid="{A60C3ABD-8D44-4E60-9452-2BAEC19E3B04}" name="Column11045"/>
    <tableColumn id="11046" xr3:uid="{09716A14-DE17-443D-8133-4B0916992292}" name="Column11046"/>
    <tableColumn id="11047" xr3:uid="{195EC320-4B61-4D73-93DF-7A560D8DE48C}" name="Column11047"/>
    <tableColumn id="11048" xr3:uid="{CEAC170D-538F-44BC-84E0-805618D55B39}" name="Column11048"/>
    <tableColumn id="11049" xr3:uid="{4C56F7B8-884C-4DC9-BE4D-A1AF0F62C964}" name="Column11049"/>
    <tableColumn id="11050" xr3:uid="{3E25491C-5604-480A-A000-530A77A88CD3}" name="Column11050"/>
    <tableColumn id="11051" xr3:uid="{749546FC-7E2F-4304-BEA7-4369F4A29035}" name="Column11051"/>
    <tableColumn id="11052" xr3:uid="{397A4BD4-5319-4DF0-8797-1108D4E41E74}" name="Column11052"/>
    <tableColumn id="11053" xr3:uid="{7BD9B45D-9F97-4404-A648-59F160FB0D9B}" name="Column11053"/>
    <tableColumn id="11054" xr3:uid="{2D22F140-B94B-4CF4-94F1-D0C51DADBA41}" name="Column11054"/>
    <tableColumn id="11055" xr3:uid="{21391735-63D9-4EFC-883D-1D0F8A902D4F}" name="Column11055"/>
    <tableColumn id="11056" xr3:uid="{BD53FCF8-745D-44FE-9D6A-470FB084E26C}" name="Column11056"/>
    <tableColumn id="11057" xr3:uid="{B7FEA646-BB58-4C26-A40F-19D4A3627535}" name="Column11057"/>
    <tableColumn id="11058" xr3:uid="{60612C6A-95BD-497C-BDEA-6B2D6220332E}" name="Column11058"/>
    <tableColumn id="11059" xr3:uid="{CD34EA2D-C5B6-44CB-939C-F588A66B8560}" name="Column11059"/>
    <tableColumn id="11060" xr3:uid="{6C3D06F6-7046-4CD6-BE62-E81DCEB3FD40}" name="Column11060"/>
    <tableColumn id="11061" xr3:uid="{34314854-0B85-458D-9C82-E6727938EB8D}" name="Column11061"/>
    <tableColumn id="11062" xr3:uid="{82F3634A-50E8-493F-8BC7-AB7229BA8D27}" name="Column11062"/>
    <tableColumn id="11063" xr3:uid="{18A1E551-23F7-42F7-82BE-E3D40E9DD5E3}" name="Column11063"/>
    <tableColumn id="11064" xr3:uid="{771A03A1-6FA5-4D62-AF4F-9FFB4FD14D41}" name="Column11064"/>
    <tableColumn id="11065" xr3:uid="{38923B03-4F86-4B2A-A0F4-266A2DB31BC9}" name="Column11065"/>
    <tableColumn id="11066" xr3:uid="{CD882C38-D6C1-4261-8462-CE6569AE7221}" name="Column11066"/>
    <tableColumn id="11067" xr3:uid="{7A9070E7-ADCB-420E-8827-D9BBA2AF82ED}" name="Column11067"/>
    <tableColumn id="11068" xr3:uid="{9D8DCC60-CDAD-4035-84D9-37E8C626220A}" name="Column11068"/>
    <tableColumn id="11069" xr3:uid="{2BD60554-7B00-4A5D-B23B-FC938F8B6D10}" name="Column11069"/>
    <tableColumn id="11070" xr3:uid="{8DD4E69D-6504-4E34-989C-FDF3E6718683}" name="Column11070"/>
    <tableColumn id="11071" xr3:uid="{DC69956C-F366-4E34-B0F6-6BE4739F1F77}" name="Column11071"/>
    <tableColumn id="11072" xr3:uid="{D241B63D-2738-4BF3-8E5C-8181E6250AAF}" name="Column11072"/>
    <tableColumn id="11073" xr3:uid="{C8938037-D29D-4BC9-B06A-109BFD7A4576}" name="Column11073"/>
    <tableColumn id="11074" xr3:uid="{16C6DC22-35BD-4D87-8F88-57673EFD2606}" name="Column11074"/>
    <tableColumn id="11075" xr3:uid="{C54FD16D-E72D-4703-BA4F-2EBCF4B13D5B}" name="Column11075"/>
    <tableColumn id="11076" xr3:uid="{C0035C2C-4AED-4B4A-B32E-6E78A0D82583}" name="Column11076"/>
    <tableColumn id="11077" xr3:uid="{EE78BCBB-1C6D-4571-AF44-58F3BDF37843}" name="Column11077"/>
    <tableColumn id="11078" xr3:uid="{0F55473A-8274-45B9-BDD5-140667A8CDE0}" name="Column11078"/>
    <tableColumn id="11079" xr3:uid="{562394A1-2882-4A78-9D73-A60F5D28EED9}" name="Column11079"/>
    <tableColumn id="11080" xr3:uid="{9003CDD3-6544-4E77-AA84-92AFAD07C91A}" name="Column11080"/>
    <tableColumn id="11081" xr3:uid="{6C3BB7FA-160D-4989-ACAB-8D232E13AD51}" name="Column11081"/>
    <tableColumn id="11082" xr3:uid="{27BE5B3B-51AB-4770-8678-72EF692EABF8}" name="Column11082"/>
    <tableColumn id="11083" xr3:uid="{F5BFFC64-C55C-4A17-88A5-0B99C0E6D8CA}" name="Column11083"/>
    <tableColumn id="11084" xr3:uid="{569237A1-026B-42B4-9BF8-EEC9457ADF1D}" name="Column11084"/>
    <tableColumn id="11085" xr3:uid="{C5C1ABC5-9D32-46D3-BEF0-4573684985C8}" name="Column11085"/>
    <tableColumn id="11086" xr3:uid="{DF895CC0-0F4A-4234-B391-C37AB42DAEB9}" name="Column11086"/>
    <tableColumn id="11087" xr3:uid="{E98C9115-24E8-4E56-8E48-34D86469AE91}" name="Column11087"/>
    <tableColumn id="11088" xr3:uid="{87B3CC05-3C28-42CE-9ED2-F991ED59F698}" name="Column11088"/>
    <tableColumn id="11089" xr3:uid="{9268285F-2F57-4E0E-B364-609249DCEC54}" name="Column11089"/>
    <tableColumn id="11090" xr3:uid="{71B4D5CA-6219-4299-A9DE-CFF3CF5DF6CD}" name="Column11090"/>
    <tableColumn id="11091" xr3:uid="{C4F25EAB-8948-4C65-BBCE-554ECB8D349B}" name="Column11091"/>
    <tableColumn id="11092" xr3:uid="{C97569C3-46C5-4A0F-AD35-958079D63A33}" name="Column11092"/>
    <tableColumn id="11093" xr3:uid="{6E292F33-A2B8-486E-B28E-AA9BE6629BDC}" name="Column11093"/>
    <tableColumn id="11094" xr3:uid="{D799D1D4-CD07-4828-A3AD-2C059204E8F4}" name="Column11094"/>
    <tableColumn id="11095" xr3:uid="{F85E13AC-44FF-4941-B793-EDEEA300D9D5}" name="Column11095"/>
    <tableColumn id="11096" xr3:uid="{457504EF-294A-4EDE-9417-902C4B1B3DF8}" name="Column11096"/>
    <tableColumn id="11097" xr3:uid="{81A4A8AA-3C71-4E70-9592-657C20B33439}" name="Column11097"/>
    <tableColumn id="11098" xr3:uid="{85B352B3-EB07-4361-A930-E1831E59B09F}" name="Column11098"/>
    <tableColumn id="11099" xr3:uid="{0CF69661-0A03-4E98-810D-763FF5DA45B4}" name="Column11099"/>
    <tableColumn id="11100" xr3:uid="{A219D71A-13C3-418B-8B30-D202768BF618}" name="Column11100"/>
    <tableColumn id="11101" xr3:uid="{3C7E7C81-AFB7-4797-B188-12FD184917A9}" name="Column11101"/>
    <tableColumn id="11102" xr3:uid="{F2C39CC9-F599-477D-A793-999357734C08}" name="Column11102"/>
    <tableColumn id="11103" xr3:uid="{693759EB-745A-4D15-AB2D-4E88DDABC36E}" name="Column11103"/>
    <tableColumn id="11104" xr3:uid="{C423CDBD-881A-490F-BDDC-BAEB72889532}" name="Column11104"/>
    <tableColumn id="11105" xr3:uid="{BAE0C0B8-5F82-44AE-ADA8-D8F829165A01}" name="Column11105"/>
    <tableColumn id="11106" xr3:uid="{C78A5293-2935-4934-BE0C-809A16E382D3}" name="Column11106"/>
    <tableColumn id="11107" xr3:uid="{AEEF06A2-6E67-4421-B24C-08875FC8B86A}" name="Column11107"/>
    <tableColumn id="11108" xr3:uid="{3671FDE3-F53D-42DE-B782-7116FCA6BCC8}" name="Column11108"/>
    <tableColumn id="11109" xr3:uid="{48E68BCB-5D7C-4397-8924-AAF828175FF0}" name="Column11109"/>
    <tableColumn id="11110" xr3:uid="{59CFDCB9-3A00-4171-8F1F-218932E19227}" name="Column11110"/>
    <tableColumn id="11111" xr3:uid="{DF3CCC0A-2A09-42C5-A491-7D0BAFFD7A6E}" name="Column11111"/>
    <tableColumn id="11112" xr3:uid="{A84321FE-815E-452B-933F-7FAA90766E7B}" name="Column11112"/>
    <tableColumn id="11113" xr3:uid="{3FAD4E51-85EE-4BDE-9E5B-0DA1CB13AF49}" name="Column11113"/>
    <tableColumn id="11114" xr3:uid="{FBBCD809-73B1-4F3E-A6FC-9FF7236F639A}" name="Column11114"/>
    <tableColumn id="11115" xr3:uid="{3DE265BC-94B8-43CA-BF9E-9576849BAFBE}" name="Column11115"/>
    <tableColumn id="11116" xr3:uid="{D3F3D82C-40F5-4C6C-8D8D-24F586909C5D}" name="Column11116"/>
    <tableColumn id="11117" xr3:uid="{A170271F-2A23-47E8-9DCD-650010E3BC0F}" name="Column11117"/>
    <tableColumn id="11118" xr3:uid="{C625253E-A211-4FE3-9686-DEE99C26079C}" name="Column11118"/>
    <tableColumn id="11119" xr3:uid="{37743AC8-A876-4615-840F-A1A50FA5EFCC}" name="Column11119"/>
    <tableColumn id="11120" xr3:uid="{72D5A661-2789-4526-B303-9266AED75C69}" name="Column11120"/>
    <tableColumn id="11121" xr3:uid="{D9FFEC89-70E2-42A6-AAEA-BA3C1F576C83}" name="Column11121"/>
    <tableColumn id="11122" xr3:uid="{97D7AA91-873E-41B0-AA26-1393F3227B13}" name="Column11122"/>
    <tableColumn id="11123" xr3:uid="{EA729D7C-3C39-4B73-9C27-AD866DD9AACF}" name="Column11123"/>
    <tableColumn id="11124" xr3:uid="{79CDC9E6-69EF-4BBA-80A5-AE0CFE779F5B}" name="Column11124"/>
    <tableColumn id="11125" xr3:uid="{AFB362C4-0F40-452D-8672-8EBA16129218}" name="Column11125"/>
    <tableColumn id="11126" xr3:uid="{BB80E7EC-183F-4B84-B77F-E24DA5F25402}" name="Column11126"/>
    <tableColumn id="11127" xr3:uid="{A8C7C3E8-E56F-4708-BC63-7CF068BFDE30}" name="Column11127"/>
    <tableColumn id="11128" xr3:uid="{BFBF115B-389A-41D4-B1AF-AD80F1C77EF5}" name="Column11128"/>
    <tableColumn id="11129" xr3:uid="{834C5E22-B8C2-4E39-BD87-1EFADF9D7056}" name="Column11129"/>
    <tableColumn id="11130" xr3:uid="{504A511B-B96F-44A7-818B-2C4967E64E10}" name="Column11130"/>
    <tableColumn id="11131" xr3:uid="{06B59DBF-12C7-42B7-8140-F639343C29A5}" name="Column11131"/>
    <tableColumn id="11132" xr3:uid="{609B5CD0-0964-4439-98BE-8E586BC51FCD}" name="Column11132"/>
    <tableColumn id="11133" xr3:uid="{FA554E4E-D7CC-477B-B703-C2881199B78D}" name="Column11133"/>
    <tableColumn id="11134" xr3:uid="{CC101F9E-9016-441F-BB6D-637C1CDAD08E}" name="Column11134"/>
    <tableColumn id="11135" xr3:uid="{1E3CDE44-E920-4B9D-97B4-DDFA1A6E2DAE}" name="Column11135"/>
    <tableColumn id="11136" xr3:uid="{A2CBEAB9-D45F-4DF0-875A-7AE4053CB016}" name="Column11136"/>
    <tableColumn id="11137" xr3:uid="{AA9913E7-938B-4ECC-AE49-63AC8164EDEA}" name="Column11137"/>
    <tableColumn id="11138" xr3:uid="{723E4C51-1A23-4051-9167-ACFAB3A00018}" name="Column11138"/>
    <tableColumn id="11139" xr3:uid="{F6A5EABA-23AB-4C28-B3A8-4A6DDDD13E68}" name="Column11139"/>
    <tableColumn id="11140" xr3:uid="{C12954E7-207B-448F-9E17-EB99CA17DE86}" name="Column11140"/>
    <tableColumn id="11141" xr3:uid="{18F61B86-FACD-4A20-BBCC-2D6762DF2F5E}" name="Column11141"/>
    <tableColumn id="11142" xr3:uid="{F87EFA4C-F7F7-4374-8579-0644810E8B5D}" name="Column11142"/>
    <tableColumn id="11143" xr3:uid="{CBF345E1-6EC6-49F7-A779-8BCCDFB17BBD}" name="Column11143"/>
    <tableColumn id="11144" xr3:uid="{F33E4722-95BE-46BB-8377-CEB4DABEFAFB}" name="Column11144"/>
    <tableColumn id="11145" xr3:uid="{2735E6A5-D88C-4CA1-8F1B-E6ACE684547B}" name="Column11145"/>
    <tableColumn id="11146" xr3:uid="{BD5256E1-A979-41F0-81EF-F32ED27E1885}" name="Column11146"/>
    <tableColumn id="11147" xr3:uid="{4AC6D278-6257-46CF-B4D6-5ABFAD3462DA}" name="Column11147"/>
    <tableColumn id="11148" xr3:uid="{B6C6EB65-CDE9-4319-9848-06E2AED635A2}" name="Column11148"/>
    <tableColumn id="11149" xr3:uid="{66657CE9-41F6-4FBB-9248-B4FE3782D471}" name="Column11149"/>
    <tableColumn id="11150" xr3:uid="{9A9396C1-1C86-47ED-96FB-0F1D2C7B09EC}" name="Column11150"/>
    <tableColumn id="11151" xr3:uid="{8870DAF3-C9AD-4812-8EFB-F3B4A45B3396}" name="Column11151"/>
    <tableColumn id="11152" xr3:uid="{C9C82F46-0387-4BDD-BB6E-2FD676468AF7}" name="Column11152"/>
    <tableColumn id="11153" xr3:uid="{41DC9D9F-A210-44DB-935F-2F647CA58801}" name="Column11153"/>
    <tableColumn id="11154" xr3:uid="{B620EF35-B027-47DC-B76A-147A9D42EE96}" name="Column11154"/>
    <tableColumn id="11155" xr3:uid="{C85E2A42-7ACD-4857-B009-D1F2CE0B5414}" name="Column11155"/>
    <tableColumn id="11156" xr3:uid="{15318364-3933-4BCC-864F-91945E39AC0D}" name="Column11156"/>
    <tableColumn id="11157" xr3:uid="{9D0E755D-052C-485C-B3DB-95B8FCC9974E}" name="Column11157"/>
    <tableColumn id="11158" xr3:uid="{E7FCAF01-1C4C-4351-9BC2-A04E9ACF99A8}" name="Column11158"/>
    <tableColumn id="11159" xr3:uid="{60F70A5F-F3DB-4416-ABEB-D18CE45CAEF3}" name="Column11159"/>
    <tableColumn id="11160" xr3:uid="{6EB658ED-404B-4F34-9F2F-4AAC816DABCC}" name="Column11160"/>
    <tableColumn id="11161" xr3:uid="{15C5B9E2-6B5E-40FE-A5BE-50F4383B7178}" name="Column11161"/>
    <tableColumn id="11162" xr3:uid="{5C752E7E-8E6E-4C4D-BAEE-E45AFC736534}" name="Column11162"/>
    <tableColumn id="11163" xr3:uid="{2B5B02ED-0930-43CA-AF05-17C73DE07D8C}" name="Column11163"/>
    <tableColumn id="11164" xr3:uid="{A3DABB4C-DA3F-4404-9D7B-87E11B4DF789}" name="Column11164"/>
    <tableColumn id="11165" xr3:uid="{ED5D6BBD-7D39-4CF9-BE6D-FF292BCEC236}" name="Column11165"/>
    <tableColumn id="11166" xr3:uid="{168CEE7C-D42E-4EDB-827D-82375E62CE05}" name="Column11166"/>
    <tableColumn id="11167" xr3:uid="{5066CC4B-DD63-40D9-9240-E55EA2F4C96E}" name="Column11167"/>
    <tableColumn id="11168" xr3:uid="{1D7EFA2B-C3E7-4798-938B-6983F7FD27E4}" name="Column11168"/>
    <tableColumn id="11169" xr3:uid="{1CB8DD48-ED4F-467D-A28E-F873D32718F4}" name="Column11169"/>
    <tableColumn id="11170" xr3:uid="{6799D2A7-C8E3-4B40-BEAE-6BBAB2EAD1A8}" name="Column11170"/>
    <tableColumn id="11171" xr3:uid="{60EE3EE5-9D36-4B99-9612-D9F66E850242}" name="Column11171"/>
    <tableColumn id="11172" xr3:uid="{1EE7E2AF-F911-4AA7-8B2B-2931BC70B254}" name="Column11172"/>
    <tableColumn id="11173" xr3:uid="{5A5B1901-7B99-419C-B0F8-6AF90BD9E269}" name="Column11173"/>
    <tableColumn id="11174" xr3:uid="{EF011BD6-6EF3-4AE3-9616-14BB77A24FCF}" name="Column11174"/>
    <tableColumn id="11175" xr3:uid="{D1A23E4A-01D1-4F64-8282-8FD93294379E}" name="Column11175"/>
    <tableColumn id="11176" xr3:uid="{34B55D89-8A74-47E8-A4D3-25FBD79FD8D0}" name="Column11176"/>
    <tableColumn id="11177" xr3:uid="{31A7CE16-F9CB-4113-B1ED-47F9CF606279}" name="Column11177"/>
    <tableColumn id="11178" xr3:uid="{D1246887-6A0B-4DC0-A29F-D97E080E18CD}" name="Column11178"/>
    <tableColumn id="11179" xr3:uid="{E27EE135-17DF-4261-AEFE-3B5AD48D5CFE}" name="Column11179"/>
    <tableColumn id="11180" xr3:uid="{27163BEE-9600-4E07-A83E-B81A68D8F6BA}" name="Column11180"/>
    <tableColumn id="11181" xr3:uid="{C472BAD3-A9BD-408F-B45B-49E04F2683E1}" name="Column11181"/>
    <tableColumn id="11182" xr3:uid="{77E0943A-6E1F-4547-8E68-BA001FF76024}" name="Column11182"/>
    <tableColumn id="11183" xr3:uid="{6C674AB3-725D-4892-A63A-700953D687F0}" name="Column11183"/>
    <tableColumn id="11184" xr3:uid="{E106098E-B106-4879-9AED-0D01AA113305}" name="Column11184"/>
    <tableColumn id="11185" xr3:uid="{6B53A1A6-2EB4-4846-B36F-6069123E5956}" name="Column11185"/>
    <tableColumn id="11186" xr3:uid="{8FA7E0DC-5367-48BA-B579-E8B11C7464DE}" name="Column11186"/>
    <tableColumn id="11187" xr3:uid="{FC05DDA9-2600-43D3-B752-0292AFF02B82}" name="Column11187"/>
    <tableColumn id="11188" xr3:uid="{F2FD1042-51C9-42D0-8ACD-427EA05D9A25}" name="Column11188"/>
    <tableColumn id="11189" xr3:uid="{5E87226B-2F1E-4C78-95F9-11038C7C06B9}" name="Column11189"/>
    <tableColumn id="11190" xr3:uid="{BAFDECEE-4216-4822-8CAE-A4CE2631C36D}" name="Column11190"/>
    <tableColumn id="11191" xr3:uid="{33C720BD-A5D4-4632-ADC9-56BD802EB1C7}" name="Column11191"/>
    <tableColumn id="11192" xr3:uid="{FECA8BA6-61CC-4CAF-9F82-C3962688A741}" name="Column11192"/>
    <tableColumn id="11193" xr3:uid="{80B499E6-752D-41CB-AB05-3096FF42902D}" name="Column11193"/>
    <tableColumn id="11194" xr3:uid="{1E5D9EAF-D240-4A44-A073-6C1C749A4802}" name="Column11194"/>
    <tableColumn id="11195" xr3:uid="{9CA3681A-185A-42B2-A970-AE1A84402170}" name="Column11195"/>
    <tableColumn id="11196" xr3:uid="{8216FD13-E40A-438F-BFA8-A1C15E676962}" name="Column11196"/>
    <tableColumn id="11197" xr3:uid="{4F06ED02-031F-45CA-8808-3F2AF04B7414}" name="Column11197"/>
    <tableColumn id="11198" xr3:uid="{AA9E87E7-7B66-434F-9A59-DF2C4286E41A}" name="Column11198"/>
    <tableColumn id="11199" xr3:uid="{5E6E3816-B30C-48F0-ACB1-F5136DAEA1C3}" name="Column11199"/>
    <tableColumn id="11200" xr3:uid="{3D2DD59C-8CF4-45DB-92C5-79712FE05149}" name="Column11200"/>
    <tableColumn id="11201" xr3:uid="{CB2E4D81-3D7E-4FBB-A568-AC68BD5159F7}" name="Column11201"/>
    <tableColumn id="11202" xr3:uid="{C38FA2FE-5722-4346-AE74-0DD007F2172A}" name="Column11202"/>
    <tableColumn id="11203" xr3:uid="{2F132916-BBA4-498F-B187-F625623CD6A7}" name="Column11203"/>
    <tableColumn id="11204" xr3:uid="{00A07843-F868-43AE-9CEC-0EE5A17BBFC9}" name="Column11204"/>
    <tableColumn id="11205" xr3:uid="{7B1EB261-DAD6-482F-A4DD-78F9536F33CE}" name="Column11205"/>
    <tableColumn id="11206" xr3:uid="{A81186DD-4994-4833-993F-9DE01F59BCE7}" name="Column11206"/>
    <tableColumn id="11207" xr3:uid="{7944FD6D-B379-4693-8327-06EE26B8D0D3}" name="Column11207"/>
    <tableColumn id="11208" xr3:uid="{992E47EB-5B53-4277-8E5B-E5FEE8350770}" name="Column11208"/>
    <tableColumn id="11209" xr3:uid="{31ECC853-7678-4E24-97C5-B0A3B98613AD}" name="Column11209"/>
    <tableColumn id="11210" xr3:uid="{05136FA4-AAB5-401E-9205-5BE71601EC8A}" name="Column11210"/>
    <tableColumn id="11211" xr3:uid="{AE6CD10D-D5F9-452B-B7A3-BAF2F16C27F8}" name="Column11211"/>
    <tableColumn id="11212" xr3:uid="{95C7169B-FA23-48EE-8DE1-5BA8026F8872}" name="Column11212"/>
    <tableColumn id="11213" xr3:uid="{DE0EFBDB-A382-45F7-87FB-0CA02144B263}" name="Column11213"/>
    <tableColumn id="11214" xr3:uid="{A2B6D27F-5F98-47C5-80A4-760D4B30C05D}" name="Column11214"/>
    <tableColumn id="11215" xr3:uid="{052F4946-2FFB-4733-8422-01AAEB79437C}" name="Column11215"/>
    <tableColumn id="11216" xr3:uid="{2A6B0C3A-0944-4433-9079-E2A0E78CCAE5}" name="Column11216"/>
    <tableColumn id="11217" xr3:uid="{3240FC75-A13B-42C5-81F1-3257FFC8F20D}" name="Column11217"/>
    <tableColumn id="11218" xr3:uid="{5765704B-A15A-4E3A-9A05-EB54B846CBF2}" name="Column11218"/>
    <tableColumn id="11219" xr3:uid="{BF52826D-0113-4118-AD2B-D063925FC1A0}" name="Column11219"/>
    <tableColumn id="11220" xr3:uid="{7CB8E18D-C4B7-4273-9D27-8FD312496CF1}" name="Column11220"/>
    <tableColumn id="11221" xr3:uid="{E19FD25D-2591-4772-9697-56DBB136C6FC}" name="Column11221"/>
    <tableColumn id="11222" xr3:uid="{1A81D163-6E21-4A00-9062-7A5A8AC91E0E}" name="Column11222"/>
    <tableColumn id="11223" xr3:uid="{90DDD477-9317-413A-900E-756778B4328A}" name="Column11223"/>
    <tableColumn id="11224" xr3:uid="{1572A03A-1306-41B2-BE18-B4863B4E86DB}" name="Column11224"/>
    <tableColumn id="11225" xr3:uid="{A29B0D3F-7722-4052-B3FA-578A0D16C190}" name="Column11225"/>
    <tableColumn id="11226" xr3:uid="{03C91F64-8584-40F3-9DAC-C82D6BE89D4B}" name="Column11226"/>
    <tableColumn id="11227" xr3:uid="{7AB0C47D-DB50-454E-BE0B-4C17EFD134F3}" name="Column11227"/>
    <tableColumn id="11228" xr3:uid="{CD8FC638-82F1-47E5-85AB-421266232E82}" name="Column11228"/>
    <tableColumn id="11229" xr3:uid="{024BEB8C-E0CB-424C-9533-BBBC5BD1DE09}" name="Column11229"/>
    <tableColumn id="11230" xr3:uid="{B525302A-4668-4708-9EDB-6A61D7DD78F3}" name="Column11230"/>
    <tableColumn id="11231" xr3:uid="{B2EC2B48-C89F-4AA5-8460-9BAA22BE9883}" name="Column11231"/>
    <tableColumn id="11232" xr3:uid="{5BD2EF87-490D-46C1-B943-89623AB69FF2}" name="Column11232"/>
    <tableColumn id="11233" xr3:uid="{576CE4F4-2702-4809-A8FB-457A7FAF066C}" name="Column11233"/>
    <tableColumn id="11234" xr3:uid="{6EE9C9D4-E5E6-4CCF-9AD2-4B91AAE696D0}" name="Column11234"/>
    <tableColumn id="11235" xr3:uid="{D508CC77-A2F2-4CAF-8AC9-EEAA287D0CD8}" name="Column11235"/>
    <tableColumn id="11236" xr3:uid="{595DAA4A-0126-4264-94ED-524A4B440FEF}" name="Column11236"/>
    <tableColumn id="11237" xr3:uid="{17363E36-8699-4452-B54B-0FA2F9FF88C0}" name="Column11237"/>
    <tableColumn id="11238" xr3:uid="{BF42E7EB-3DA0-4936-B754-C65A5DF68659}" name="Column11238"/>
    <tableColumn id="11239" xr3:uid="{EBB81F8A-84DA-4649-A17C-E7C540DF8AD9}" name="Column11239"/>
    <tableColumn id="11240" xr3:uid="{D5F9ACE0-BC01-4782-994D-5EA33AF1DF5E}" name="Column11240"/>
    <tableColumn id="11241" xr3:uid="{F330EEE5-AB26-43F3-8252-E85D1DA84D36}" name="Column11241"/>
    <tableColumn id="11242" xr3:uid="{B7EC38A0-0B71-4FC6-B67B-965D97AA3E37}" name="Column11242"/>
    <tableColumn id="11243" xr3:uid="{A496D9CF-775F-40A1-9B06-F97004F066CB}" name="Column11243"/>
    <tableColumn id="11244" xr3:uid="{8794B442-6783-488E-9828-FC1EA63DAB48}" name="Column11244"/>
    <tableColumn id="11245" xr3:uid="{00E94B4E-9EA3-4B27-B6E9-C4BD002FEBD6}" name="Column11245"/>
    <tableColumn id="11246" xr3:uid="{26B89102-44C8-43CD-9DB8-86A34421A2B2}" name="Column11246"/>
    <tableColumn id="11247" xr3:uid="{8527C3A5-0E54-42D2-BA3A-8D6DEAA6A756}" name="Column11247"/>
    <tableColumn id="11248" xr3:uid="{15C0E2D6-2DD6-4AF2-92F0-43AEC9B0E580}" name="Column11248"/>
    <tableColumn id="11249" xr3:uid="{1C983366-648E-49EC-8359-34BDFCA662F8}" name="Column11249"/>
    <tableColumn id="11250" xr3:uid="{8EB76640-0AD2-4A7C-A0D6-85725E835947}" name="Column11250"/>
    <tableColumn id="11251" xr3:uid="{92593E39-F71C-4E85-89F9-A3B1AD482E5F}" name="Column11251"/>
    <tableColumn id="11252" xr3:uid="{B749633C-61E9-42CC-BC36-D471335D1EEE}" name="Column11252"/>
    <tableColumn id="11253" xr3:uid="{F7D5AF4D-FC02-453E-A2BA-2AA255612614}" name="Column11253"/>
    <tableColumn id="11254" xr3:uid="{40595E2E-7DC5-4FB6-AD2F-C6ACA46DBA0F}" name="Column11254"/>
    <tableColumn id="11255" xr3:uid="{A1B46039-C71D-4C0C-9C08-6444D00D4553}" name="Column11255"/>
    <tableColumn id="11256" xr3:uid="{CE1035E9-7755-4134-8892-95B9B70F4BC1}" name="Column11256"/>
    <tableColumn id="11257" xr3:uid="{B8F46E08-ED81-4AD2-836A-3E501FA45904}" name="Column11257"/>
    <tableColumn id="11258" xr3:uid="{85338E77-B727-4384-A19E-EEC7C2E6D7F8}" name="Column11258"/>
    <tableColumn id="11259" xr3:uid="{B6006B25-E771-4B88-855C-72D2F9AA28F1}" name="Column11259"/>
    <tableColumn id="11260" xr3:uid="{2BA92D28-7DE1-4D5E-BF26-6F4203BA0DA4}" name="Column11260"/>
    <tableColumn id="11261" xr3:uid="{B3B5D450-C7B4-48DD-889C-6B7EF3A70B61}" name="Column11261"/>
    <tableColumn id="11262" xr3:uid="{8F9F4BFF-5600-4A5F-B685-B0898CE32B69}" name="Column11262"/>
    <tableColumn id="11263" xr3:uid="{0687F7C1-A488-4E28-9B53-889078DB2E27}" name="Column11263"/>
    <tableColumn id="11264" xr3:uid="{E21EF6B5-D622-4040-9254-9B4DCF0880BC}" name="Column11264"/>
    <tableColumn id="11265" xr3:uid="{1A7E52B4-799D-4B95-A767-6BB6A9C459C4}" name="Column11265"/>
    <tableColumn id="11266" xr3:uid="{B98F94AB-8CB9-4190-9E6C-51BDE30E0142}" name="Column11266"/>
    <tableColumn id="11267" xr3:uid="{5CC93515-BC7B-4BB6-940C-4E9FD274E2CD}" name="Column11267"/>
    <tableColumn id="11268" xr3:uid="{53F519B8-43E2-4718-82DD-82EA20E3102E}" name="Column11268"/>
    <tableColumn id="11269" xr3:uid="{21885293-3ED3-4FDC-B2BE-CB09F60572B0}" name="Column11269"/>
    <tableColumn id="11270" xr3:uid="{E0098D72-4B15-4675-954B-58DF5BF2E062}" name="Column11270"/>
    <tableColumn id="11271" xr3:uid="{088C06FD-9DA3-4478-8808-D15DE29B4164}" name="Column11271"/>
    <tableColumn id="11272" xr3:uid="{2A45C326-EC08-416E-8B39-F8829354279B}" name="Column11272"/>
    <tableColumn id="11273" xr3:uid="{6D25069B-4C8E-46CA-B7A3-D37E0E674932}" name="Column11273"/>
    <tableColumn id="11274" xr3:uid="{1997F12C-8933-4C96-9EDD-E204C99710EC}" name="Column11274"/>
    <tableColumn id="11275" xr3:uid="{CE8371A4-6049-43CE-9B95-CA549407F44C}" name="Column11275"/>
    <tableColumn id="11276" xr3:uid="{7721300E-9391-43C0-B9A9-D5C7D86AB122}" name="Column11276"/>
    <tableColumn id="11277" xr3:uid="{B5314833-F19A-4521-88B5-3576DE202085}" name="Column11277"/>
    <tableColumn id="11278" xr3:uid="{154FA7F4-671F-4034-AFC1-D6576A6366C3}" name="Column11278"/>
    <tableColumn id="11279" xr3:uid="{D844C928-29EA-4264-9B37-815BCA628F26}" name="Column11279"/>
    <tableColumn id="11280" xr3:uid="{AB01E1B2-66CA-483A-B31D-BA697965F9A2}" name="Column11280"/>
    <tableColumn id="11281" xr3:uid="{2F190760-987B-4D98-B85A-04495BDF3324}" name="Column11281"/>
    <tableColumn id="11282" xr3:uid="{463857A4-B65D-4F02-80D4-EDAD50CF30D8}" name="Column11282"/>
    <tableColumn id="11283" xr3:uid="{0C9C3725-C3A0-44D0-9D14-75BD482E80C2}" name="Column11283"/>
    <tableColumn id="11284" xr3:uid="{4B747602-448A-4586-8A32-0BEAAB887D21}" name="Column11284"/>
    <tableColumn id="11285" xr3:uid="{E9745766-EF8E-4267-B7C6-41D1DC7A46F2}" name="Column11285"/>
    <tableColumn id="11286" xr3:uid="{6BBE56CA-5112-4916-8778-634BBC56A86B}" name="Column11286"/>
    <tableColumn id="11287" xr3:uid="{AC6432CC-776C-4481-9A21-FFB79A48CFC8}" name="Column11287"/>
    <tableColumn id="11288" xr3:uid="{308804AC-B5AF-4AB5-A50D-176B5F002364}" name="Column11288"/>
    <tableColumn id="11289" xr3:uid="{D29F39D0-02C8-4AD8-A0CA-A8F7FEE2209E}" name="Column11289"/>
    <tableColumn id="11290" xr3:uid="{C182DB9A-AC77-436C-8A72-59B49F33BD27}" name="Column11290"/>
    <tableColumn id="11291" xr3:uid="{90325992-9D0B-40C1-8CB9-443A3CBAE767}" name="Column11291"/>
    <tableColumn id="11292" xr3:uid="{3645A5DA-5DF1-42DB-9EE5-78CAE9A662CC}" name="Column11292"/>
    <tableColumn id="11293" xr3:uid="{92B405B0-59C5-4E2A-B8FC-9131E929E3C2}" name="Column11293"/>
    <tableColumn id="11294" xr3:uid="{8C28D3D1-F01D-4BBD-85E9-91C0B47AFE6D}" name="Column11294"/>
    <tableColumn id="11295" xr3:uid="{FE66DD0E-BF10-415F-A80F-17C8C915DCDA}" name="Column11295"/>
    <tableColumn id="11296" xr3:uid="{59F3D1D5-2F8D-474B-8A23-F2D41458A462}" name="Column11296"/>
    <tableColumn id="11297" xr3:uid="{8B895820-8C5A-4E4B-B9C9-83F1FEEA2E20}" name="Column11297"/>
    <tableColumn id="11298" xr3:uid="{42BD0E21-3060-4A44-8D62-4D177ADF52A9}" name="Column11298"/>
    <tableColumn id="11299" xr3:uid="{B5326BF6-9D9D-48E9-BBD6-740BFC17CF07}" name="Column11299"/>
    <tableColumn id="11300" xr3:uid="{0EBB1F4A-A111-41AB-8194-F6015C268F7B}" name="Column11300"/>
    <tableColumn id="11301" xr3:uid="{9C65EF93-1471-4527-A851-ED6FA6EF23DB}" name="Column11301"/>
    <tableColumn id="11302" xr3:uid="{3AFC3742-EE20-4764-82C9-30D2CF0672F5}" name="Column11302"/>
    <tableColumn id="11303" xr3:uid="{CD66B030-50D1-440B-9DFA-5B398787555D}" name="Column11303"/>
    <tableColumn id="11304" xr3:uid="{7CCC6496-8BFE-4AB1-8B75-3F83A0789AF2}" name="Column11304"/>
    <tableColumn id="11305" xr3:uid="{4D6D00C7-D1DF-4BC2-B6C0-D1B9070F5696}" name="Column11305"/>
    <tableColumn id="11306" xr3:uid="{E7A22EF6-9BF4-4B1B-9035-31E82E4E00A3}" name="Column11306"/>
    <tableColumn id="11307" xr3:uid="{02DFEC78-236A-4D44-869C-821C3D18C12B}" name="Column11307"/>
    <tableColumn id="11308" xr3:uid="{5C2BB1BB-8090-4AD1-9B14-39D20B5B4A6C}" name="Column11308"/>
    <tableColumn id="11309" xr3:uid="{DBDCD3D8-1B7D-4413-B73F-F188CBC19B01}" name="Column11309"/>
    <tableColumn id="11310" xr3:uid="{43221294-8AEF-4B7C-9AE6-E7F97E4BBB9A}" name="Column11310"/>
    <tableColumn id="11311" xr3:uid="{2AE468C9-D052-485D-8BA8-15B655922D9C}" name="Column11311"/>
    <tableColumn id="11312" xr3:uid="{FD4D1BAE-911D-4A74-80F1-4B846CD068E9}" name="Column11312"/>
    <tableColumn id="11313" xr3:uid="{2A8D2A44-E846-4BF0-B869-1E21E3D22125}" name="Column11313"/>
    <tableColumn id="11314" xr3:uid="{4413B807-D77A-4760-9168-84493CBC1FE0}" name="Column11314"/>
    <tableColumn id="11315" xr3:uid="{4424D0B2-D704-442C-88DC-CE54C753B4DC}" name="Column11315"/>
    <tableColumn id="11316" xr3:uid="{44838758-A418-4AE6-9859-7D6AF1AF3E93}" name="Column11316"/>
    <tableColumn id="11317" xr3:uid="{F93C52C3-A0E1-43A8-94B7-D26E0C30BA1E}" name="Column11317"/>
    <tableColumn id="11318" xr3:uid="{782D67DE-0230-4DC8-A8A2-F4167ABA0E26}" name="Column11318"/>
    <tableColumn id="11319" xr3:uid="{C03FB04A-CA7B-444A-BCD4-3C64002E1BE9}" name="Column11319"/>
    <tableColumn id="11320" xr3:uid="{602A1B92-C0C2-4A99-8969-469351CE28B2}" name="Column11320"/>
    <tableColumn id="11321" xr3:uid="{1B68BC02-5F26-4B04-9B8B-D44C464974B3}" name="Column11321"/>
    <tableColumn id="11322" xr3:uid="{0F9F97BF-20B6-4D56-99AD-C63B3DF4B6B6}" name="Column11322"/>
    <tableColumn id="11323" xr3:uid="{87EF9EEB-BC5A-44AF-83D0-FE394E4B7FF7}" name="Column11323"/>
    <tableColumn id="11324" xr3:uid="{51A96463-4D23-4C6F-812C-D220A9D866F1}" name="Column11324"/>
    <tableColumn id="11325" xr3:uid="{8C8E88AD-AD48-407D-8424-48DF949322FD}" name="Column11325"/>
    <tableColumn id="11326" xr3:uid="{77E3D936-87FF-4038-8949-4D7A445BE43D}" name="Column11326"/>
    <tableColumn id="11327" xr3:uid="{1396F6DE-55C4-4FDA-AB3D-4C97E838E3EC}" name="Column11327"/>
    <tableColumn id="11328" xr3:uid="{2C93BE63-3E77-4230-80EB-831E27741B13}" name="Column11328"/>
    <tableColumn id="11329" xr3:uid="{ACE922E0-D967-4093-BD9A-3F88C85035A2}" name="Column11329"/>
    <tableColumn id="11330" xr3:uid="{235CE67A-A2FF-4B63-B440-E17F21F185ED}" name="Column11330"/>
    <tableColumn id="11331" xr3:uid="{A0A45640-AAF5-4F92-98CF-59D2F5872383}" name="Column11331"/>
    <tableColumn id="11332" xr3:uid="{BFF2465C-8E76-4B9A-BF87-B34335BF85E6}" name="Column11332"/>
    <tableColumn id="11333" xr3:uid="{AE332FF6-DE2A-4481-A8CE-7FB2FB8F2BBA}" name="Column11333"/>
    <tableColumn id="11334" xr3:uid="{E6473399-7423-454A-9245-01C5785ED5A2}" name="Column11334"/>
    <tableColumn id="11335" xr3:uid="{FC7EF30B-0092-4CDD-9DB3-A5CF019F1E50}" name="Column11335"/>
    <tableColumn id="11336" xr3:uid="{87FD6E03-C548-44B2-A5AD-F37D4FCA328A}" name="Column11336"/>
    <tableColumn id="11337" xr3:uid="{C09BD8D4-AE3C-44CA-9799-14383280BD2F}" name="Column11337"/>
    <tableColumn id="11338" xr3:uid="{4C4B4F2C-A927-40C7-80EA-F8FCA3AE16F9}" name="Column11338"/>
    <tableColumn id="11339" xr3:uid="{CB7C842C-D126-4ADE-B1B8-CB807128FE91}" name="Column11339"/>
    <tableColumn id="11340" xr3:uid="{F27778D3-02F4-4E7E-935D-C4F972AABE37}" name="Column11340"/>
    <tableColumn id="11341" xr3:uid="{8837F35F-7D69-4041-B83F-F0EA0DE200A4}" name="Column11341"/>
    <tableColumn id="11342" xr3:uid="{68991AB1-125F-4AAA-890F-6D67A83A0B0E}" name="Column11342"/>
    <tableColumn id="11343" xr3:uid="{87FF6FD6-C74B-4409-8203-6375DB9B500F}" name="Column11343"/>
    <tableColumn id="11344" xr3:uid="{C53A4849-A981-46DA-9DF7-34F046F49465}" name="Column11344"/>
    <tableColumn id="11345" xr3:uid="{3CFB4B60-3564-4F98-AD69-675D30D92D8E}" name="Column11345"/>
    <tableColumn id="11346" xr3:uid="{81F9FBAD-D1E5-49E1-9BE0-256AE616B9B9}" name="Column11346"/>
    <tableColumn id="11347" xr3:uid="{4B3F82A3-927C-4027-8EB0-D56144AE8C24}" name="Column11347"/>
    <tableColumn id="11348" xr3:uid="{853B49DF-2C78-444B-9351-3982355E83DA}" name="Column11348"/>
    <tableColumn id="11349" xr3:uid="{95907CAC-D39A-4B7C-8B93-55B952C3B123}" name="Column11349"/>
    <tableColumn id="11350" xr3:uid="{2CD921CB-5A80-41A0-BE6C-FD67D23AB697}" name="Column11350"/>
    <tableColumn id="11351" xr3:uid="{73B7FE4C-0A2E-477E-AAC9-F4CE0F80C900}" name="Column11351"/>
    <tableColumn id="11352" xr3:uid="{C3F0F518-A647-4426-B965-B3E4B3BBE958}" name="Column11352"/>
    <tableColumn id="11353" xr3:uid="{FF3E77FF-53C2-45D1-B35C-186638ACAF94}" name="Column11353"/>
    <tableColumn id="11354" xr3:uid="{70FAD3DB-F5CB-4F7F-8B52-1993E1E4E45F}" name="Column11354"/>
    <tableColumn id="11355" xr3:uid="{202C4A42-84F6-40B5-BB8F-1CABE637A4D5}" name="Column11355"/>
    <tableColumn id="11356" xr3:uid="{A27C8D61-C887-4DA7-A9B6-9BA00B525E9D}" name="Column11356"/>
    <tableColumn id="11357" xr3:uid="{6ABBCCC7-D0E2-4FC9-97BB-DAA75BB4612E}" name="Column11357"/>
    <tableColumn id="11358" xr3:uid="{4760F44C-4D23-4148-8923-239A90ABE1DA}" name="Column11358"/>
    <tableColumn id="11359" xr3:uid="{F2F4EFEC-EAF1-4892-BB95-74FF1CE7372A}" name="Column11359"/>
    <tableColumn id="11360" xr3:uid="{3D1CAF78-1DEA-48B6-8D27-648B26199A64}" name="Column11360"/>
    <tableColumn id="11361" xr3:uid="{EF0D2F2D-F4BA-43B2-8B46-023D8D80445B}" name="Column11361"/>
    <tableColumn id="11362" xr3:uid="{E3FCE142-9C03-4790-8110-63CE0B354D0B}" name="Column11362"/>
    <tableColumn id="11363" xr3:uid="{A42C8405-009D-47B2-ACC2-557DC55EB76B}" name="Column11363"/>
    <tableColumn id="11364" xr3:uid="{0FF1A256-2A92-4F0C-9999-FBEF31A40197}" name="Column11364"/>
    <tableColumn id="11365" xr3:uid="{F44445D1-A951-4BEB-AB3C-0CD159B047BF}" name="Column11365"/>
    <tableColumn id="11366" xr3:uid="{66C6B92C-F957-4803-9EDE-C51BCB5A4160}" name="Column11366"/>
    <tableColumn id="11367" xr3:uid="{ACC21875-5EF6-42D5-BD37-EF5B1D6C29F1}" name="Column11367"/>
    <tableColumn id="11368" xr3:uid="{70431B3C-8ADE-4EE0-B3AB-E1DCA160014B}" name="Column11368"/>
    <tableColumn id="11369" xr3:uid="{D21FCFB7-C98A-4EBF-B960-07C98E218678}" name="Column11369"/>
    <tableColumn id="11370" xr3:uid="{1E04A963-21C0-4A3E-87DA-3A47B4B93A19}" name="Column11370"/>
    <tableColumn id="11371" xr3:uid="{182CA6B6-F0DC-40BE-B345-EF9E3F31A682}" name="Column11371"/>
    <tableColumn id="11372" xr3:uid="{CE4D1B65-39CB-4AD8-8727-310BB09FE223}" name="Column11372"/>
    <tableColumn id="11373" xr3:uid="{5936E0A4-3660-4BE7-972D-687A36F5CB7F}" name="Column11373"/>
    <tableColumn id="11374" xr3:uid="{DA742D5D-74C1-43F0-B5D2-6FFBB843012B}" name="Column11374"/>
    <tableColumn id="11375" xr3:uid="{925744F9-EE6E-453F-BCA2-3825A47B8EA0}" name="Column11375"/>
    <tableColumn id="11376" xr3:uid="{7460E836-5739-46FC-91F7-EBEBDF78E095}" name="Column11376"/>
    <tableColumn id="11377" xr3:uid="{1FF53E38-5AB4-4937-9DB8-534DBA0EB71B}" name="Column11377"/>
    <tableColumn id="11378" xr3:uid="{B65C5E3B-1CD4-462B-B4DA-846FBD9192D3}" name="Column11378"/>
    <tableColumn id="11379" xr3:uid="{B499C145-A15B-493A-AB4C-8E80B9EF96A4}" name="Column11379"/>
    <tableColumn id="11380" xr3:uid="{C19B8820-9931-4D57-B3A5-08E38606861A}" name="Column11380"/>
    <tableColumn id="11381" xr3:uid="{C0BC84DF-819A-4F23-9D80-26E2F0D7DF68}" name="Column11381"/>
    <tableColumn id="11382" xr3:uid="{346D36C1-30B9-491F-8BF4-299EF088AE14}" name="Column11382"/>
    <tableColumn id="11383" xr3:uid="{DC3CE894-8E3D-4598-A268-B3E92AFCBEEF}" name="Column11383"/>
    <tableColumn id="11384" xr3:uid="{48BF8B7F-E1FD-42AD-A7CB-875ECA3E6920}" name="Column11384"/>
    <tableColumn id="11385" xr3:uid="{5BAC9CFD-E848-4E96-BC71-A49657CECD3F}" name="Column11385"/>
    <tableColumn id="11386" xr3:uid="{B43FCCD1-DEFB-44FB-96DB-40526CECCB5C}" name="Column11386"/>
    <tableColumn id="11387" xr3:uid="{3A6749E3-2FD0-4481-A978-0FE7F66940D2}" name="Column11387"/>
    <tableColumn id="11388" xr3:uid="{BBEC27C9-655C-4EE7-BDCB-0BD32CD4F10D}" name="Column11388"/>
    <tableColumn id="11389" xr3:uid="{29401E02-3AC0-4258-BFA0-EBBD3E793324}" name="Column11389"/>
    <tableColumn id="11390" xr3:uid="{CF822DCF-D944-4D69-94BD-73C8417E09E6}" name="Column11390"/>
    <tableColumn id="11391" xr3:uid="{01933A6A-495C-4F18-8444-09E19B1909EF}" name="Column11391"/>
    <tableColumn id="11392" xr3:uid="{466838B0-37BC-45CB-AEA1-CC8B34C5C83F}" name="Column11392"/>
    <tableColumn id="11393" xr3:uid="{E3D80A4C-BC63-42EA-AB5B-D3778AAE87D7}" name="Column11393"/>
    <tableColumn id="11394" xr3:uid="{7BE7FE99-13A1-494F-A813-A47BF89A9203}" name="Column11394"/>
    <tableColumn id="11395" xr3:uid="{BA748521-5835-4DFA-B1ED-866989723752}" name="Column11395"/>
    <tableColumn id="11396" xr3:uid="{78161CC6-8742-4A21-906E-AB2391494752}" name="Column11396"/>
    <tableColumn id="11397" xr3:uid="{4EF6F2F9-7403-437E-ABA7-048C09E30B14}" name="Column11397"/>
    <tableColumn id="11398" xr3:uid="{574F12EC-D4FD-4C9B-969F-994B028C8741}" name="Column11398"/>
    <tableColumn id="11399" xr3:uid="{7389C791-C61F-4439-B247-D89358CACDAD}" name="Column11399"/>
    <tableColumn id="11400" xr3:uid="{7AD3B5F2-86D8-484B-A0BD-68381010A14B}" name="Column11400"/>
    <tableColumn id="11401" xr3:uid="{3E613914-B43F-4E9A-8350-DD711DE3FA6B}" name="Column11401"/>
    <tableColumn id="11402" xr3:uid="{B3089DEF-5DA7-41FF-94D4-A917C8EAD33D}" name="Column11402"/>
    <tableColumn id="11403" xr3:uid="{7847A93B-F48F-43EF-8372-F46A325CAC9C}" name="Column11403"/>
    <tableColumn id="11404" xr3:uid="{E7A3CE42-1BED-4EC6-BE9A-68BF52173272}" name="Column11404"/>
    <tableColumn id="11405" xr3:uid="{1551EF5E-0757-4366-BFF0-358592ED8A97}" name="Column11405"/>
    <tableColumn id="11406" xr3:uid="{867FF704-4E0D-4FE3-A7D6-C194E257E19C}" name="Column11406"/>
    <tableColumn id="11407" xr3:uid="{05B0588F-09BA-4894-9E75-20E0A393BF4F}" name="Column11407"/>
    <tableColumn id="11408" xr3:uid="{41751F55-561E-4492-B7DC-D93E10F9EF70}" name="Column11408"/>
    <tableColumn id="11409" xr3:uid="{5DE57273-2B53-49E5-AAFB-F9F96234B0A6}" name="Column11409"/>
    <tableColumn id="11410" xr3:uid="{C2E25AB5-2371-4232-835F-10C23514DFC8}" name="Column11410"/>
    <tableColumn id="11411" xr3:uid="{9C880A1E-EDBE-4A38-AB38-8514EF70DD50}" name="Column11411"/>
    <tableColumn id="11412" xr3:uid="{F9B2DBC1-75CC-4413-BB9C-C4E45AD265C8}" name="Column11412"/>
    <tableColumn id="11413" xr3:uid="{24E50E2D-94B3-43A4-ADAA-D23BF9B43939}" name="Column11413"/>
    <tableColumn id="11414" xr3:uid="{34184DFF-8BF6-44AF-8F7F-848C13045145}" name="Column11414"/>
    <tableColumn id="11415" xr3:uid="{DDDFC2CE-7D23-460C-AD17-FDA551165CD8}" name="Column11415"/>
    <tableColumn id="11416" xr3:uid="{8968176F-9915-43B2-A314-62A21E67633F}" name="Column11416"/>
    <tableColumn id="11417" xr3:uid="{689FC151-9A03-4F78-8504-A6137C1BD231}" name="Column11417"/>
    <tableColumn id="11418" xr3:uid="{090CD17D-4CE3-44BD-BA8A-F8702989EC86}" name="Column11418"/>
    <tableColumn id="11419" xr3:uid="{D4C7546A-0D26-4AAF-B6EB-DBA40479BBAC}" name="Column11419"/>
    <tableColumn id="11420" xr3:uid="{4C75E83A-1A23-4DE2-AB55-978D30283B2F}" name="Column11420"/>
    <tableColumn id="11421" xr3:uid="{992FDF00-60C1-4F3F-A03D-4A9C848684B2}" name="Column11421"/>
    <tableColumn id="11422" xr3:uid="{AE66DF7A-B12D-4664-AEA9-2F6A4BAF2407}" name="Column11422"/>
    <tableColumn id="11423" xr3:uid="{B06D2C31-6793-47D0-BC2C-9D9AD6CDE76C}" name="Column11423"/>
    <tableColumn id="11424" xr3:uid="{670BC6AD-F3B5-4085-B386-F9A0DAC27B7F}" name="Column11424"/>
    <tableColumn id="11425" xr3:uid="{05E2517E-E716-4701-A287-F5B97455D8AC}" name="Column11425"/>
    <tableColumn id="11426" xr3:uid="{4B42F3B6-6411-4AD5-9281-4E0351A8D407}" name="Column11426"/>
    <tableColumn id="11427" xr3:uid="{A364463A-A20C-4144-BA10-5A4092C84711}" name="Column11427"/>
    <tableColumn id="11428" xr3:uid="{9CBA0D0B-2C80-48FF-BF41-F3047A2E9D52}" name="Column11428"/>
    <tableColumn id="11429" xr3:uid="{A93C0B5B-4F5C-497F-A9BE-55EA15047ADD}" name="Column11429"/>
    <tableColumn id="11430" xr3:uid="{41F24525-4FA9-4E37-B3A5-7F0D2767867D}" name="Column11430"/>
    <tableColumn id="11431" xr3:uid="{B120A959-C21B-40C7-ABF8-9D8AE23A5E40}" name="Column11431"/>
    <tableColumn id="11432" xr3:uid="{F6127BA8-2B83-44FF-8A95-73C4305CC172}" name="Column11432"/>
    <tableColumn id="11433" xr3:uid="{85A987FC-32A5-418A-8B1B-12697363F3C0}" name="Column11433"/>
    <tableColumn id="11434" xr3:uid="{E9203366-EE7D-4956-93B4-F615DC901D63}" name="Column11434"/>
    <tableColumn id="11435" xr3:uid="{C79EA6CF-A564-4298-ABEF-02059EDE1940}" name="Column11435"/>
    <tableColumn id="11436" xr3:uid="{D60C5EDF-E45A-41F7-9ADD-844D8BAB5BB1}" name="Column11436"/>
    <tableColumn id="11437" xr3:uid="{0171C1D3-22F7-42B3-AE94-E91190547B66}" name="Column11437"/>
    <tableColumn id="11438" xr3:uid="{EB40A14C-914F-4598-8F2E-D2565403FFC2}" name="Column11438"/>
    <tableColumn id="11439" xr3:uid="{6268F3A6-5775-479A-B9A1-BBD3C739687A}" name="Column11439"/>
    <tableColumn id="11440" xr3:uid="{92CCF415-A137-414B-B64D-8590482D2EC5}" name="Column11440"/>
    <tableColumn id="11441" xr3:uid="{6C823626-BB6F-4EED-BF75-7792D1AA0A1C}" name="Column11441"/>
    <tableColumn id="11442" xr3:uid="{DC066856-0C25-4F61-A4ED-E3A3106D89DC}" name="Column11442"/>
    <tableColumn id="11443" xr3:uid="{516DBEDA-391A-47EB-B1FC-ECBCD894AF7F}" name="Column11443"/>
    <tableColumn id="11444" xr3:uid="{D3E46A77-F370-4D94-A274-518C5ADE177B}" name="Column11444"/>
    <tableColumn id="11445" xr3:uid="{CB54B5D2-32E8-4E0E-8974-8A38FF8453A1}" name="Column11445"/>
    <tableColumn id="11446" xr3:uid="{56FA4794-69CC-4100-8F51-6323D3FF324D}" name="Column11446"/>
    <tableColumn id="11447" xr3:uid="{9907BE19-9D61-4638-8456-A140DD430049}" name="Column11447"/>
    <tableColumn id="11448" xr3:uid="{AD1B477E-CF20-4267-8060-570FD09EA0EF}" name="Column11448"/>
    <tableColumn id="11449" xr3:uid="{7293BBC3-C30A-4594-932A-77A82015F373}" name="Column11449"/>
    <tableColumn id="11450" xr3:uid="{CDE961F2-72AE-4904-B952-DD1F0370E9B4}" name="Column11450"/>
    <tableColumn id="11451" xr3:uid="{ED6D68ED-788C-41F7-BB9A-AF50B6687DD6}" name="Column11451"/>
    <tableColumn id="11452" xr3:uid="{05402224-0499-4AA3-80C6-F51317AB9523}" name="Column11452"/>
    <tableColumn id="11453" xr3:uid="{2A692293-97A1-4643-8F97-D82424720E8A}" name="Column11453"/>
    <tableColumn id="11454" xr3:uid="{838B38BD-5852-44DE-811A-FBFCEB45D0D0}" name="Column11454"/>
    <tableColumn id="11455" xr3:uid="{5C81D74D-A8A6-47BB-A4C9-A4C9A28A07CE}" name="Column11455"/>
    <tableColumn id="11456" xr3:uid="{5AC90739-4BFE-4573-BF13-FB07F0F1C3EB}" name="Column11456"/>
    <tableColumn id="11457" xr3:uid="{1E456118-94FF-40FC-AFE7-77176A1468CD}" name="Column11457"/>
    <tableColumn id="11458" xr3:uid="{B57B416F-5D1B-401E-AC03-0A64140817E4}" name="Column11458"/>
    <tableColumn id="11459" xr3:uid="{9278BDBF-37BC-4629-BE31-402D5C09EA3E}" name="Column11459"/>
    <tableColumn id="11460" xr3:uid="{AA122EE4-4651-45B4-B90B-A4299B2E7205}" name="Column11460"/>
    <tableColumn id="11461" xr3:uid="{6B0370AD-A1E8-467A-B4AD-60049162EF7A}" name="Column11461"/>
    <tableColumn id="11462" xr3:uid="{57C4EBD7-F6A2-4970-897E-61FC1DA4F75E}" name="Column11462"/>
    <tableColumn id="11463" xr3:uid="{291FAE1F-B964-4527-AEF6-4D137C6E607F}" name="Column11463"/>
    <tableColumn id="11464" xr3:uid="{EE9B8E1F-7CAF-48D8-82E4-E3E456CCC16A}" name="Column11464"/>
    <tableColumn id="11465" xr3:uid="{D68151E3-55C7-4120-9E9C-248B64580E56}" name="Column11465"/>
    <tableColumn id="11466" xr3:uid="{6C1674E9-7A38-4EE3-8F98-8B0037036C1C}" name="Column11466"/>
    <tableColumn id="11467" xr3:uid="{25C49F17-00A9-4860-BB2D-823FFF1198EF}" name="Column11467"/>
    <tableColumn id="11468" xr3:uid="{B922EDE7-86EC-4DCC-8098-FDB70F142B25}" name="Column11468"/>
    <tableColumn id="11469" xr3:uid="{39AA5830-62AD-4898-ADC4-ED79B769CC72}" name="Column11469"/>
    <tableColumn id="11470" xr3:uid="{B15D3142-8150-477C-96BE-EB43A9538E8E}" name="Column11470"/>
    <tableColumn id="11471" xr3:uid="{5DF7B546-890E-4EC9-82D7-C6EC4A53F105}" name="Column11471"/>
    <tableColumn id="11472" xr3:uid="{502121FA-D3E9-4E6D-B040-7CA8C7661F5A}" name="Column11472"/>
    <tableColumn id="11473" xr3:uid="{3E4066A2-5252-4037-988E-FBC501E657B9}" name="Column11473"/>
    <tableColumn id="11474" xr3:uid="{E85516F6-52C5-4528-9078-C3EA5A0BDE48}" name="Column11474"/>
    <tableColumn id="11475" xr3:uid="{FB18247A-38B7-4E71-8BE8-64A3CEAB87E2}" name="Column11475"/>
    <tableColumn id="11476" xr3:uid="{3C9AAD55-2FCE-4BE6-A764-D41C9D803B1C}" name="Column11476"/>
    <tableColumn id="11477" xr3:uid="{1A243DA6-658F-4F3A-8356-BF440677CDA7}" name="Column11477"/>
    <tableColumn id="11478" xr3:uid="{4C2BC491-5793-4D77-9FFA-C55C9CB831D6}" name="Column11478"/>
    <tableColumn id="11479" xr3:uid="{4ED82B9C-219F-4DA8-A2E3-E346E1C2E9BB}" name="Column11479"/>
    <tableColumn id="11480" xr3:uid="{28670225-D8FF-43FD-BBEE-1ADD5FE8B0ED}" name="Column11480"/>
    <tableColumn id="11481" xr3:uid="{9978F24A-5BCF-44F5-BC06-245E1BB07F16}" name="Column11481"/>
    <tableColumn id="11482" xr3:uid="{E537B61A-5B8E-4010-A33E-A1170CCC34AE}" name="Column11482"/>
    <tableColumn id="11483" xr3:uid="{50F1464C-65E1-4C94-9084-8319E07E6F39}" name="Column11483"/>
    <tableColumn id="11484" xr3:uid="{2BB14357-36FA-4B26-A844-1CCEE4E54845}" name="Column11484"/>
    <tableColumn id="11485" xr3:uid="{0A287C91-554A-433D-B7A9-0A9BD145D994}" name="Column11485"/>
    <tableColumn id="11486" xr3:uid="{EE04C37B-18DA-43DC-A1F0-5792A7D58826}" name="Column11486"/>
    <tableColumn id="11487" xr3:uid="{DE0B88AD-711A-467E-988B-3CF144D6C49D}" name="Column11487"/>
    <tableColumn id="11488" xr3:uid="{1A16147A-26C2-45CB-B284-0D7C3C251F64}" name="Column11488"/>
    <tableColumn id="11489" xr3:uid="{00FBE4CA-7941-4162-A91E-B891B63A8873}" name="Column11489"/>
    <tableColumn id="11490" xr3:uid="{47D44CE2-4EBC-493C-A079-BC7314BD5CA0}" name="Column11490"/>
    <tableColumn id="11491" xr3:uid="{AB5B3CAD-F534-4BF4-B286-1A611701ABE9}" name="Column11491"/>
    <tableColumn id="11492" xr3:uid="{BD88129F-1660-411B-BABB-36B31976677A}" name="Column11492"/>
    <tableColumn id="11493" xr3:uid="{D0360B9B-E137-40EA-9613-9C3034676EB5}" name="Column11493"/>
    <tableColumn id="11494" xr3:uid="{47586333-431D-4D79-B1F8-3624B8043283}" name="Column11494"/>
    <tableColumn id="11495" xr3:uid="{7BA256EB-543C-4690-BF8A-195235CF5CCA}" name="Column11495"/>
    <tableColumn id="11496" xr3:uid="{C27C7875-91B7-4B6D-AEB8-745791C8ED78}" name="Column11496"/>
    <tableColumn id="11497" xr3:uid="{B01D9565-BAE8-47FE-800E-71588C6EEA6D}" name="Column11497"/>
    <tableColumn id="11498" xr3:uid="{200BB73F-F250-4FCA-8AEF-C52D7CDC65AA}" name="Column11498"/>
    <tableColumn id="11499" xr3:uid="{CF682453-D8CC-4D63-965D-C3A201F50E34}" name="Column11499"/>
    <tableColumn id="11500" xr3:uid="{89785C9E-5D43-4161-AF20-73E50B1DA00C}" name="Column11500"/>
    <tableColumn id="11501" xr3:uid="{8039B08A-DC72-4D12-891F-44609498E8C8}" name="Column11501"/>
    <tableColumn id="11502" xr3:uid="{C9DE8732-F9BF-47A7-9BBE-E1BD7ED23757}" name="Column11502"/>
    <tableColumn id="11503" xr3:uid="{9F5C5FAC-5E70-452D-98F4-644336E93D57}" name="Column11503"/>
    <tableColumn id="11504" xr3:uid="{1E1678F8-2CEE-487E-8B66-DCE22CDDE17E}" name="Column11504"/>
    <tableColumn id="11505" xr3:uid="{C7CFF928-689B-4513-9C19-562A9ADC3AAA}" name="Column11505"/>
    <tableColumn id="11506" xr3:uid="{2C9ABD97-2261-4490-8498-2BA2A76B3A00}" name="Column11506"/>
    <tableColumn id="11507" xr3:uid="{2FE14DE4-CD73-4B60-8B17-8C2675914753}" name="Column11507"/>
    <tableColumn id="11508" xr3:uid="{9FAFF408-4189-43A6-B3E2-54072F399CD1}" name="Column11508"/>
    <tableColumn id="11509" xr3:uid="{56902251-C64D-4200-92A5-E6DC37ABE694}" name="Column11509"/>
    <tableColumn id="11510" xr3:uid="{481B712C-5290-4138-9938-1FE21088EF6F}" name="Column11510"/>
    <tableColumn id="11511" xr3:uid="{8BAB22D4-20E5-49FF-BC51-9BD536B22AD1}" name="Column11511"/>
    <tableColumn id="11512" xr3:uid="{4972476B-AF5F-4E9D-B8C0-11AC820A8374}" name="Column11512"/>
    <tableColumn id="11513" xr3:uid="{AB5B2B7B-CAE6-4D63-B056-DC27306947A9}" name="Column11513"/>
    <tableColumn id="11514" xr3:uid="{A5B5BED2-7E80-4C7F-B9C8-5B370D039E8A}" name="Column11514"/>
    <tableColumn id="11515" xr3:uid="{D527CEF7-063B-4620-981C-11BADA20E1C8}" name="Column11515"/>
    <tableColumn id="11516" xr3:uid="{40056D04-9632-4D76-B75F-DBC37177BA11}" name="Column11516"/>
    <tableColumn id="11517" xr3:uid="{8580EC54-AC4B-4353-9778-805F54BFDE13}" name="Column11517"/>
    <tableColumn id="11518" xr3:uid="{573CDD5F-28A0-4F51-A9B0-8A7D5A6957BE}" name="Column11518"/>
    <tableColumn id="11519" xr3:uid="{64C0C8DF-F32F-44A7-A7B4-16D4CD72D4C8}" name="Column11519"/>
    <tableColumn id="11520" xr3:uid="{6B0E49DD-B3C8-4D37-925F-742D09341006}" name="Column11520"/>
    <tableColumn id="11521" xr3:uid="{D6159F00-AC5A-4157-9DF9-D6741767004D}" name="Column11521"/>
    <tableColumn id="11522" xr3:uid="{E54CD584-F416-4579-9558-B38DB488385F}" name="Column11522"/>
    <tableColumn id="11523" xr3:uid="{AF9DE1D6-9634-44D5-85FF-8AB7AD1CB4E6}" name="Column11523"/>
    <tableColumn id="11524" xr3:uid="{FE83BDD6-E801-4CAB-A5A2-B7C033FE094C}" name="Column11524"/>
    <tableColumn id="11525" xr3:uid="{DBB29E61-017E-46E5-B2FE-FD0F1F66225D}" name="Column11525"/>
    <tableColumn id="11526" xr3:uid="{44A7DCE8-0FC2-437D-BDE8-EF0B480BA86A}" name="Column11526"/>
    <tableColumn id="11527" xr3:uid="{776F563C-D23D-4132-9752-1F9664B4719C}" name="Column11527"/>
    <tableColumn id="11528" xr3:uid="{8695325E-3988-4D4D-8DF4-E9B4B169F958}" name="Column11528"/>
    <tableColumn id="11529" xr3:uid="{02B32797-776F-4E9B-A61C-A69130E512C6}" name="Column11529"/>
    <tableColumn id="11530" xr3:uid="{B91C2256-85AB-46A0-9E66-31E8912FB5FB}" name="Column11530"/>
    <tableColumn id="11531" xr3:uid="{46733188-92C3-4989-B0ED-37E6919A8F21}" name="Column11531"/>
    <tableColumn id="11532" xr3:uid="{F122EB84-51F7-4E5E-A9F5-CDDD3FE4F53C}" name="Column11532"/>
    <tableColumn id="11533" xr3:uid="{23B7CB1C-A7D6-4F28-8402-5B855E513E8F}" name="Column11533"/>
    <tableColumn id="11534" xr3:uid="{F24B7C2E-9F36-497D-A356-95BA45CFFEC8}" name="Column11534"/>
    <tableColumn id="11535" xr3:uid="{FC84684B-3576-42F4-8A55-6ACD6800471F}" name="Column11535"/>
    <tableColumn id="11536" xr3:uid="{CA9501F3-86BF-4A6C-B000-E5F4A7223364}" name="Column11536"/>
    <tableColumn id="11537" xr3:uid="{38631E58-BC39-46F7-942A-C7577EEA1C06}" name="Column11537"/>
    <tableColumn id="11538" xr3:uid="{AE357C4A-BF1E-49CB-B8A0-871C67A06FEA}" name="Column11538"/>
    <tableColumn id="11539" xr3:uid="{0797089A-F153-4734-96A4-ABBD8FBF10D3}" name="Column11539"/>
    <tableColumn id="11540" xr3:uid="{15D6C71C-FB1F-4CF1-AB8D-5078FC967830}" name="Column11540"/>
    <tableColumn id="11541" xr3:uid="{F4A0A1EA-5F69-46D0-95B3-83E618B26010}" name="Column11541"/>
    <tableColumn id="11542" xr3:uid="{FC380393-6E2A-4386-9BA9-5AAE774907E5}" name="Column11542"/>
    <tableColumn id="11543" xr3:uid="{86C604F9-698B-417E-A94A-01ED002FD61C}" name="Column11543"/>
    <tableColumn id="11544" xr3:uid="{5F5B5BC0-034A-430E-9A89-ACD0CD91E887}" name="Column11544"/>
    <tableColumn id="11545" xr3:uid="{0F2F9E92-32B0-486D-9D61-F734BB0739CA}" name="Column11545"/>
    <tableColumn id="11546" xr3:uid="{71129FE6-630D-492D-A2F6-8F0B2ABDB8F4}" name="Column11546"/>
    <tableColumn id="11547" xr3:uid="{F3A33DDF-2B80-4F63-839E-718A89CE7697}" name="Column11547"/>
    <tableColumn id="11548" xr3:uid="{CF9FD667-4C99-4992-B3DA-F7F337F61759}" name="Column11548"/>
    <tableColumn id="11549" xr3:uid="{9B2876F9-F2A6-4FDC-8DF0-E9F169CF0E11}" name="Column11549"/>
    <tableColumn id="11550" xr3:uid="{0EE3E96E-C0A5-4C87-B979-1A63939ED896}" name="Column11550"/>
    <tableColumn id="11551" xr3:uid="{529172E1-BF45-4C19-A6DE-800A63911E3A}" name="Column11551"/>
    <tableColumn id="11552" xr3:uid="{1CAE8C6B-A395-414D-B6DF-C7F4F5BFE42B}" name="Column11552"/>
    <tableColumn id="11553" xr3:uid="{914B651F-C2B7-4382-BDE2-939E45A87DEF}" name="Column11553"/>
    <tableColumn id="11554" xr3:uid="{4C6384B4-7538-4B25-971D-894EF4AF366D}" name="Column11554"/>
    <tableColumn id="11555" xr3:uid="{69C15B3E-12A1-479C-B40A-1DEA12619839}" name="Column11555"/>
    <tableColumn id="11556" xr3:uid="{C5288795-7FA8-450B-A15E-166E12E51386}" name="Column11556"/>
    <tableColumn id="11557" xr3:uid="{A210814C-6739-4CE2-B04D-93CDA5C00BFE}" name="Column11557"/>
    <tableColumn id="11558" xr3:uid="{81735BE4-2ED6-4E67-AEED-1FBC06822796}" name="Column11558"/>
    <tableColumn id="11559" xr3:uid="{301E4D02-F715-4FB9-9113-A108CC6DB4BE}" name="Column11559"/>
    <tableColumn id="11560" xr3:uid="{ACD4C120-4394-4D3D-906B-83129EC190AB}" name="Column11560"/>
    <tableColumn id="11561" xr3:uid="{ED852FEF-45A6-4FB3-99B2-61E9937D6DA2}" name="Column11561"/>
    <tableColumn id="11562" xr3:uid="{64539690-E7A5-4A63-B67C-F952A94DF7E8}" name="Column11562"/>
    <tableColumn id="11563" xr3:uid="{78CC0988-A572-4AB0-916F-EC8D6F85D133}" name="Column11563"/>
    <tableColumn id="11564" xr3:uid="{A4F2B04F-AC3E-4555-9B88-F9BC352C07E6}" name="Column11564"/>
    <tableColumn id="11565" xr3:uid="{4F312625-1D7F-48A2-8495-E566F96AD074}" name="Column11565"/>
    <tableColumn id="11566" xr3:uid="{F719E791-6E64-4194-9359-F1F7EDF00BBA}" name="Column11566"/>
    <tableColumn id="11567" xr3:uid="{2FF73259-5F62-43C7-AEC9-3723B599DC58}" name="Column11567"/>
    <tableColumn id="11568" xr3:uid="{EB4A85EB-8F11-4AAF-AEFF-25EA6CBD239A}" name="Column11568"/>
    <tableColumn id="11569" xr3:uid="{60074780-7A25-4D07-9E59-C44B7F72B033}" name="Column11569"/>
    <tableColumn id="11570" xr3:uid="{C3B7DE04-5FC5-4601-83A6-44C16FC5B3EA}" name="Column11570"/>
    <tableColumn id="11571" xr3:uid="{555E5DA1-14D2-4C83-A225-289FCC285A05}" name="Column11571"/>
    <tableColumn id="11572" xr3:uid="{E53060E7-31D8-4FBD-87FD-EDC6FE454AB1}" name="Column11572"/>
    <tableColumn id="11573" xr3:uid="{57C6375C-333D-4B4C-A7D7-088CA8C7F47E}" name="Column11573"/>
    <tableColumn id="11574" xr3:uid="{31D66C06-E342-4726-A8A6-E61BF2841544}" name="Column11574"/>
    <tableColumn id="11575" xr3:uid="{2289C32D-B103-4615-B78F-7B5ED6ADC4D0}" name="Column11575"/>
    <tableColumn id="11576" xr3:uid="{6F77BA20-0605-4549-8C09-DBF9A9B422F6}" name="Column11576"/>
    <tableColumn id="11577" xr3:uid="{2F87112E-965C-4E96-981B-607DC20DC546}" name="Column11577"/>
    <tableColumn id="11578" xr3:uid="{69184B28-37DB-49FD-AC24-462B7F611203}" name="Column11578"/>
    <tableColumn id="11579" xr3:uid="{62F959CA-E174-4F3A-B443-91F276387AC5}" name="Column11579"/>
    <tableColumn id="11580" xr3:uid="{3C3C7BED-EB9C-4684-A618-7FB26F5F4E06}" name="Column11580"/>
    <tableColumn id="11581" xr3:uid="{2CEA6751-5148-4A06-88F6-9C10E0B0FE91}" name="Column11581"/>
    <tableColumn id="11582" xr3:uid="{376DA2AC-2168-4741-B19F-74CE70BC6235}" name="Column11582"/>
    <tableColumn id="11583" xr3:uid="{F0FA880F-F978-431C-8858-BB06E0162394}" name="Column11583"/>
    <tableColumn id="11584" xr3:uid="{3533415F-ADD2-4C00-8B06-50F34464A197}" name="Column11584"/>
    <tableColumn id="11585" xr3:uid="{A2CB1222-2B92-4FA5-94F4-0CD47F5CEC6D}" name="Column11585"/>
    <tableColumn id="11586" xr3:uid="{C60F3C10-5B85-45EC-92B9-8CC63CEC00E5}" name="Column11586"/>
    <tableColumn id="11587" xr3:uid="{E7BA88D9-62CA-494F-9F7A-0109F1646A68}" name="Column11587"/>
    <tableColumn id="11588" xr3:uid="{908ADA37-ADD9-4011-9743-2DDDC90895E1}" name="Column11588"/>
    <tableColumn id="11589" xr3:uid="{F27ACA68-A3DF-4DD9-8EF8-728ECBD6D705}" name="Column11589"/>
    <tableColumn id="11590" xr3:uid="{231450D5-CDF6-48CE-BC7F-429153295837}" name="Column11590"/>
    <tableColumn id="11591" xr3:uid="{212CF601-9F9F-44A0-BD4B-375A1CD8CBC4}" name="Column11591"/>
    <tableColumn id="11592" xr3:uid="{1DB3B0C5-4680-44B2-8375-959BD52D28C0}" name="Column11592"/>
    <tableColumn id="11593" xr3:uid="{D37B93FB-4CBC-4319-BCE6-670146B291EA}" name="Column11593"/>
    <tableColumn id="11594" xr3:uid="{2E24D661-AB82-4821-8680-5146CFF7328A}" name="Column11594"/>
    <tableColumn id="11595" xr3:uid="{D83C9D56-DBAC-42B8-B5C1-2DD67E51907F}" name="Column11595"/>
    <tableColumn id="11596" xr3:uid="{63CB25B4-D319-4C26-B91B-90BCD482FD14}" name="Column11596"/>
    <tableColumn id="11597" xr3:uid="{36F1D3A2-25C0-4FB4-AFA2-12DB5F16EDEF}" name="Column11597"/>
    <tableColumn id="11598" xr3:uid="{D24F826D-0E42-425A-BAAD-8CC9FAD0DC9C}" name="Column11598"/>
    <tableColumn id="11599" xr3:uid="{632D2CC0-D878-430D-92CC-6052EAE968F2}" name="Column11599"/>
    <tableColumn id="11600" xr3:uid="{DDF3BEB9-7CBB-4E40-8A1E-1E5A74D34B73}" name="Column11600"/>
    <tableColumn id="11601" xr3:uid="{D6E7D91E-9A7E-488C-BAA0-2F4E23934808}" name="Column11601"/>
    <tableColumn id="11602" xr3:uid="{ECBB95FA-1BA6-4FB8-AD3F-F94DBE58ED6B}" name="Column11602"/>
    <tableColumn id="11603" xr3:uid="{E7809A37-A815-42EB-98D0-B552D9A23C99}" name="Column11603"/>
    <tableColumn id="11604" xr3:uid="{CECADA76-A4C4-4BD1-AC81-9BB4B0E83E6E}" name="Column11604"/>
    <tableColumn id="11605" xr3:uid="{621E3B7C-0076-457E-8FDB-96E931A01B78}" name="Column11605"/>
    <tableColumn id="11606" xr3:uid="{12232DCB-EB85-4BBE-9729-AC5ABE6924F7}" name="Column11606"/>
    <tableColumn id="11607" xr3:uid="{017FB728-22DC-4373-B005-847B27DA0D94}" name="Column11607"/>
    <tableColumn id="11608" xr3:uid="{1A104BFB-6E8F-4D18-B53D-BCD3A5BA2BB3}" name="Column11608"/>
    <tableColumn id="11609" xr3:uid="{420C98D2-43FF-468A-B10D-D5BD487244E2}" name="Column11609"/>
    <tableColumn id="11610" xr3:uid="{866AF8A2-93D7-469D-A0A8-3926C9D62A51}" name="Column11610"/>
    <tableColumn id="11611" xr3:uid="{94EAB97D-88C4-4E87-ADF3-126ED30EDB07}" name="Column11611"/>
    <tableColumn id="11612" xr3:uid="{D1C8A7D3-E5BC-49C9-99BE-7EE038783491}" name="Column11612"/>
    <tableColumn id="11613" xr3:uid="{4663DD73-F8D6-4967-9662-5883E32A0892}" name="Column11613"/>
    <tableColumn id="11614" xr3:uid="{249093A7-EFF4-4EAB-97F4-FBED56895F32}" name="Column11614"/>
    <tableColumn id="11615" xr3:uid="{B02C2179-48B2-48CD-8C42-35FD6ABABEC1}" name="Column11615"/>
    <tableColumn id="11616" xr3:uid="{FA2D241C-13FA-4F28-A228-F70F446F9759}" name="Column11616"/>
    <tableColumn id="11617" xr3:uid="{36D86696-82CB-4CB5-B984-7A7D58153B2F}" name="Column11617"/>
    <tableColumn id="11618" xr3:uid="{01EFFF7F-33D9-491D-BF71-31EE8580CCFA}" name="Column11618"/>
    <tableColumn id="11619" xr3:uid="{0F29CB19-7DD6-429A-B4A9-343E089D7C6F}" name="Column11619"/>
    <tableColumn id="11620" xr3:uid="{AFE60B54-4CBE-4261-8088-0F1A761630E3}" name="Column11620"/>
    <tableColumn id="11621" xr3:uid="{A2CD19CD-6340-4538-BD6A-9636CE8220B0}" name="Column11621"/>
    <tableColumn id="11622" xr3:uid="{1A16B3BA-341B-47C3-9C26-5934EAB1BB15}" name="Column11622"/>
    <tableColumn id="11623" xr3:uid="{0B46539F-E605-49F4-92F9-C84DF3BD5981}" name="Column11623"/>
    <tableColumn id="11624" xr3:uid="{67C05458-9DFE-48EA-BA85-B7105EA1E670}" name="Column11624"/>
    <tableColumn id="11625" xr3:uid="{C1C0C1A9-8374-43E0-BB90-D5343A7FC596}" name="Column11625"/>
    <tableColumn id="11626" xr3:uid="{1D006D67-07CE-4DAB-B506-80489D2DCC75}" name="Column11626"/>
    <tableColumn id="11627" xr3:uid="{3A151BE0-CC71-48DB-8304-46874D84457F}" name="Column11627"/>
    <tableColumn id="11628" xr3:uid="{9E9FD721-61AE-4131-8231-B55644F01477}" name="Column11628"/>
    <tableColumn id="11629" xr3:uid="{E0FDCBB0-5BE9-45FC-9D7B-7223CA60C698}" name="Column11629"/>
    <tableColumn id="11630" xr3:uid="{6C256A90-3C51-4578-8CCD-5703B47CDD96}" name="Column11630"/>
    <tableColumn id="11631" xr3:uid="{21D9344A-998A-449F-9B40-3DDC18894608}" name="Column11631"/>
    <tableColumn id="11632" xr3:uid="{DF05EFFB-9CD3-4478-AB9F-71FCF01B6535}" name="Column11632"/>
    <tableColumn id="11633" xr3:uid="{01735B25-E5AF-461D-9CA5-0CD72280A587}" name="Column11633"/>
    <tableColumn id="11634" xr3:uid="{B71C42E8-00EF-455B-892E-B6A32D1C7127}" name="Column11634"/>
    <tableColumn id="11635" xr3:uid="{578AFB9B-D257-4E18-8E24-D3BEC8DD9F40}" name="Column11635"/>
    <tableColumn id="11636" xr3:uid="{F20FCFF5-3EE2-4FF2-9C55-6A5B55F930F7}" name="Column11636"/>
    <tableColumn id="11637" xr3:uid="{9D2DBD42-E1C9-4323-969F-D1D69406B25C}" name="Column11637"/>
    <tableColumn id="11638" xr3:uid="{F8371FF8-D99A-494E-81F6-2E2C732BF08A}" name="Column11638"/>
    <tableColumn id="11639" xr3:uid="{8809A866-F609-4032-AB55-0F5FF76D48EC}" name="Column11639"/>
    <tableColumn id="11640" xr3:uid="{D509AA7C-276F-44B2-B700-8A49E7A9C525}" name="Column11640"/>
    <tableColumn id="11641" xr3:uid="{AF5BBC4C-CD6E-43C9-AB37-5792332E6F70}" name="Column11641"/>
    <tableColumn id="11642" xr3:uid="{67649898-C180-4026-A9CF-A7A9E2AF4629}" name="Column11642"/>
    <tableColumn id="11643" xr3:uid="{73093322-FCAD-4EBA-AE14-435D56DCB306}" name="Column11643"/>
    <tableColumn id="11644" xr3:uid="{BB7B1ABE-5FCD-40E3-A532-025409F7EDD6}" name="Column11644"/>
    <tableColumn id="11645" xr3:uid="{2D927639-7952-4912-ACAF-08D96BF6FE92}" name="Column11645"/>
    <tableColumn id="11646" xr3:uid="{B2A9C48A-45C9-4901-AEBA-C9C7DF1B75E6}" name="Column11646"/>
    <tableColumn id="11647" xr3:uid="{3DB9803E-3A82-4CF0-AEB7-2DE8B533E98F}" name="Column11647"/>
    <tableColumn id="11648" xr3:uid="{6551B49A-6EA4-4C0D-8918-41F637592D5D}" name="Column11648"/>
    <tableColumn id="11649" xr3:uid="{12B8044E-AC74-4BEE-A8C9-23072063B73E}" name="Column11649"/>
    <tableColumn id="11650" xr3:uid="{CCFEE346-2C04-4177-B3EB-CB4123EE19EF}" name="Column11650"/>
    <tableColumn id="11651" xr3:uid="{2D077423-B464-4ABF-B6A6-3272D3B8C269}" name="Column11651"/>
    <tableColumn id="11652" xr3:uid="{44538D45-F94D-4F3F-8EC9-06AD7237902A}" name="Column11652"/>
    <tableColumn id="11653" xr3:uid="{9300C511-405C-428E-9B70-E52D9F786CDC}" name="Column11653"/>
    <tableColumn id="11654" xr3:uid="{7C69C2FC-90F2-4DAE-94B7-3F2FA52F9136}" name="Column11654"/>
    <tableColumn id="11655" xr3:uid="{6792E902-C5EF-4BE4-AD8A-54B7182D1EEE}" name="Column11655"/>
    <tableColumn id="11656" xr3:uid="{95663BF6-EDED-47E5-AB19-AAF110695C0A}" name="Column11656"/>
    <tableColumn id="11657" xr3:uid="{BA44E6FC-FC2A-4F9B-BD89-5E044594BDD9}" name="Column11657"/>
    <tableColumn id="11658" xr3:uid="{A901449F-3DD5-4983-A305-0366E9C0CFE0}" name="Column11658"/>
    <tableColumn id="11659" xr3:uid="{C61972F3-88A4-43CF-8FE0-2C057CC5A140}" name="Column11659"/>
    <tableColumn id="11660" xr3:uid="{B10D94BA-8124-4BEB-AD3F-C0B52D312FD2}" name="Column11660"/>
    <tableColumn id="11661" xr3:uid="{0D412B6D-779A-473B-9BF3-E96117AC4A04}" name="Column11661"/>
    <tableColumn id="11662" xr3:uid="{DA5652A2-DE16-4E29-B20A-608819DD0C58}" name="Column11662"/>
    <tableColumn id="11663" xr3:uid="{1CC1BC2D-95EF-449D-9441-64F1EFEB66A8}" name="Column11663"/>
    <tableColumn id="11664" xr3:uid="{A9A9B442-EC58-4A01-912D-2D44002375E9}" name="Column11664"/>
    <tableColumn id="11665" xr3:uid="{CFEA1C1E-C949-478D-AF18-663A6914455A}" name="Column11665"/>
    <tableColumn id="11666" xr3:uid="{401E281F-DA34-4E67-9CCD-89C5F6422FAA}" name="Column11666"/>
    <tableColumn id="11667" xr3:uid="{2C43F04F-D3EA-4962-BD00-3D1CC0F19795}" name="Column11667"/>
    <tableColumn id="11668" xr3:uid="{79D7F612-7980-4F95-BD9F-882C8C3311E5}" name="Column11668"/>
    <tableColumn id="11669" xr3:uid="{2A9D925E-0451-4E96-B520-1ED647699BDF}" name="Column11669"/>
    <tableColumn id="11670" xr3:uid="{17C49267-1D7A-486F-BCBF-F3F30395D800}" name="Column11670"/>
    <tableColumn id="11671" xr3:uid="{0775437F-AA1B-4B26-BBE4-16CEA3D01341}" name="Column11671"/>
    <tableColumn id="11672" xr3:uid="{AA74ECAF-8337-4BF9-AA15-9076B485DBE7}" name="Column11672"/>
    <tableColumn id="11673" xr3:uid="{4E77ADBA-80D5-4480-8C1D-81D58D24E104}" name="Column11673"/>
    <tableColumn id="11674" xr3:uid="{F1CF0B69-FC39-4BC8-852B-A0A44AAFF868}" name="Column11674"/>
    <tableColumn id="11675" xr3:uid="{A27BBC97-5F01-4EDE-9417-5415E0A420C9}" name="Column11675"/>
    <tableColumn id="11676" xr3:uid="{085E634E-C6C6-4EAE-A015-31BDB5E92FD6}" name="Column11676"/>
    <tableColumn id="11677" xr3:uid="{4DB6DF37-46E1-4315-B407-BDDAFF96006B}" name="Column11677"/>
    <tableColumn id="11678" xr3:uid="{74D981AC-000B-4738-B629-436B334D15E3}" name="Column11678"/>
    <tableColumn id="11679" xr3:uid="{C5908D93-B330-429C-B99F-2B40C4194081}" name="Column11679"/>
    <tableColumn id="11680" xr3:uid="{DDC75038-4258-4FC6-B610-575D110FF4E2}" name="Column11680"/>
    <tableColumn id="11681" xr3:uid="{F96F740D-2FC7-470E-ABD6-3EAE8440A0E4}" name="Column11681"/>
    <tableColumn id="11682" xr3:uid="{F220E5ED-DE4E-4324-95E3-727F67ADAC05}" name="Column11682"/>
    <tableColumn id="11683" xr3:uid="{E799F731-9C37-4656-977B-D680D61891F1}" name="Column11683"/>
    <tableColumn id="11684" xr3:uid="{59FEBDC5-2E31-43DE-8D27-E9C7779A244A}" name="Column11684"/>
    <tableColumn id="11685" xr3:uid="{E46E7A50-47B3-43E9-AF49-6B31AA00660B}" name="Column11685"/>
    <tableColumn id="11686" xr3:uid="{57B1D6DD-3DE0-4FA2-8824-672240E6910F}" name="Column11686"/>
    <tableColumn id="11687" xr3:uid="{D9D38940-3C47-49AC-9DEF-4F7408B3ADA9}" name="Column11687"/>
    <tableColumn id="11688" xr3:uid="{B83C6976-E7DB-41C0-9B59-8D2E8C285A2B}" name="Column11688"/>
    <tableColumn id="11689" xr3:uid="{83712A4E-ACAF-4012-9496-C57A933BB303}" name="Column11689"/>
    <tableColumn id="11690" xr3:uid="{EE6C4CB8-2998-42FD-9FD5-4DB2B79951E0}" name="Column11690"/>
    <tableColumn id="11691" xr3:uid="{E04A0A23-4CFF-4C49-B95A-7C1604D5CD59}" name="Column11691"/>
    <tableColumn id="11692" xr3:uid="{7EE04562-132B-4618-BC6D-4626056D4066}" name="Column11692"/>
    <tableColumn id="11693" xr3:uid="{3FB565D2-8716-497D-B623-53ED098512C4}" name="Column11693"/>
    <tableColumn id="11694" xr3:uid="{B5963F55-1A1B-4D7F-BC6E-D33A549B3A92}" name="Column11694"/>
    <tableColumn id="11695" xr3:uid="{2020D375-B25D-42AC-9464-B6EF80A030EB}" name="Column11695"/>
    <tableColumn id="11696" xr3:uid="{6042C313-0B87-4627-91EA-B35B186AFD90}" name="Column11696"/>
    <tableColumn id="11697" xr3:uid="{5AB9593D-587D-483E-AC03-261E51EB8FAB}" name="Column11697"/>
    <tableColumn id="11698" xr3:uid="{481BFBB7-9395-4CDE-8268-3314ECBC10EA}" name="Column11698"/>
    <tableColumn id="11699" xr3:uid="{4E030581-275E-4834-981C-35E35D130352}" name="Column11699"/>
    <tableColumn id="11700" xr3:uid="{64BC74A9-2678-4817-8BC7-D5F982C00CE3}" name="Column11700"/>
    <tableColumn id="11701" xr3:uid="{85A9F287-FDEA-463F-8B99-B8DDD8F4443A}" name="Column11701"/>
    <tableColumn id="11702" xr3:uid="{F5CD195E-1D67-44E2-9CA7-1FD3A1845EAD}" name="Column11702"/>
    <tableColumn id="11703" xr3:uid="{CBB5FF76-B0AD-40BC-8F00-609F98225491}" name="Column11703"/>
    <tableColumn id="11704" xr3:uid="{57EFC06C-8A5B-4953-B125-78D941055A84}" name="Column11704"/>
    <tableColumn id="11705" xr3:uid="{48053F49-9929-4BDA-ACC1-0C73D0B1C8C1}" name="Column11705"/>
    <tableColumn id="11706" xr3:uid="{49C9098F-E3E6-416F-A99E-500A60D8C50F}" name="Column11706"/>
    <tableColumn id="11707" xr3:uid="{C8FD488D-97E8-423F-A2F2-90A479C2A8F9}" name="Column11707"/>
    <tableColumn id="11708" xr3:uid="{4F8B9C0C-8015-4F79-AF41-27DCC665AA86}" name="Column11708"/>
    <tableColumn id="11709" xr3:uid="{32F3C430-E099-4F75-8AE7-7682F1C055C4}" name="Column11709"/>
    <tableColumn id="11710" xr3:uid="{D17C6371-5732-4796-9C55-92C9ACD5EB2E}" name="Column11710"/>
    <tableColumn id="11711" xr3:uid="{0FE6D0E0-6183-4F60-8363-73C301D72E90}" name="Column11711"/>
    <tableColumn id="11712" xr3:uid="{59E7AAD5-C8B8-4937-9E6D-292A1326A851}" name="Column11712"/>
    <tableColumn id="11713" xr3:uid="{611EDB90-3558-4A00-9160-D548166DC6F4}" name="Column11713"/>
    <tableColumn id="11714" xr3:uid="{1B1A61A9-FD56-4573-A5CD-D03936865C57}" name="Column11714"/>
    <tableColumn id="11715" xr3:uid="{22BC21DA-94F1-4F73-8533-881975647482}" name="Column11715"/>
    <tableColumn id="11716" xr3:uid="{629E360B-1CEA-4FCA-A90F-06878C5D608A}" name="Column11716"/>
    <tableColumn id="11717" xr3:uid="{D6859327-E353-4C68-B814-56F1810412C2}" name="Column11717"/>
    <tableColumn id="11718" xr3:uid="{D0AA31B3-ED71-4EF4-8192-663B46E13913}" name="Column11718"/>
    <tableColumn id="11719" xr3:uid="{99A1064B-948B-4E53-8852-3B61FB9AFF4C}" name="Column11719"/>
    <tableColumn id="11720" xr3:uid="{60D365A0-5A87-4FA0-9BED-7456D69BC205}" name="Column11720"/>
    <tableColumn id="11721" xr3:uid="{A77DD7CB-37C3-4BC3-8A36-E16E2C88C1BA}" name="Column11721"/>
    <tableColumn id="11722" xr3:uid="{104AD1F2-F4CF-449B-90F2-68C5A3005244}" name="Column11722"/>
    <tableColumn id="11723" xr3:uid="{6BCA1F06-11A1-4548-90B5-B5C76E2B4025}" name="Column11723"/>
    <tableColumn id="11724" xr3:uid="{5586574F-8BFB-4B6B-80CC-302FD135DDC4}" name="Column11724"/>
    <tableColumn id="11725" xr3:uid="{90177C1C-1FD5-4AC0-B206-0DAE11AAE442}" name="Column11725"/>
    <tableColumn id="11726" xr3:uid="{F61793A2-A57D-4FA7-B4FB-D5C560B8910E}" name="Column11726"/>
    <tableColumn id="11727" xr3:uid="{AE7D4BAB-21B6-4C7E-AE5B-2A77C312D960}" name="Column11727"/>
    <tableColumn id="11728" xr3:uid="{F96A2095-198D-4546-B93C-0EE2D73FD408}" name="Column11728"/>
    <tableColumn id="11729" xr3:uid="{36CDB66E-1F18-4524-BD9A-3A6392A2B50B}" name="Column11729"/>
    <tableColumn id="11730" xr3:uid="{7F4F9369-A0A3-4B0B-A88D-2F8164CE13D8}" name="Column11730"/>
    <tableColumn id="11731" xr3:uid="{91157544-7CDD-4A1C-A7FE-9C9CC17808D3}" name="Column11731"/>
    <tableColumn id="11732" xr3:uid="{1D38AE1B-808D-4CFB-A4F7-CD71EECB13B5}" name="Column11732"/>
    <tableColumn id="11733" xr3:uid="{D6ED2384-9C6C-437D-B165-A14119F9D8D6}" name="Column11733"/>
    <tableColumn id="11734" xr3:uid="{EBBA3D10-2C4A-401C-9C66-36234292A757}" name="Column11734"/>
    <tableColumn id="11735" xr3:uid="{2CF83B8D-C1F7-4D47-84B0-4AD932FDC7BF}" name="Column11735"/>
    <tableColumn id="11736" xr3:uid="{17585109-0B24-45EA-8B06-C30A61B0996A}" name="Column11736"/>
    <tableColumn id="11737" xr3:uid="{7D8FBCDE-2F79-4617-95B6-F5B052AF0B73}" name="Column11737"/>
    <tableColumn id="11738" xr3:uid="{EAE8D847-5821-4EB3-AB9D-EFBF94F6A894}" name="Column11738"/>
    <tableColumn id="11739" xr3:uid="{25397D33-98CC-4853-A87E-C86CB7CBFED8}" name="Column11739"/>
    <tableColumn id="11740" xr3:uid="{84E83BA6-7C22-449F-8E97-799C54E5C563}" name="Column11740"/>
    <tableColumn id="11741" xr3:uid="{79B14E70-FABB-45A0-B06E-C2091996FF7C}" name="Column11741"/>
    <tableColumn id="11742" xr3:uid="{34F5178C-2188-421B-9E4A-1724E6B2E13C}" name="Column11742"/>
    <tableColumn id="11743" xr3:uid="{3127F6A8-E0B6-4F2D-809A-100A00A233EC}" name="Column11743"/>
    <tableColumn id="11744" xr3:uid="{8C6D2D63-F8BA-4F6F-A4C8-2C652359AEB1}" name="Column11744"/>
    <tableColumn id="11745" xr3:uid="{FC9F8766-DD6E-4DF1-A112-82FB486CA596}" name="Column11745"/>
    <tableColumn id="11746" xr3:uid="{C2893412-5825-4C10-A44E-8EA53C9F3E93}" name="Column11746"/>
    <tableColumn id="11747" xr3:uid="{3DA5E76C-6281-4609-9527-3F85A8991375}" name="Column11747"/>
    <tableColumn id="11748" xr3:uid="{B290CBEA-3D06-4AEC-9E98-F5B76556CDBC}" name="Column11748"/>
    <tableColumn id="11749" xr3:uid="{2BF1B80D-3908-49D6-A959-8E991354C904}" name="Column11749"/>
    <tableColumn id="11750" xr3:uid="{37E9653B-9AE5-4181-A274-03D35932C3EA}" name="Column11750"/>
    <tableColumn id="11751" xr3:uid="{58A1E74E-9658-438E-BB99-10FA5CF04DE2}" name="Column11751"/>
    <tableColumn id="11752" xr3:uid="{95ADCD6C-86F2-4E32-8D1A-DC0716105DE8}" name="Column11752"/>
    <tableColumn id="11753" xr3:uid="{15827E01-4C04-4578-A82C-0EC2EB812049}" name="Column11753"/>
    <tableColumn id="11754" xr3:uid="{189E452F-F242-4229-BFAD-EBF3699F96F1}" name="Column11754"/>
    <tableColumn id="11755" xr3:uid="{4B2AC5CC-7C98-4210-A070-253DD6F192F3}" name="Column11755"/>
    <tableColumn id="11756" xr3:uid="{3807F565-995C-4690-BE09-AE7CA5167410}" name="Column11756"/>
    <tableColumn id="11757" xr3:uid="{E573EBB4-CD52-4DC0-8599-BDFA0AC1D818}" name="Column11757"/>
    <tableColumn id="11758" xr3:uid="{46FACB6C-4316-40BF-9903-217E8D16771A}" name="Column11758"/>
    <tableColumn id="11759" xr3:uid="{C2E0202C-2C5C-4E46-981C-7F8A51B3A696}" name="Column11759"/>
    <tableColumn id="11760" xr3:uid="{6219707B-EF8D-46F7-B2FB-4856CC09E926}" name="Column11760"/>
    <tableColumn id="11761" xr3:uid="{9E8EDA21-6354-4149-8B50-A83EB12DCC83}" name="Column11761"/>
    <tableColumn id="11762" xr3:uid="{9D768284-7458-47EA-AA47-CE8F90F04E5E}" name="Column11762"/>
    <tableColumn id="11763" xr3:uid="{A0B96FD1-0EC4-4B89-AFD2-7B33D1A02A56}" name="Column11763"/>
    <tableColumn id="11764" xr3:uid="{39B7089A-1D61-4842-A316-7AE9EA1834AE}" name="Column11764"/>
    <tableColumn id="11765" xr3:uid="{6636A206-B7E9-4513-B13B-E7D41DCED124}" name="Column11765"/>
    <tableColumn id="11766" xr3:uid="{B54C8A4A-9DCE-4DD7-8720-EDCFF0BEEE2A}" name="Column11766"/>
    <tableColumn id="11767" xr3:uid="{00D9DCD1-2F14-444E-B8EE-76BFB60D4D35}" name="Column11767"/>
    <tableColumn id="11768" xr3:uid="{B75966E8-D3F5-4207-8354-B793F155160B}" name="Column11768"/>
    <tableColumn id="11769" xr3:uid="{9B26C19D-E7E6-487C-97CA-E86165D5416A}" name="Column11769"/>
    <tableColumn id="11770" xr3:uid="{1EA0BC5A-FB80-4044-A83E-ACFEE38DF418}" name="Column11770"/>
    <tableColumn id="11771" xr3:uid="{37B664E7-DA12-4CB0-9F0E-05F385AC7D14}" name="Column11771"/>
    <tableColumn id="11772" xr3:uid="{2ECBA5C4-8A6B-435A-9CA4-DBB6E78108F9}" name="Column11772"/>
    <tableColumn id="11773" xr3:uid="{DEBDC501-4C9D-4744-9232-49F95130E02D}" name="Column11773"/>
    <tableColumn id="11774" xr3:uid="{481DD4FA-5FB4-442B-9532-9CF355F22D3C}" name="Column11774"/>
    <tableColumn id="11775" xr3:uid="{A3EB6E23-5239-45B6-9E98-E578F3301C39}" name="Column11775"/>
    <tableColumn id="11776" xr3:uid="{0EA965D7-9567-47FC-8042-D896AEE3347F}" name="Column11776"/>
    <tableColumn id="11777" xr3:uid="{EC36A053-8CF1-4758-8BE0-8B51DB6B778A}" name="Column11777"/>
    <tableColumn id="11778" xr3:uid="{ECC603F0-2575-4549-8921-08636F7E2D8E}" name="Column11778"/>
    <tableColumn id="11779" xr3:uid="{33CF939C-2D8A-4879-966E-08B72570D6CE}" name="Column11779"/>
    <tableColumn id="11780" xr3:uid="{3E2FE789-7916-4846-BBFC-BF0C55F69F67}" name="Column11780"/>
    <tableColumn id="11781" xr3:uid="{7EC8A230-9A34-4C32-8921-00FDFE3F9B24}" name="Column11781"/>
    <tableColumn id="11782" xr3:uid="{372E17EF-D33D-48C3-AEA2-B58251EA9310}" name="Column11782"/>
    <tableColumn id="11783" xr3:uid="{B73E0033-4766-46ED-81A3-CCBBB94380E7}" name="Column11783"/>
    <tableColumn id="11784" xr3:uid="{3EB9E004-06E0-42D4-955C-D76E13F98605}" name="Column11784"/>
    <tableColumn id="11785" xr3:uid="{8BF89FD8-7AAA-4FC4-B239-963CB36EF111}" name="Column11785"/>
    <tableColumn id="11786" xr3:uid="{2BA9F33C-62F7-4D78-BA44-61E5DC7B7EA9}" name="Column11786"/>
    <tableColumn id="11787" xr3:uid="{464F7D40-0CD5-4EAB-B706-FBDC25F558D0}" name="Column11787"/>
    <tableColumn id="11788" xr3:uid="{895EA99D-4689-411A-A57E-763B548E6255}" name="Column11788"/>
    <tableColumn id="11789" xr3:uid="{3076982D-D4AA-49D6-A52F-1D2FF44DDB26}" name="Column11789"/>
    <tableColumn id="11790" xr3:uid="{7BC4CFEA-F1FC-407A-B3D1-614DBAA11E29}" name="Column11790"/>
    <tableColumn id="11791" xr3:uid="{0DEA0EE4-B9CE-4760-B839-C9191E5E0591}" name="Column11791"/>
    <tableColumn id="11792" xr3:uid="{64691479-19FA-4BC1-93F1-86FC8DD87FAF}" name="Column11792"/>
    <tableColumn id="11793" xr3:uid="{7E0B6A42-57CE-4130-8FA3-4E16285CEC3E}" name="Column11793"/>
    <tableColumn id="11794" xr3:uid="{333BB694-8E32-4A8B-BBA8-B023CEEEFCF6}" name="Column11794"/>
    <tableColumn id="11795" xr3:uid="{48A07E00-F075-4DC4-9D65-1DAEAAAD1F2C}" name="Column11795"/>
    <tableColumn id="11796" xr3:uid="{BC682C5D-75F5-4FF9-8697-FB210F87482E}" name="Column11796"/>
    <tableColumn id="11797" xr3:uid="{395F8F60-4CB8-4713-B759-82B50289D501}" name="Column11797"/>
    <tableColumn id="11798" xr3:uid="{1AC56C23-3A64-4801-9518-7E4ACD75868F}" name="Column11798"/>
    <tableColumn id="11799" xr3:uid="{9233C564-6C03-4328-A71C-9DDFB548A7E4}" name="Column11799"/>
    <tableColumn id="11800" xr3:uid="{320055FC-80A0-40BF-B7AE-E33489241CD3}" name="Column11800"/>
    <tableColumn id="11801" xr3:uid="{F24A6CC4-C8C0-4144-898F-30E4CF1C23D3}" name="Column11801"/>
    <tableColumn id="11802" xr3:uid="{6AAD13D9-D5AF-4C53-BF9A-272175047A47}" name="Column11802"/>
    <tableColumn id="11803" xr3:uid="{D338B45E-A7A8-4EE4-AE5E-5B7EE6C882F8}" name="Column11803"/>
    <tableColumn id="11804" xr3:uid="{15ACFD5D-46B4-4687-86C8-00A680CB9F50}" name="Column11804"/>
    <tableColumn id="11805" xr3:uid="{B2F5DFE3-C8A3-459F-B161-B7A9F33AE9C2}" name="Column11805"/>
    <tableColumn id="11806" xr3:uid="{B73CEE99-64EA-4513-A6D7-AC2629D95535}" name="Column11806"/>
    <tableColumn id="11807" xr3:uid="{8A0C312E-02C9-4C95-9D64-A5E21B7AD263}" name="Column11807"/>
    <tableColumn id="11808" xr3:uid="{29E3DDD9-76EE-4599-AAF1-D7E1A45E134D}" name="Column11808"/>
    <tableColumn id="11809" xr3:uid="{7F5AE3B6-207C-4814-8996-44B573CD987F}" name="Column11809"/>
    <tableColumn id="11810" xr3:uid="{2FF89D0D-39C0-40E3-83FF-3EB7AA769C45}" name="Column11810"/>
    <tableColumn id="11811" xr3:uid="{DCF64AA1-6E05-4A4E-A25D-FCE58F786675}" name="Column11811"/>
    <tableColumn id="11812" xr3:uid="{3701EA52-43D6-43EC-B92A-BEA81E29B681}" name="Column11812"/>
    <tableColumn id="11813" xr3:uid="{1F2B3F0B-CED5-4CB4-B6CC-CD5737724063}" name="Column11813"/>
    <tableColumn id="11814" xr3:uid="{E9E23BB7-87F3-4C46-8C80-2F6D8F5155FE}" name="Column11814"/>
    <tableColumn id="11815" xr3:uid="{4F1B21C0-DB1B-4DC8-9051-9057F0B06CFD}" name="Column11815"/>
    <tableColumn id="11816" xr3:uid="{C75D8C6A-0505-4769-BADC-524696F799F1}" name="Column11816"/>
    <tableColumn id="11817" xr3:uid="{DC3508F6-1410-4F51-93E0-A9593D4273D6}" name="Column11817"/>
    <tableColumn id="11818" xr3:uid="{D77BD85D-FEFC-4004-8779-F610F47D772E}" name="Column11818"/>
    <tableColumn id="11819" xr3:uid="{4C307D2B-5992-4A21-AFF4-6962065BB787}" name="Column11819"/>
    <tableColumn id="11820" xr3:uid="{C36DF65A-2F63-41B0-B4B2-4932AD7FA3C4}" name="Column11820"/>
    <tableColumn id="11821" xr3:uid="{14792E17-D25E-4555-BF98-4C07BE1882B6}" name="Column11821"/>
    <tableColumn id="11822" xr3:uid="{CB375A1E-F8CC-42C5-B388-09BDA95935FB}" name="Column11822"/>
    <tableColumn id="11823" xr3:uid="{0D437B63-1A37-425E-AE18-78E67F32306F}" name="Column11823"/>
    <tableColumn id="11824" xr3:uid="{3A8A91D7-A2CF-475E-93C0-A2B3C836FC24}" name="Column11824"/>
    <tableColumn id="11825" xr3:uid="{EDE5EB3B-94B9-4304-9066-2D7883FE79D7}" name="Column11825"/>
    <tableColumn id="11826" xr3:uid="{9DD8AA62-8824-426B-A10E-829F23FFA287}" name="Column11826"/>
    <tableColumn id="11827" xr3:uid="{B9AAEB99-E3B8-45B7-81A4-A3A619CAF7C0}" name="Column11827"/>
    <tableColumn id="11828" xr3:uid="{5C6EECEC-4D33-4143-8A96-E95C3A43F01C}" name="Column11828"/>
    <tableColumn id="11829" xr3:uid="{A7AD5055-C904-4E8C-851E-8CFC783EB491}" name="Column11829"/>
    <tableColumn id="11830" xr3:uid="{DDC0D033-CB3D-42CD-B471-DF4CA60A4296}" name="Column11830"/>
    <tableColumn id="11831" xr3:uid="{85E2C7BE-1F82-44B8-BDED-863A1D5A22A4}" name="Column11831"/>
    <tableColumn id="11832" xr3:uid="{2BF3B6FD-AABC-427F-AE8E-6557517B73BC}" name="Column11832"/>
    <tableColumn id="11833" xr3:uid="{7275CBB5-A7DE-4322-B7FD-FDBF90C1D728}" name="Column11833"/>
    <tableColumn id="11834" xr3:uid="{9E658C58-A4DF-4B3C-B652-9BC11E9099EF}" name="Column11834"/>
    <tableColumn id="11835" xr3:uid="{308CEC2C-9D78-4AEE-8FF7-60C3F2CD3767}" name="Column11835"/>
    <tableColumn id="11836" xr3:uid="{7100B497-01BE-431A-94B5-33BE86734647}" name="Column11836"/>
    <tableColumn id="11837" xr3:uid="{4144D44B-AFDC-478B-A8A1-D6AEEE2D9510}" name="Column11837"/>
    <tableColumn id="11838" xr3:uid="{CD49DDCF-53FE-405D-A0FE-400D93C6FC71}" name="Column11838"/>
    <tableColumn id="11839" xr3:uid="{08371BD2-4A99-4AA2-98D9-49395E6BC8C0}" name="Column11839"/>
    <tableColumn id="11840" xr3:uid="{1BBE8377-BE19-44D2-BA04-CB7043F90234}" name="Column11840"/>
    <tableColumn id="11841" xr3:uid="{14C7F596-E34F-408E-B950-14A7F682A8F0}" name="Column11841"/>
    <tableColumn id="11842" xr3:uid="{08EDFDA2-E196-42C6-B2FA-171B03173575}" name="Column11842"/>
    <tableColumn id="11843" xr3:uid="{8F5BDC04-8882-4184-83DF-841CE5E541EC}" name="Column11843"/>
    <tableColumn id="11844" xr3:uid="{7B9E9458-5AC0-45B9-9AE8-4419026D9FA9}" name="Column11844"/>
    <tableColumn id="11845" xr3:uid="{F32493D9-FB62-4F40-A9D9-1D910E0C274B}" name="Column11845"/>
    <tableColumn id="11846" xr3:uid="{B8B953B8-1D8D-480C-BFF6-77C20BF8C19D}" name="Column11846"/>
    <tableColumn id="11847" xr3:uid="{EF7A9626-FFD3-4F6F-AE87-0A42B761BDCE}" name="Column11847"/>
    <tableColumn id="11848" xr3:uid="{EC08E540-ED2F-4732-B645-E8B89FE77ABA}" name="Column11848"/>
    <tableColumn id="11849" xr3:uid="{945E96CF-15B2-4B6A-9E46-32C9D11CDA37}" name="Column11849"/>
    <tableColumn id="11850" xr3:uid="{643D4941-FFE6-4A3D-98E2-DB62BBC12460}" name="Column11850"/>
    <tableColumn id="11851" xr3:uid="{D723D286-C87F-4DB3-B96E-90BEB1C8EB90}" name="Column11851"/>
    <tableColumn id="11852" xr3:uid="{E14F2EF9-8EC0-4174-96D1-9F5975ED9846}" name="Column11852"/>
    <tableColumn id="11853" xr3:uid="{4A36536F-8DB1-4DC5-BAD0-4B24B26F2ABA}" name="Column11853"/>
    <tableColumn id="11854" xr3:uid="{E29457BB-DA32-4D20-80EC-119C2A89C078}" name="Column11854"/>
    <tableColumn id="11855" xr3:uid="{1ECDA4C5-5D41-4200-AE9A-E1AC170B4271}" name="Column11855"/>
    <tableColumn id="11856" xr3:uid="{A8819C65-5094-4D70-9F05-22CE1E4A551F}" name="Column11856"/>
    <tableColumn id="11857" xr3:uid="{E6CABA4E-5CDD-4212-8C9E-5B44663D012D}" name="Column11857"/>
    <tableColumn id="11858" xr3:uid="{D02B3801-F177-49B3-A32C-D8E81BA7BD3D}" name="Column11858"/>
    <tableColumn id="11859" xr3:uid="{4655E54B-2BF3-4EB8-BFB2-D3B9EFE48B8D}" name="Column11859"/>
    <tableColumn id="11860" xr3:uid="{4ED328F7-15B4-4C9D-9828-5AE1C2BAB0E9}" name="Column11860"/>
    <tableColumn id="11861" xr3:uid="{4888A228-0B46-439E-AA71-C5C46C39AF9B}" name="Column11861"/>
    <tableColumn id="11862" xr3:uid="{2FB5F03C-430C-483F-8B70-908039C22F70}" name="Column11862"/>
    <tableColumn id="11863" xr3:uid="{0A57A8B8-E56E-4E0F-A726-D96D76C13E31}" name="Column11863"/>
    <tableColumn id="11864" xr3:uid="{1F7FE567-CB01-4F7A-95D5-69D5AA730F53}" name="Column11864"/>
    <tableColumn id="11865" xr3:uid="{5A86664C-DAB6-4DF9-8CE3-91E56F278E9F}" name="Column11865"/>
    <tableColumn id="11866" xr3:uid="{111F4794-0480-4C26-956A-4ECA34B419AD}" name="Column11866"/>
    <tableColumn id="11867" xr3:uid="{66B461D1-1B1C-47C8-832A-46F1C1DDB4FE}" name="Column11867"/>
    <tableColumn id="11868" xr3:uid="{F3308C3E-554A-4E76-9D6B-48A9D4A6EB63}" name="Column11868"/>
    <tableColumn id="11869" xr3:uid="{898F56B2-305C-4B91-91F8-4B4619F8756D}" name="Column11869"/>
    <tableColumn id="11870" xr3:uid="{1D0217A6-18A5-440E-8E68-216B62102FF1}" name="Column11870"/>
    <tableColumn id="11871" xr3:uid="{89FFA8D9-0737-41A2-BB09-C09A76857F07}" name="Column11871"/>
    <tableColumn id="11872" xr3:uid="{59AEABBD-452D-422C-A803-B697291E6275}" name="Column11872"/>
    <tableColumn id="11873" xr3:uid="{5C3133DA-32A9-47A7-89D7-FC7E96238E5F}" name="Column11873"/>
    <tableColumn id="11874" xr3:uid="{9D91408B-4346-416D-A53C-E2096703321F}" name="Column11874"/>
    <tableColumn id="11875" xr3:uid="{F1187F17-48BC-427F-9A2C-4F2A93224871}" name="Column11875"/>
    <tableColumn id="11876" xr3:uid="{6AC11BD2-3762-4667-8CF5-38B0A243FA12}" name="Column11876"/>
    <tableColumn id="11877" xr3:uid="{0195AFE4-C131-4947-A979-0EE29C24ACEC}" name="Column11877"/>
    <tableColumn id="11878" xr3:uid="{3526C589-1179-4B0E-9121-D78E0B802780}" name="Column11878"/>
    <tableColumn id="11879" xr3:uid="{F343A823-2701-42E3-BABD-F03D6F63DD31}" name="Column11879"/>
    <tableColumn id="11880" xr3:uid="{6AB7CA06-2418-47EA-9B98-9B2E13390559}" name="Column11880"/>
    <tableColumn id="11881" xr3:uid="{B0EA55C5-7249-44E7-B9A3-AD68B5202773}" name="Column11881"/>
    <tableColumn id="11882" xr3:uid="{5347C94D-BA21-47F1-B5F9-3CF286AA74FB}" name="Column11882"/>
    <tableColumn id="11883" xr3:uid="{1A634396-E28B-4B3B-9FAA-15C9F5D36A08}" name="Column11883"/>
    <tableColumn id="11884" xr3:uid="{CFC925EC-9BAF-406A-A179-F57E69C10FF5}" name="Column11884"/>
    <tableColumn id="11885" xr3:uid="{803DD241-AB10-4E63-89F3-6CDDF0C05BBF}" name="Column11885"/>
    <tableColumn id="11886" xr3:uid="{F360F47C-873C-4963-8B61-682AD4D95580}" name="Column11886"/>
    <tableColumn id="11887" xr3:uid="{10F78478-1B19-4DCB-BEE9-CB50320A4BDE}" name="Column11887"/>
    <tableColumn id="11888" xr3:uid="{5ACB3FF1-9938-498E-858C-E0C87200E65A}" name="Column11888"/>
    <tableColumn id="11889" xr3:uid="{8A4AA9CA-8ED5-4CE8-84CB-103FEEBDE785}" name="Column11889"/>
    <tableColumn id="11890" xr3:uid="{96A9BCFC-8E2E-4DED-82F7-E599A040D343}" name="Column11890"/>
    <tableColumn id="11891" xr3:uid="{E72D1999-4CD3-4BB5-A96D-52966CA4E198}" name="Column11891"/>
    <tableColumn id="11892" xr3:uid="{70123FBA-A1FF-486E-9986-2B91F9E41F91}" name="Column11892"/>
    <tableColumn id="11893" xr3:uid="{C11EDB40-A417-46AB-89B7-26D61CC8498A}" name="Column11893"/>
    <tableColumn id="11894" xr3:uid="{6ECC97C6-9577-4CAB-827C-25E03F916C38}" name="Column11894"/>
    <tableColumn id="11895" xr3:uid="{E3072783-CEC5-4A23-A430-B8BEE830E83C}" name="Column11895"/>
    <tableColumn id="11896" xr3:uid="{33C66CDC-D58E-4F23-BD31-99F3E33FE70B}" name="Column11896"/>
    <tableColumn id="11897" xr3:uid="{FA3513AD-FF0E-4530-9D2A-A3BFED66590E}" name="Column11897"/>
    <tableColumn id="11898" xr3:uid="{9936BB45-C099-440E-A87B-73A083E13ADC}" name="Column11898"/>
    <tableColumn id="11899" xr3:uid="{D2F084B9-6ED9-4FC7-90BE-11902C363968}" name="Column11899"/>
    <tableColumn id="11900" xr3:uid="{C5641D5D-9D0C-46B8-B737-033DA15D93EF}" name="Column11900"/>
    <tableColumn id="11901" xr3:uid="{D8D0B450-024B-4110-80C6-62DFAB8ABDCC}" name="Column11901"/>
    <tableColumn id="11902" xr3:uid="{C1EE1C4B-5163-488D-B939-5B5EA26A5EEF}" name="Column11902"/>
    <tableColumn id="11903" xr3:uid="{D48AD3C5-4DF0-4C94-AC0B-14ADA2EE07B8}" name="Column11903"/>
    <tableColumn id="11904" xr3:uid="{8F817298-F483-466D-83C1-8B2773EC2F3B}" name="Column11904"/>
    <tableColumn id="11905" xr3:uid="{F651255F-93B5-4435-8CB1-7EB8D96A214D}" name="Column11905"/>
    <tableColumn id="11906" xr3:uid="{28B39FCD-8B4F-45A2-9048-3C71DFF07935}" name="Column11906"/>
    <tableColumn id="11907" xr3:uid="{966E710A-2303-4DE7-B26C-5D7225B11FD4}" name="Column11907"/>
    <tableColumn id="11908" xr3:uid="{10D27869-6EAC-45ED-8CB3-4E991E1E9DE2}" name="Column11908"/>
    <tableColumn id="11909" xr3:uid="{4E0EAD66-526B-447A-8865-4E7784166C8B}" name="Column11909"/>
    <tableColumn id="11910" xr3:uid="{9A84447B-CD7A-4083-9E39-54207F6934F4}" name="Column11910"/>
    <tableColumn id="11911" xr3:uid="{963C8BEF-70E5-4629-8EA8-4630AA34E3DC}" name="Column11911"/>
    <tableColumn id="11912" xr3:uid="{F7941A83-471B-421C-9C04-03B7BB48FF7B}" name="Column11912"/>
    <tableColumn id="11913" xr3:uid="{F8B99351-6E21-4AD3-8533-C38978837151}" name="Column11913"/>
    <tableColumn id="11914" xr3:uid="{8EADD19E-8869-4495-952C-66AAAEB91316}" name="Column11914"/>
    <tableColumn id="11915" xr3:uid="{5A0C0801-B99F-4502-9794-2FD1C4C03BFE}" name="Column11915"/>
    <tableColumn id="11916" xr3:uid="{AAD9A0C6-E0C5-43DB-A790-2DD7F87BE669}" name="Column11916"/>
    <tableColumn id="11917" xr3:uid="{AF0E6ABD-5678-4BBB-B368-2BE4A3E4EEBB}" name="Column11917"/>
    <tableColumn id="11918" xr3:uid="{CB93D65A-940D-4129-A30D-D7C2CF33E1CE}" name="Column11918"/>
    <tableColumn id="11919" xr3:uid="{EA0E15F4-2D48-4C3E-8A5E-FF5061B98BCF}" name="Column11919"/>
    <tableColumn id="11920" xr3:uid="{275B0C62-3C34-4FA1-A732-A431C7690C94}" name="Column11920"/>
    <tableColumn id="11921" xr3:uid="{7C0B83A7-9549-4E9B-A5EB-BA2ED98719BA}" name="Column11921"/>
    <tableColumn id="11922" xr3:uid="{A921BB44-CE07-441F-9436-C83C951BCC40}" name="Column11922"/>
    <tableColumn id="11923" xr3:uid="{AA3F4456-390E-455E-81D3-D8F40933EFCA}" name="Column11923"/>
    <tableColumn id="11924" xr3:uid="{32EE367D-EED9-48FD-B60C-5D19CCEC6ED1}" name="Column11924"/>
    <tableColumn id="11925" xr3:uid="{71F92111-6F1B-4CA5-B2DF-B4E3D7F69D71}" name="Column11925"/>
    <tableColumn id="11926" xr3:uid="{5493532B-5D42-40F3-85DC-8CA8A5C6F9F9}" name="Column11926"/>
    <tableColumn id="11927" xr3:uid="{40AE72D4-2362-40EA-80CA-7B4F3B3B6AA4}" name="Column11927"/>
    <tableColumn id="11928" xr3:uid="{7C153D2E-AC2C-4383-93BD-D7A73C874F12}" name="Column11928"/>
    <tableColumn id="11929" xr3:uid="{5D5422CE-61B7-4ED7-B931-CE224F772BCD}" name="Column11929"/>
    <tableColumn id="11930" xr3:uid="{FF93EA1D-9232-4D21-BE5F-83EB4208FDBF}" name="Column11930"/>
    <tableColumn id="11931" xr3:uid="{92C2F8E9-2951-40CF-95BB-0B8FF9EA0CEF}" name="Column11931"/>
    <tableColumn id="11932" xr3:uid="{795F7436-0954-488E-B846-C98B66E046C5}" name="Column11932"/>
    <tableColumn id="11933" xr3:uid="{826AAF2F-26A9-4584-8927-DB18604A5428}" name="Column11933"/>
    <tableColumn id="11934" xr3:uid="{954DB301-16BA-4B83-A237-D54C00965AFE}" name="Column11934"/>
    <tableColumn id="11935" xr3:uid="{A9DEC0CD-9F6B-4F31-921B-BA6C10CF1379}" name="Column11935"/>
    <tableColumn id="11936" xr3:uid="{BBE8E780-D7A4-488F-B355-A6302AA436EC}" name="Column11936"/>
    <tableColumn id="11937" xr3:uid="{056D3EDF-B26E-4C24-B7B4-B23BB8CB9C64}" name="Column11937"/>
    <tableColumn id="11938" xr3:uid="{CA820987-328B-4A41-AD98-A4AE51B7F567}" name="Column11938"/>
    <tableColumn id="11939" xr3:uid="{3BD57B6C-8050-4D18-A559-C5E0FD790444}" name="Column11939"/>
    <tableColumn id="11940" xr3:uid="{A79ECD19-9298-4924-BA44-3B03E82D0319}" name="Column11940"/>
    <tableColumn id="11941" xr3:uid="{330E6FCA-9C80-405D-BEAF-21CD49E00C01}" name="Column11941"/>
    <tableColumn id="11942" xr3:uid="{23F5F988-F9E9-4253-92B7-71ABB7BB5DB6}" name="Column11942"/>
    <tableColumn id="11943" xr3:uid="{1595B905-32C8-459B-A107-EB83489ED901}" name="Column11943"/>
    <tableColumn id="11944" xr3:uid="{1235B6C6-BB9C-4E04-A2E2-9FEE795C50FE}" name="Column11944"/>
    <tableColumn id="11945" xr3:uid="{B3F84904-4C66-43A8-9AE2-3CAA802D61F5}" name="Column11945"/>
    <tableColumn id="11946" xr3:uid="{A450E876-6A5B-438E-879B-5908461A1C95}" name="Column11946"/>
    <tableColumn id="11947" xr3:uid="{E380B511-C3AE-4549-8A2A-7879E8C3DE4F}" name="Column11947"/>
    <tableColumn id="11948" xr3:uid="{04DBBEF5-76D4-4563-82A5-3BD400D73786}" name="Column11948"/>
    <tableColumn id="11949" xr3:uid="{66AC77BD-B930-42B6-8DF5-1587CB6B4454}" name="Column11949"/>
    <tableColumn id="11950" xr3:uid="{250CFBFC-7BDE-49CF-922F-04D27EBE186D}" name="Column11950"/>
    <tableColumn id="11951" xr3:uid="{6D1833D0-81E9-4C8F-ADCF-962F748FEE60}" name="Column11951"/>
    <tableColumn id="11952" xr3:uid="{60FDA2FD-07F4-4FD7-A6E0-286C2117468D}" name="Column11952"/>
    <tableColumn id="11953" xr3:uid="{909D7E9E-EF67-4B99-BF3A-929C7EDF0AB6}" name="Column11953"/>
    <tableColumn id="11954" xr3:uid="{AADB1C2F-5FEE-418A-8808-C21CEA889F22}" name="Column11954"/>
    <tableColumn id="11955" xr3:uid="{0F000D9A-39CD-4413-9D3D-F80FE3523D7B}" name="Column11955"/>
    <tableColumn id="11956" xr3:uid="{D29F20E0-8DF8-4FB8-9C9B-FD363A87D054}" name="Column11956"/>
    <tableColumn id="11957" xr3:uid="{252F84B5-26B4-44E5-ADA3-1A0158B97F31}" name="Column11957"/>
    <tableColumn id="11958" xr3:uid="{65C00851-B7C9-4887-9051-40D390ABD877}" name="Column11958"/>
    <tableColumn id="11959" xr3:uid="{1D65A60D-1AA6-4739-8731-7F0A60690FA1}" name="Column11959"/>
    <tableColumn id="11960" xr3:uid="{B958C8C3-F7D1-414C-88BE-B2D4D1EDD84B}" name="Column11960"/>
    <tableColumn id="11961" xr3:uid="{6E46A5EB-EA4D-403C-B5C3-60B10D03D47F}" name="Column11961"/>
    <tableColumn id="11962" xr3:uid="{F863731C-0F00-411C-B96E-88F3414EB4A1}" name="Column11962"/>
    <tableColumn id="11963" xr3:uid="{1213BDF5-D2DD-4405-A655-63080B6463C8}" name="Column11963"/>
    <tableColumn id="11964" xr3:uid="{9F98B274-E13A-415C-BF76-A2C5AB28BE7D}" name="Column11964"/>
    <tableColumn id="11965" xr3:uid="{EE83C14D-2140-460B-89EF-1F4336E1F3CF}" name="Column11965"/>
    <tableColumn id="11966" xr3:uid="{57A1D8AD-086C-4B9A-BBE0-DD0469C36F74}" name="Column11966"/>
    <tableColumn id="11967" xr3:uid="{22740EBD-25F3-4B63-A8D7-6C9103473D19}" name="Column11967"/>
    <tableColumn id="11968" xr3:uid="{2AD47316-AF72-4473-9A17-2793B1FA6E9A}" name="Column11968"/>
    <tableColumn id="11969" xr3:uid="{8417680E-1001-4F66-B66B-B3F6F6A06C44}" name="Column11969"/>
    <tableColumn id="11970" xr3:uid="{D53691DE-BAA1-4DBC-8244-7F8139A2BED9}" name="Column11970"/>
    <tableColumn id="11971" xr3:uid="{4569AAFD-CABE-42F4-8122-E096557662BA}" name="Column11971"/>
    <tableColumn id="11972" xr3:uid="{AC4107B3-6A07-4301-9E45-25B2DE480762}" name="Column11972"/>
    <tableColumn id="11973" xr3:uid="{4D0DF7D6-D700-430C-979E-47438BC39405}" name="Column11973"/>
    <tableColumn id="11974" xr3:uid="{345AA7CF-320B-4F1B-854D-518391E7076C}" name="Column11974"/>
    <tableColumn id="11975" xr3:uid="{EFC895B3-A9F0-4180-B82D-3C2413C26BC3}" name="Column11975"/>
    <tableColumn id="11976" xr3:uid="{F5CAB453-0BAA-489E-AFF3-5BDBEC730B5C}" name="Column11976"/>
    <tableColumn id="11977" xr3:uid="{31E4AE72-9B42-47A2-90DF-F505F39E7BEF}" name="Column11977"/>
    <tableColumn id="11978" xr3:uid="{058110D5-81EB-4F09-8AEC-F1FE8182FCE1}" name="Column11978"/>
    <tableColumn id="11979" xr3:uid="{0A40E57D-6177-43EA-AF20-80E8FD86E9CD}" name="Column11979"/>
    <tableColumn id="11980" xr3:uid="{5EF5422B-1DE3-4A3A-80CB-5AC72BEB80F5}" name="Column11980"/>
    <tableColumn id="11981" xr3:uid="{3E60B423-CCC5-4DF5-A011-941916BF3FF4}" name="Column11981"/>
    <tableColumn id="11982" xr3:uid="{E2BF5FC9-C964-401A-B15F-65A2F0C0B5CF}" name="Column11982"/>
    <tableColumn id="11983" xr3:uid="{695E25C0-245B-48BE-81F2-FF3C4DE62DFA}" name="Column11983"/>
    <tableColumn id="11984" xr3:uid="{4B88584D-FC84-48B1-B039-E2DDC075F2BD}" name="Column11984"/>
    <tableColumn id="11985" xr3:uid="{49256646-A8FC-4E75-A848-8E94D089A998}" name="Column11985"/>
    <tableColumn id="11986" xr3:uid="{C66BE379-064B-45FC-B31B-F618EAB938CC}" name="Column11986"/>
    <tableColumn id="11987" xr3:uid="{CB56B150-4010-4A9D-9013-33F80A23606D}" name="Column11987"/>
    <tableColumn id="11988" xr3:uid="{D0DA05F1-C99E-48C9-BF10-63619D098C52}" name="Column11988"/>
    <tableColumn id="11989" xr3:uid="{004B8EBC-ECEB-433B-8587-E60F62194A79}" name="Column11989"/>
    <tableColumn id="11990" xr3:uid="{4085E8CB-F6D2-4908-A88F-6CEF6CCC6CBB}" name="Column11990"/>
    <tableColumn id="11991" xr3:uid="{37162E3D-79F6-4912-9492-0FF84028D554}" name="Column11991"/>
    <tableColumn id="11992" xr3:uid="{302806DB-B0E2-4944-A28D-15254F82DF65}" name="Column11992"/>
    <tableColumn id="11993" xr3:uid="{9DD6D70F-EE1E-4148-9FAD-6AE45977538D}" name="Column11993"/>
    <tableColumn id="11994" xr3:uid="{1CD032F2-B27C-4D3D-B1BB-E3A4D273DF80}" name="Column11994"/>
    <tableColumn id="11995" xr3:uid="{3F35A544-6932-4160-9BF1-C6AD9E0F199D}" name="Column11995"/>
    <tableColumn id="11996" xr3:uid="{71860409-C32C-4DB6-927C-118F106248F1}" name="Column11996"/>
    <tableColumn id="11997" xr3:uid="{BA0F803D-5755-401A-A469-FC729875ED49}" name="Column11997"/>
    <tableColumn id="11998" xr3:uid="{AB9BDFCE-DB8C-4C56-829A-3ACA7EEE8197}" name="Column11998"/>
    <tableColumn id="11999" xr3:uid="{ABE67145-E441-4C85-8777-7A2DDB696557}" name="Column11999"/>
    <tableColumn id="12000" xr3:uid="{5723E31C-9EAB-4C67-9434-CB664739D367}" name="Column12000"/>
    <tableColumn id="12001" xr3:uid="{0656E4E6-7279-4581-AE4D-832B1D55AB96}" name="Column12001"/>
    <tableColumn id="12002" xr3:uid="{70AC4289-43F7-4AC6-A7DB-2F9468A2B65C}" name="Column12002"/>
    <tableColumn id="12003" xr3:uid="{C42B1132-8333-4F53-88CD-68BACB5C1BA4}" name="Column12003"/>
    <tableColumn id="12004" xr3:uid="{3E725015-C99F-4B81-8B30-F28823DA29C7}" name="Column12004"/>
    <tableColumn id="12005" xr3:uid="{78A3BC83-BD55-4F2E-B348-4974A4241F81}" name="Column12005"/>
    <tableColumn id="12006" xr3:uid="{AF9171CC-BADF-405D-900C-9F03AFC71E83}" name="Column12006"/>
    <tableColumn id="12007" xr3:uid="{3B6322BA-AF73-47F3-91F8-B69BF1A8D5E4}" name="Column12007"/>
    <tableColumn id="12008" xr3:uid="{90D9BAA2-7F7E-4769-A89F-2A45B76BF24A}" name="Column12008"/>
    <tableColumn id="12009" xr3:uid="{891AB0ED-7F85-4F23-90EF-FB8BA62D6AB5}" name="Column12009"/>
    <tableColumn id="12010" xr3:uid="{F4430E7C-1821-4C68-8879-18A18F07DAAD}" name="Column12010"/>
    <tableColumn id="12011" xr3:uid="{3358CAB2-13DD-4AB8-AC6E-69B50D2736CF}" name="Column12011"/>
    <tableColumn id="12012" xr3:uid="{483880F0-BFA1-4314-B67D-29843599C592}" name="Column12012"/>
    <tableColumn id="12013" xr3:uid="{0A7C421F-2B2C-4480-92F8-EF63E890FBD7}" name="Column12013"/>
    <tableColumn id="12014" xr3:uid="{BAC32E86-36A6-4494-8E32-54B5DACFA5F4}" name="Column12014"/>
    <tableColumn id="12015" xr3:uid="{1D0B155D-0AAF-4183-B498-F55D81FDF37A}" name="Column12015"/>
    <tableColumn id="12016" xr3:uid="{A1D7510A-159A-4A9B-9109-F92B57E476CB}" name="Column12016"/>
    <tableColumn id="12017" xr3:uid="{FAA7075C-452F-4DD3-BB0B-4A2B0D090C93}" name="Column12017"/>
    <tableColumn id="12018" xr3:uid="{3151B093-014C-4194-8E5A-56F430DEC272}" name="Column12018"/>
    <tableColumn id="12019" xr3:uid="{724A3113-11A3-4D8D-9C7E-ED819607DBD7}" name="Column12019"/>
    <tableColumn id="12020" xr3:uid="{8A489B95-BF2E-484C-8833-26F607F0D6C0}" name="Column12020"/>
    <tableColumn id="12021" xr3:uid="{74F684D9-5E69-4448-B35E-830447F6D5D3}" name="Column12021"/>
    <tableColumn id="12022" xr3:uid="{FD3C03E9-EC59-47BA-BDA2-9198CD45F682}" name="Column12022"/>
    <tableColumn id="12023" xr3:uid="{5AAA9EFE-1971-4E89-9462-A2C3633D2DCD}" name="Column12023"/>
    <tableColumn id="12024" xr3:uid="{9E978651-7B5B-4A87-A4D2-E4C12898B8CA}" name="Column12024"/>
    <tableColumn id="12025" xr3:uid="{216105AE-42F5-4E53-87EE-A8CA9A0C7B01}" name="Column12025"/>
    <tableColumn id="12026" xr3:uid="{0661CD2F-264C-436C-92A9-7EB6BE3CC603}" name="Column12026"/>
    <tableColumn id="12027" xr3:uid="{FC9B77C4-271B-44C8-9DCD-9707BBD85E45}" name="Column12027"/>
    <tableColumn id="12028" xr3:uid="{476DC71A-4D48-4C8D-B77D-E5EB0AA28BCA}" name="Column12028"/>
    <tableColumn id="12029" xr3:uid="{0E624104-BA6F-49D4-85B4-186A74897616}" name="Column12029"/>
    <tableColumn id="12030" xr3:uid="{F2CE1E43-CF94-4CCB-A88F-8BF03AF47BB2}" name="Column12030"/>
    <tableColumn id="12031" xr3:uid="{D4A8A9F2-6632-4CE9-9012-A97EAADD05CF}" name="Column12031"/>
    <tableColumn id="12032" xr3:uid="{52E84186-6432-494E-8FB2-342D147FE711}" name="Column12032"/>
    <tableColumn id="12033" xr3:uid="{6D9608F6-B8C4-47E1-AED5-F4B4D7B0D5E7}" name="Column12033"/>
    <tableColumn id="12034" xr3:uid="{F332F7D0-1352-490A-8E56-6B6380585996}" name="Column12034"/>
    <tableColumn id="12035" xr3:uid="{5A508A23-22F0-400B-BF94-72D379768D12}" name="Column12035"/>
    <tableColumn id="12036" xr3:uid="{82A1D518-76BA-49D6-8083-0E8BDDA36086}" name="Column12036"/>
    <tableColumn id="12037" xr3:uid="{CBD5A38D-7E04-461F-887B-16AA777B8BEF}" name="Column12037"/>
    <tableColumn id="12038" xr3:uid="{C387CE7A-423C-4662-9AA5-962D7C87B05A}" name="Column12038"/>
    <tableColumn id="12039" xr3:uid="{F30061E5-4BD9-4585-820F-36ABEE5DE2E1}" name="Column12039"/>
    <tableColumn id="12040" xr3:uid="{58B5982D-80A7-4A67-B6AE-12B25D97C8D0}" name="Column12040"/>
    <tableColumn id="12041" xr3:uid="{14F3EB03-65BC-4367-81AD-C95228A39001}" name="Column12041"/>
    <tableColumn id="12042" xr3:uid="{EC774AB4-A34E-4EE6-893E-A9FD18162872}" name="Column12042"/>
    <tableColumn id="12043" xr3:uid="{5B27D9AB-70B3-448E-B242-04B20D9F0174}" name="Column12043"/>
    <tableColumn id="12044" xr3:uid="{F762CFE9-6D2F-47D7-A50C-7B4C7FEBCC0B}" name="Column12044"/>
    <tableColumn id="12045" xr3:uid="{FD5752B0-C6EF-4E89-9C54-E1BBD9559A08}" name="Column12045"/>
    <tableColumn id="12046" xr3:uid="{F7947A57-B64F-452F-A1C1-9465794CA107}" name="Column12046"/>
    <tableColumn id="12047" xr3:uid="{16F16C6A-76D6-4286-B091-007E2A4C73EF}" name="Column12047"/>
    <tableColumn id="12048" xr3:uid="{E0B71159-354B-4F54-8E9E-BCF2BEC5645B}" name="Column12048"/>
    <tableColumn id="12049" xr3:uid="{58084A34-C2A9-4B71-B4D7-57B757CC2B90}" name="Column12049"/>
    <tableColumn id="12050" xr3:uid="{183CD614-0863-4F1A-8D2D-CFEB362BDE93}" name="Column12050"/>
    <tableColumn id="12051" xr3:uid="{C4BD1792-4C37-4C9C-B63E-250055FEAB12}" name="Column12051"/>
    <tableColumn id="12052" xr3:uid="{00AD6806-26A4-4BCF-B3DB-1B92E151389C}" name="Column12052"/>
    <tableColumn id="12053" xr3:uid="{4B500CAE-64C2-42CA-AEE1-99BD7C0AD00C}" name="Column12053"/>
    <tableColumn id="12054" xr3:uid="{462CDE46-C413-4ACB-B582-CE6B810FF9A1}" name="Column12054"/>
    <tableColumn id="12055" xr3:uid="{04D7FA96-EDFD-46A4-BFBA-0812BA2E7A1A}" name="Column12055"/>
    <tableColumn id="12056" xr3:uid="{4D9C00FB-B945-4E20-A7C6-8B3FF56AD56F}" name="Column12056"/>
    <tableColumn id="12057" xr3:uid="{B11302FF-4090-4D6E-9290-CEFD7706CD4C}" name="Column12057"/>
    <tableColumn id="12058" xr3:uid="{6312557F-6415-4C23-9855-E382AD5400EC}" name="Column12058"/>
    <tableColumn id="12059" xr3:uid="{3362E6A1-106D-42C4-A579-E0B3850D0780}" name="Column12059"/>
    <tableColumn id="12060" xr3:uid="{3EDEDBC1-94E5-4F16-910C-C675C7B59625}" name="Column12060"/>
    <tableColumn id="12061" xr3:uid="{BA7D6237-63D1-4009-837C-26CF2EA2B467}" name="Column12061"/>
    <tableColumn id="12062" xr3:uid="{B69CFC1E-1E4B-49BE-94FB-ED4C63D3FB6C}" name="Column12062"/>
    <tableColumn id="12063" xr3:uid="{18EF9FCC-F6FE-4FD7-BB30-89ECA57FF43C}" name="Column12063"/>
    <tableColumn id="12064" xr3:uid="{3EFA77EE-1D3F-45B9-A301-6FFCFFB73504}" name="Column12064"/>
    <tableColumn id="12065" xr3:uid="{FAF083B7-81F2-4EE2-A91B-6DE19AB43B96}" name="Column12065"/>
    <tableColumn id="12066" xr3:uid="{387237FA-D892-4A6E-A74D-04328C982B65}" name="Column12066"/>
    <tableColumn id="12067" xr3:uid="{2D5FA169-1639-4C1D-90F3-E4BE689C6084}" name="Column12067"/>
    <tableColumn id="12068" xr3:uid="{ADC33F55-0493-4A37-AB25-31DCC69A3601}" name="Column12068"/>
    <tableColumn id="12069" xr3:uid="{07847E6F-BFFC-4485-ACB9-31DE99AB4AE5}" name="Column12069"/>
    <tableColumn id="12070" xr3:uid="{A060519D-73FB-4126-8066-782FBB5F9694}" name="Column12070"/>
    <tableColumn id="12071" xr3:uid="{4B8D5FF7-5AD8-4177-85C5-D47DFF4495A3}" name="Column12071"/>
    <tableColumn id="12072" xr3:uid="{B1E34BFF-8EBF-4720-99BB-0E214CDACB69}" name="Column12072"/>
    <tableColumn id="12073" xr3:uid="{B16748B8-36E1-47E4-89EB-B9D70B488AA9}" name="Column12073"/>
    <tableColumn id="12074" xr3:uid="{E6CEA1FA-30E7-4462-8D29-798D2A1CB543}" name="Column12074"/>
    <tableColumn id="12075" xr3:uid="{77CE2B84-C806-4EBE-B0B2-47BBD20FBC36}" name="Column12075"/>
    <tableColumn id="12076" xr3:uid="{21F2E46C-E149-4512-94B5-C84258F1BB05}" name="Column12076"/>
    <tableColumn id="12077" xr3:uid="{39A90D97-B64D-46FA-8909-CB837D5F11DC}" name="Column12077"/>
    <tableColumn id="12078" xr3:uid="{11BFC441-73E4-4564-8BCE-FF8F5BBDFC5E}" name="Column12078"/>
    <tableColumn id="12079" xr3:uid="{AED3C020-E183-4376-A7BB-14370CBB0A55}" name="Column12079"/>
    <tableColumn id="12080" xr3:uid="{64C67D62-DCAA-4203-B162-8E9CC2CD91EE}" name="Column12080"/>
    <tableColumn id="12081" xr3:uid="{06582EAA-4E71-48BE-94E2-860870B84167}" name="Column12081"/>
    <tableColumn id="12082" xr3:uid="{6D1AA851-0962-42F3-9BB4-8E27EC9010B3}" name="Column12082"/>
    <tableColumn id="12083" xr3:uid="{8A51C47C-8A1B-40CC-BCE1-CFD45DF22A4C}" name="Column12083"/>
    <tableColumn id="12084" xr3:uid="{D580D380-B7A9-4827-88F5-8FF91B52F237}" name="Column12084"/>
    <tableColumn id="12085" xr3:uid="{A6EC874F-B2DB-48BF-B84F-981AAF524872}" name="Column12085"/>
    <tableColumn id="12086" xr3:uid="{D6C1C041-A00A-4261-8870-26B0BBC7A23F}" name="Column12086"/>
    <tableColumn id="12087" xr3:uid="{883F41E5-FD34-4E46-8FCB-0E520C4D9855}" name="Column12087"/>
    <tableColumn id="12088" xr3:uid="{CF0D9178-CD1D-440A-A96B-15A4E10C9F63}" name="Column12088"/>
    <tableColumn id="12089" xr3:uid="{B1EAC131-FD22-43B4-BD4B-32301AC26D14}" name="Column12089"/>
    <tableColumn id="12090" xr3:uid="{87B306F5-50E6-453D-9AC6-C2D2F403F9B4}" name="Column12090"/>
    <tableColumn id="12091" xr3:uid="{3E191E7E-998E-4DC0-8868-A378D810D875}" name="Column12091"/>
    <tableColumn id="12092" xr3:uid="{3C498CFE-D155-4E39-A25C-796463481333}" name="Column12092"/>
    <tableColumn id="12093" xr3:uid="{FE1EAE12-726A-4F39-B973-73DAF48AB9AF}" name="Column12093"/>
    <tableColumn id="12094" xr3:uid="{FF9AE693-4AD5-489F-8D96-9EE8C662AB26}" name="Column12094"/>
    <tableColumn id="12095" xr3:uid="{D1E14F74-9FEC-4C1B-99D2-4520E2B7ACD7}" name="Column12095"/>
    <tableColumn id="12096" xr3:uid="{9305370A-2FA0-4C90-9B82-CDC87C625A0B}" name="Column12096"/>
    <tableColumn id="12097" xr3:uid="{C7A07C45-A1FE-4A66-A8EB-1D0C2B27CA31}" name="Column12097"/>
    <tableColumn id="12098" xr3:uid="{7C66F33C-4161-4D35-830D-DE2F12F7BF36}" name="Column12098"/>
    <tableColumn id="12099" xr3:uid="{6E822EC2-07AD-46F0-846C-A38297F7EDDA}" name="Column12099"/>
    <tableColumn id="12100" xr3:uid="{3A5AF54B-38D6-473F-8578-E0FFD53B58D2}" name="Column12100"/>
    <tableColumn id="12101" xr3:uid="{EDC54BD0-23B9-4929-82D7-44DA7ACB932E}" name="Column12101"/>
    <tableColumn id="12102" xr3:uid="{8BF75D82-DDD0-46DA-B4DB-D4D9C47B1913}" name="Column12102"/>
    <tableColumn id="12103" xr3:uid="{115E2A30-4D73-4882-9CC8-953C517BF0D6}" name="Column12103"/>
    <tableColumn id="12104" xr3:uid="{204DDBCF-5134-47E1-A600-4A0952CA018C}" name="Column12104"/>
    <tableColumn id="12105" xr3:uid="{E5B89CCC-B913-4F8F-906D-FD893AEC24B7}" name="Column12105"/>
    <tableColumn id="12106" xr3:uid="{3D0814A5-9539-46FF-8EFC-DBA23C7A34CF}" name="Column12106"/>
    <tableColumn id="12107" xr3:uid="{5817ACAB-8A21-4DEB-9385-89FB898D74A5}" name="Column12107"/>
    <tableColumn id="12108" xr3:uid="{B855738B-CB17-48B1-9D8E-0759AEFB8BFF}" name="Column12108"/>
    <tableColumn id="12109" xr3:uid="{7C5527AF-9E91-4E63-A19B-F7E5B5F6B7EE}" name="Column12109"/>
    <tableColumn id="12110" xr3:uid="{256B1840-C68D-4D33-AF73-3B27A57BC874}" name="Column12110"/>
    <tableColumn id="12111" xr3:uid="{CDE39956-E073-464D-ADEE-FBC96F75BB7A}" name="Column12111"/>
    <tableColumn id="12112" xr3:uid="{682F0B04-5371-4414-B240-3E82157AE126}" name="Column12112"/>
    <tableColumn id="12113" xr3:uid="{7CFB1580-8428-4CAC-9282-F24E76E27053}" name="Column12113"/>
    <tableColumn id="12114" xr3:uid="{3BA1461D-9A77-43DC-98A0-08DC7D837860}" name="Column12114"/>
    <tableColumn id="12115" xr3:uid="{ED75A850-C136-43AA-B690-D9647CFBDFDF}" name="Column12115"/>
    <tableColumn id="12116" xr3:uid="{E70A3E82-636A-4E7E-8091-2A3F64804B01}" name="Column12116"/>
    <tableColumn id="12117" xr3:uid="{06AC42A3-A9D2-43C0-8855-9DCC04BBD9E2}" name="Column12117"/>
    <tableColumn id="12118" xr3:uid="{CDA60BB7-D046-4B79-BFBF-5819C81B82F9}" name="Column12118"/>
    <tableColumn id="12119" xr3:uid="{F7026FD6-E37D-48BD-B417-915A48EAFE41}" name="Column12119"/>
    <tableColumn id="12120" xr3:uid="{C8B4FEB3-3284-4217-8BC0-E4C5CADEE449}" name="Column12120"/>
    <tableColumn id="12121" xr3:uid="{9D5DE3EB-BE68-461D-9162-C66C314DE672}" name="Column12121"/>
    <tableColumn id="12122" xr3:uid="{DA562407-0CE9-46FD-9679-EA9F91A599D5}" name="Column12122"/>
    <tableColumn id="12123" xr3:uid="{D68CE1F2-6128-491C-AC08-835D7984C2B6}" name="Column12123"/>
    <tableColumn id="12124" xr3:uid="{C783BC76-ECA2-4F30-8CB7-59A0882FD124}" name="Column12124"/>
    <tableColumn id="12125" xr3:uid="{8D974950-7CA1-448D-AEB9-222CE8CB90EF}" name="Column12125"/>
    <tableColumn id="12126" xr3:uid="{21F332E3-70FD-4143-9856-DE148F60C8D2}" name="Column12126"/>
    <tableColumn id="12127" xr3:uid="{38FE44C6-5582-4572-B3CE-D300383850DE}" name="Column12127"/>
    <tableColumn id="12128" xr3:uid="{01AE044C-2E8D-477F-A9BA-4C348EC85DCD}" name="Column12128"/>
    <tableColumn id="12129" xr3:uid="{3465B39F-FB84-4B02-8863-A9FECFBD309A}" name="Column12129"/>
    <tableColumn id="12130" xr3:uid="{69EB7A4F-B6F4-40C5-BA98-2FD2CF3ED8B6}" name="Column12130"/>
    <tableColumn id="12131" xr3:uid="{4BB8F7D8-71E8-439F-931A-FD1C70AED8A7}" name="Column12131"/>
    <tableColumn id="12132" xr3:uid="{20061FB9-DCB5-40BF-8D94-FE68B707330C}" name="Column12132"/>
    <tableColumn id="12133" xr3:uid="{A6322CE8-2E81-45CF-9651-A4A84129EF13}" name="Column12133"/>
    <tableColumn id="12134" xr3:uid="{FA91F3D3-D1AF-4504-9BF5-5A59E794FA54}" name="Column12134"/>
    <tableColumn id="12135" xr3:uid="{00F03942-A5AB-467C-8EE5-70CBA77B1CAF}" name="Column12135"/>
    <tableColumn id="12136" xr3:uid="{310738B1-C51F-45AF-B095-8DF368D166F7}" name="Column12136"/>
    <tableColumn id="12137" xr3:uid="{9743224F-E931-4E84-89F1-DEE41E650544}" name="Column12137"/>
    <tableColumn id="12138" xr3:uid="{E458B47E-6B53-416A-96E2-02F8E4B2852F}" name="Column12138"/>
    <tableColumn id="12139" xr3:uid="{BFA00F85-FCCE-4013-83FA-C98208BD8ECB}" name="Column12139"/>
    <tableColumn id="12140" xr3:uid="{3A5FA871-6CA5-44A3-B02F-F2D92269DF85}" name="Column12140"/>
    <tableColumn id="12141" xr3:uid="{B895E736-18B0-4626-AF4C-83DBB9D761C4}" name="Column12141"/>
    <tableColumn id="12142" xr3:uid="{6C11AA7B-5062-4EFD-B8A5-D2AC853E7B4C}" name="Column12142"/>
    <tableColumn id="12143" xr3:uid="{B3145969-F746-4550-A303-8E8A864620AB}" name="Column12143"/>
    <tableColumn id="12144" xr3:uid="{151FF5E7-8E01-463E-A931-DA04416B929A}" name="Column12144"/>
    <tableColumn id="12145" xr3:uid="{9488442D-5E95-43F7-91A3-A89603276B9C}" name="Column12145"/>
    <tableColumn id="12146" xr3:uid="{09838906-33D7-474F-962C-91ED0CD732D0}" name="Column12146"/>
    <tableColumn id="12147" xr3:uid="{CCB83D7E-D4CB-4261-AB82-396A5A13BBA9}" name="Column12147"/>
    <tableColumn id="12148" xr3:uid="{C700DFFA-6128-4CD7-9417-3F5092EF6600}" name="Column12148"/>
    <tableColumn id="12149" xr3:uid="{C02B52A5-110E-4066-A872-AEDFFB052323}" name="Column12149"/>
    <tableColumn id="12150" xr3:uid="{EF908EFF-B366-4743-A6BF-EFD44F0F8981}" name="Column12150"/>
    <tableColumn id="12151" xr3:uid="{CF5A7A22-26D6-4C4B-9BC9-29632D0D49E6}" name="Column12151"/>
    <tableColumn id="12152" xr3:uid="{2A1413C3-45D1-4D44-8181-DA68D232169D}" name="Column12152"/>
    <tableColumn id="12153" xr3:uid="{D3AD4F0D-A626-44EF-99C0-B6D489FACE8D}" name="Column12153"/>
    <tableColumn id="12154" xr3:uid="{21299172-D7DD-430A-867D-7436AF102E59}" name="Column12154"/>
    <tableColumn id="12155" xr3:uid="{2F3D1C29-F511-4A6A-92FF-28A39D3FD4CC}" name="Column12155"/>
    <tableColumn id="12156" xr3:uid="{BEA824A4-E30E-4DAA-A19A-6F2FED7FFD26}" name="Column12156"/>
    <tableColumn id="12157" xr3:uid="{31CE3EBB-A95D-410E-AB13-34F999A07A5D}" name="Column12157"/>
    <tableColumn id="12158" xr3:uid="{CF450A4D-1396-44E5-A274-088F27D31624}" name="Column12158"/>
    <tableColumn id="12159" xr3:uid="{932E6AFD-9090-41B0-862E-23AC96F7D991}" name="Column12159"/>
    <tableColumn id="12160" xr3:uid="{FAC325AA-44C5-4C83-B761-191162861324}" name="Column12160"/>
    <tableColumn id="12161" xr3:uid="{950FC0AD-0C40-4BC0-B858-C684415915C3}" name="Column12161"/>
    <tableColumn id="12162" xr3:uid="{7ABD55CF-72C7-47C6-83A1-69D83F2204A3}" name="Column12162"/>
    <tableColumn id="12163" xr3:uid="{75052D89-8A2C-4DDB-A349-8ECADDF1D060}" name="Column12163"/>
    <tableColumn id="12164" xr3:uid="{B1352BD2-7D39-4CB9-87A9-5F7A53F64290}" name="Column12164"/>
    <tableColumn id="12165" xr3:uid="{2EBED327-F106-4CED-A1A8-F04B3B258835}" name="Column12165"/>
    <tableColumn id="12166" xr3:uid="{57390FE6-D7DB-4AB0-A432-408EDBE23E00}" name="Column12166"/>
    <tableColumn id="12167" xr3:uid="{B5735F76-E0E4-464A-A3D1-FD463C18CD14}" name="Column12167"/>
    <tableColumn id="12168" xr3:uid="{83ACFE01-184B-474B-A373-F584E1AEF466}" name="Column12168"/>
    <tableColumn id="12169" xr3:uid="{5463B33C-CCA8-485B-8FE4-C201076F65FA}" name="Column12169"/>
    <tableColumn id="12170" xr3:uid="{6692DDEC-0E35-4362-9641-4242315CFC07}" name="Column12170"/>
    <tableColumn id="12171" xr3:uid="{8DD048FA-814E-4367-90FE-5E93C725A9B2}" name="Column12171"/>
    <tableColumn id="12172" xr3:uid="{3CD10043-0AD3-4ACC-8837-D9D6C1C23BF1}" name="Column12172"/>
    <tableColumn id="12173" xr3:uid="{AAF97CA2-6A27-44D3-8F4D-ECE42A553586}" name="Column12173"/>
    <tableColumn id="12174" xr3:uid="{7C2447CA-5BA8-44FB-8538-93EA6938600D}" name="Column12174"/>
    <tableColumn id="12175" xr3:uid="{D7192952-D64D-41D4-AA91-191E5D226D63}" name="Column12175"/>
    <tableColumn id="12176" xr3:uid="{7DAB1D84-9DE0-4F6C-A4FD-F1B5D1B7021F}" name="Column12176"/>
    <tableColumn id="12177" xr3:uid="{05BE0049-A4A0-4FFD-A9D8-CF41BA64F4AE}" name="Column12177"/>
    <tableColumn id="12178" xr3:uid="{7462DA98-D1B0-43E7-9E21-F9B4F94BED1E}" name="Column12178"/>
    <tableColumn id="12179" xr3:uid="{D640DDB7-937B-470E-9B49-B6D8A6103067}" name="Column12179"/>
    <tableColumn id="12180" xr3:uid="{055762BA-590A-4A9F-8383-14862C569B43}" name="Column12180"/>
    <tableColumn id="12181" xr3:uid="{C78E2C4F-6CB7-4C1D-BBFA-63ABCD84519E}" name="Column12181"/>
    <tableColumn id="12182" xr3:uid="{DC4E5793-A327-471A-B4B0-148E4DAA2560}" name="Column12182"/>
    <tableColumn id="12183" xr3:uid="{7284B4A2-F841-451C-8BE8-FCD31E8CF8FE}" name="Column12183"/>
    <tableColumn id="12184" xr3:uid="{34D6E5D7-4649-46E2-956D-0517A409E973}" name="Column12184"/>
    <tableColumn id="12185" xr3:uid="{9E828C03-1D52-49C2-B3ED-BFADEAA1092C}" name="Column12185"/>
    <tableColumn id="12186" xr3:uid="{09B37798-9802-43AC-B404-9D14CD99A881}" name="Column12186"/>
    <tableColumn id="12187" xr3:uid="{B281D6C6-22B5-48C2-A5E4-693C43F64429}" name="Column12187"/>
    <tableColumn id="12188" xr3:uid="{EC2DD45F-B698-408D-8A7B-FE25C18B0D9D}" name="Column12188"/>
    <tableColumn id="12189" xr3:uid="{0EE3DEB7-990E-484C-A9F3-560E2D8B4C17}" name="Column12189"/>
    <tableColumn id="12190" xr3:uid="{6859616A-4551-4A19-A7C7-46980E31077D}" name="Column12190"/>
    <tableColumn id="12191" xr3:uid="{0CA3C313-CA45-4464-87BE-716E046C2E92}" name="Column12191"/>
    <tableColumn id="12192" xr3:uid="{21A3ABD7-DDF1-4BA6-8D3F-01E14D97540C}" name="Column12192"/>
    <tableColumn id="12193" xr3:uid="{06E263D6-946A-41BF-9018-8F0F49C495BB}" name="Column12193"/>
    <tableColumn id="12194" xr3:uid="{1C8E1FA9-14F1-49F2-8323-2F853DBA4DF5}" name="Column12194"/>
    <tableColumn id="12195" xr3:uid="{82E53BD7-E07F-4603-AC54-5CFBFF1E5829}" name="Column12195"/>
    <tableColumn id="12196" xr3:uid="{9900B0FA-EB6E-44E0-A53C-CCBECEE9F6ED}" name="Column12196"/>
    <tableColumn id="12197" xr3:uid="{F713FD8E-DEDF-442D-B96E-A70B7EA8D966}" name="Column12197"/>
    <tableColumn id="12198" xr3:uid="{79CF0638-53C8-4EFA-82E8-FD242B0BD75E}" name="Column12198"/>
    <tableColumn id="12199" xr3:uid="{DF00CF00-87E9-4FBB-91EE-72C7025EA5C9}" name="Column12199"/>
    <tableColumn id="12200" xr3:uid="{DCCDD2F6-0417-4398-A6B4-D64321402175}" name="Column12200"/>
    <tableColumn id="12201" xr3:uid="{755665FC-59B0-4C4F-A186-D1E17B49EA27}" name="Column12201"/>
    <tableColumn id="12202" xr3:uid="{7981F84E-8009-4E7A-B490-05DE49F35538}" name="Column12202"/>
    <tableColumn id="12203" xr3:uid="{979812CE-2F12-4CD5-82E9-946F44C83073}" name="Column12203"/>
    <tableColumn id="12204" xr3:uid="{841D5162-9CDE-49F3-A331-40A8DD849D9F}" name="Column12204"/>
    <tableColumn id="12205" xr3:uid="{B03C6DA7-15C0-4E3B-86A1-A98F1F653F58}" name="Column12205"/>
    <tableColumn id="12206" xr3:uid="{DB3C8B3B-E8C9-42DF-877C-21D5325D7A67}" name="Column12206"/>
    <tableColumn id="12207" xr3:uid="{B16DE07E-DB8F-43CA-85AB-B958D236BE13}" name="Column12207"/>
    <tableColumn id="12208" xr3:uid="{3C2A9051-544F-4F06-917A-EF39CC9DA158}" name="Column12208"/>
    <tableColumn id="12209" xr3:uid="{C28F56BD-941A-4CA4-A48D-EA63721C0D46}" name="Column12209"/>
    <tableColumn id="12210" xr3:uid="{D03708E5-EE13-4475-972B-4AF17FE842F9}" name="Column12210"/>
    <tableColumn id="12211" xr3:uid="{696907EF-0ED3-466A-96FA-D70945CAAAF6}" name="Column12211"/>
    <tableColumn id="12212" xr3:uid="{58C73B7E-F08B-49A5-B034-DB94C72CA002}" name="Column12212"/>
    <tableColumn id="12213" xr3:uid="{4E1BA49E-8C33-43AA-94AE-2E0F6C36E31D}" name="Column12213"/>
    <tableColumn id="12214" xr3:uid="{00A03F2E-7071-43FF-9A34-6B40FA3A9EC9}" name="Column12214"/>
    <tableColumn id="12215" xr3:uid="{F1BC9EF8-1607-4928-9F4D-F66E57AA5F66}" name="Column12215"/>
    <tableColumn id="12216" xr3:uid="{4C5E387B-A00A-4C22-B043-8665A5815B5C}" name="Column12216"/>
    <tableColumn id="12217" xr3:uid="{AD6A98B1-0EBF-47D5-B75A-6D2CD50A3ECE}" name="Column12217"/>
    <tableColumn id="12218" xr3:uid="{CF7FC975-EBC5-481F-9247-2C2F1CF58182}" name="Column12218"/>
    <tableColumn id="12219" xr3:uid="{CDB70159-1382-4C06-96DF-E28DADEDB0B0}" name="Column12219"/>
    <tableColumn id="12220" xr3:uid="{9439650D-7380-42D4-B2EE-DD6134F8265B}" name="Column12220"/>
    <tableColumn id="12221" xr3:uid="{CD53D8DB-FD7B-4E32-8330-B921F20140C8}" name="Column12221"/>
    <tableColumn id="12222" xr3:uid="{124F22E5-22D6-4AC2-8896-9616558B0B52}" name="Column12222"/>
    <tableColumn id="12223" xr3:uid="{0563062C-0570-41A0-88F8-E07BB1D04A11}" name="Column12223"/>
    <tableColumn id="12224" xr3:uid="{1179D469-4759-42EE-A78E-E74EA2701517}" name="Column12224"/>
    <tableColumn id="12225" xr3:uid="{2105CEF0-AC42-41FC-A707-5332555A56CE}" name="Column12225"/>
    <tableColumn id="12226" xr3:uid="{7253E099-58BB-4845-AC18-59F4F3B7AB2C}" name="Column12226"/>
    <tableColumn id="12227" xr3:uid="{06C9A886-F5D1-46EC-B927-F57E11ED1384}" name="Column12227"/>
    <tableColumn id="12228" xr3:uid="{395769C7-A7A1-4574-997D-C816D9A36DD6}" name="Column12228"/>
    <tableColumn id="12229" xr3:uid="{11CF8453-D103-4146-B464-5CE30FCE0B22}" name="Column12229"/>
    <tableColumn id="12230" xr3:uid="{A88D852A-C5F7-422E-83AE-AD5021DDBEF6}" name="Column12230"/>
    <tableColumn id="12231" xr3:uid="{3C160ECB-8EF3-4383-8637-8B080400094E}" name="Column12231"/>
    <tableColumn id="12232" xr3:uid="{5824041C-DFCF-41FE-B6FB-D2BAF961FEC4}" name="Column12232"/>
    <tableColumn id="12233" xr3:uid="{F139A6DD-3DAF-4188-AB6E-0389295D87ED}" name="Column12233"/>
    <tableColumn id="12234" xr3:uid="{13EC479B-4145-4117-8133-ABFEBB7A675B}" name="Column12234"/>
    <tableColumn id="12235" xr3:uid="{3D74A48C-A658-4FEB-8A11-E5C75B8514F2}" name="Column12235"/>
    <tableColumn id="12236" xr3:uid="{18E83E26-DC95-4935-9E0A-CE96E5ED7F25}" name="Column12236"/>
    <tableColumn id="12237" xr3:uid="{1721F024-CD60-4650-BD91-8E002ECF75C1}" name="Column12237"/>
    <tableColumn id="12238" xr3:uid="{C2AAF2E9-AEBB-4EFF-BE5C-8C4ACB35A997}" name="Column12238"/>
    <tableColumn id="12239" xr3:uid="{45C9133E-2654-4F89-9CAB-8BC1C8B696D1}" name="Column12239"/>
    <tableColumn id="12240" xr3:uid="{2AC6A315-EF02-49B1-A972-5F70F2A773A9}" name="Column12240"/>
    <tableColumn id="12241" xr3:uid="{A699053E-7ECA-45FC-AE94-53518EBA94A9}" name="Column12241"/>
    <tableColumn id="12242" xr3:uid="{E475C760-432B-47CB-B7F7-8B881232E380}" name="Column12242"/>
    <tableColumn id="12243" xr3:uid="{3C584B08-900D-49DC-8AA2-F69A45A8BAA1}" name="Column12243"/>
    <tableColumn id="12244" xr3:uid="{0AF61491-FE73-4763-A00B-5D5E4228BEB7}" name="Column12244"/>
    <tableColumn id="12245" xr3:uid="{A1C0AC0B-36FF-4E15-A3A1-0FC1A05E6B3A}" name="Column12245"/>
    <tableColumn id="12246" xr3:uid="{C8C45D69-A7DE-4EB9-9EA0-1DD47439C58E}" name="Column12246"/>
    <tableColumn id="12247" xr3:uid="{BA661764-32E7-4549-A449-A87D101F3BC6}" name="Column12247"/>
    <tableColumn id="12248" xr3:uid="{FB7C9F59-ACE0-4595-8B8B-F8E64649A467}" name="Column12248"/>
    <tableColumn id="12249" xr3:uid="{46D29065-76DB-4407-96C3-6706AEBD5495}" name="Column12249"/>
    <tableColumn id="12250" xr3:uid="{3399A11B-5915-4979-AB01-DA1EDEC72633}" name="Column12250"/>
    <tableColumn id="12251" xr3:uid="{1A434900-DD07-489F-A39B-1DD041903BEE}" name="Column12251"/>
    <tableColumn id="12252" xr3:uid="{02285B88-E9C1-419B-9E7A-1954AB55A3BE}" name="Column12252"/>
    <tableColumn id="12253" xr3:uid="{F670FE45-4F0A-4A79-B3DE-512A5804E25F}" name="Column12253"/>
    <tableColumn id="12254" xr3:uid="{1A6D7700-C57D-476B-B01A-5FFEB6F2E467}" name="Column12254"/>
    <tableColumn id="12255" xr3:uid="{E8FF5DFA-D4E0-4DC5-AB98-80038E8CFF96}" name="Column12255"/>
    <tableColumn id="12256" xr3:uid="{B30CC17F-38D4-49EC-9555-5CC42F8A71B0}" name="Column12256"/>
    <tableColumn id="12257" xr3:uid="{5BA44FEE-CA11-450D-80A9-F1504C37DD41}" name="Column12257"/>
    <tableColumn id="12258" xr3:uid="{B6BFDF68-4E63-46EC-BEE1-97B361FF5E34}" name="Column12258"/>
    <tableColumn id="12259" xr3:uid="{01394B99-3722-494A-8134-A6BC455D80E2}" name="Column12259"/>
    <tableColumn id="12260" xr3:uid="{D2A9226D-2DBC-4722-BE92-CFC078AE6283}" name="Column12260"/>
    <tableColumn id="12261" xr3:uid="{977A133B-C959-4B9D-918A-D202ABD8233A}" name="Column12261"/>
    <tableColumn id="12262" xr3:uid="{6E8D52EA-B9C7-45CD-BBB5-BF96E75CC2C0}" name="Column12262"/>
    <tableColumn id="12263" xr3:uid="{E5BBCC21-9709-499C-974B-B1623D7E8DD4}" name="Column12263"/>
    <tableColumn id="12264" xr3:uid="{12962EC3-0523-4D9C-9FF1-69F17B72ACC2}" name="Column12264"/>
    <tableColumn id="12265" xr3:uid="{72D14320-E812-42DB-A40D-F20544147774}" name="Column12265"/>
    <tableColumn id="12266" xr3:uid="{F56347A9-7EC4-4CF9-A572-A2CB0A98216E}" name="Column12266"/>
    <tableColumn id="12267" xr3:uid="{1A327265-E9C4-4ED1-BFB6-8A0FE7C85DBD}" name="Column12267"/>
    <tableColumn id="12268" xr3:uid="{A5E833AD-0472-4E44-A6FB-ECA3ADB690F4}" name="Column12268"/>
    <tableColumn id="12269" xr3:uid="{B1A45B0F-C750-44D1-BCFB-0C9F7DFCDC81}" name="Column12269"/>
    <tableColumn id="12270" xr3:uid="{17BAE83B-2EB1-4800-9DE9-5E6AA2635223}" name="Column12270"/>
    <tableColumn id="12271" xr3:uid="{6E32E90F-B7D5-49A1-9C39-32F22D89ADE6}" name="Column12271"/>
    <tableColumn id="12272" xr3:uid="{05A195C7-C0D4-4FC2-B68A-EDA1EE8EA9C8}" name="Column12272"/>
    <tableColumn id="12273" xr3:uid="{E7E18086-E0D5-4F50-A7FE-7BCAB79544A4}" name="Column12273"/>
    <tableColumn id="12274" xr3:uid="{E56DE192-1F8F-487D-A1DC-56B48E0EF687}" name="Column12274"/>
    <tableColumn id="12275" xr3:uid="{2837649E-A9EC-4197-91DC-F94EA28F0D89}" name="Column12275"/>
    <tableColumn id="12276" xr3:uid="{31B926C8-4991-4B24-8276-03C2697E6D38}" name="Column12276"/>
    <tableColumn id="12277" xr3:uid="{B135A878-90C9-488E-8908-71B6CDEB9463}" name="Column12277"/>
    <tableColumn id="12278" xr3:uid="{FA21A31E-9B67-4EAC-B7CB-C897D8CEB0A0}" name="Column12278"/>
    <tableColumn id="12279" xr3:uid="{6CD97B66-559C-49E5-AC8B-AC9E26FA9E73}" name="Column12279"/>
    <tableColumn id="12280" xr3:uid="{C2A52702-46D9-4BB3-9242-F74866F76F45}" name="Column12280"/>
    <tableColumn id="12281" xr3:uid="{946C567F-0B0F-4D21-8EEF-62A3443F535E}" name="Column12281"/>
    <tableColumn id="12282" xr3:uid="{B66750DD-BC83-4AB8-9FB5-27258B06E58D}" name="Column12282"/>
    <tableColumn id="12283" xr3:uid="{24973A23-1907-438B-ABC0-08329DBDED93}" name="Column12283"/>
    <tableColumn id="12284" xr3:uid="{B2D1D4E3-8766-4998-9CFD-AC88B22F2D50}" name="Column12284"/>
    <tableColumn id="12285" xr3:uid="{8A9DE10A-2994-45B0-A243-AA49A683C88A}" name="Column12285"/>
    <tableColumn id="12286" xr3:uid="{5E3B8D04-51AF-4372-AD93-8A43863658AA}" name="Column12286"/>
    <tableColumn id="12287" xr3:uid="{F0AE5921-6C23-4875-B2EE-A60F1EB0AE9E}" name="Column12287"/>
    <tableColumn id="12288" xr3:uid="{F297F47E-E519-4BE4-81B3-F9348720A58E}" name="Column12288"/>
    <tableColumn id="12289" xr3:uid="{9BE4AC91-5A84-41C9-AAA4-39E481F41416}" name="Column12289"/>
    <tableColumn id="12290" xr3:uid="{E512CBB0-9008-4DD3-AD98-1D42586201F0}" name="Column12290"/>
    <tableColumn id="12291" xr3:uid="{9AF555C7-3045-4FAE-A611-AC9E1A8EB367}" name="Column12291"/>
    <tableColumn id="12292" xr3:uid="{6F73DBC2-E1B7-4352-86EE-60DED954EBA0}" name="Column12292"/>
    <tableColumn id="12293" xr3:uid="{202EE605-D02F-4E7D-8B40-F927E5C8696F}" name="Column12293"/>
    <tableColumn id="12294" xr3:uid="{E7AF656C-9E97-44EA-84FD-C54538776EAA}" name="Column12294"/>
    <tableColumn id="12295" xr3:uid="{0ED18313-DC7D-4F77-A052-B4BEBC3C4E15}" name="Column12295"/>
    <tableColumn id="12296" xr3:uid="{6B731CEF-0861-4A38-95D9-8AD446DF9233}" name="Column12296"/>
    <tableColumn id="12297" xr3:uid="{A8A2FC49-8070-4A52-9667-9438DC20B2B6}" name="Column12297"/>
    <tableColumn id="12298" xr3:uid="{43C6D9F4-5869-458A-934F-2BF22D887EA5}" name="Column12298"/>
    <tableColumn id="12299" xr3:uid="{A32780F6-352C-436C-A568-79B2628B7BC9}" name="Column12299"/>
    <tableColumn id="12300" xr3:uid="{842FC176-451C-4934-8957-E680A8EA0F91}" name="Column12300"/>
    <tableColumn id="12301" xr3:uid="{B766DBD8-ADAB-40CB-88F3-58E65C74066A}" name="Column12301"/>
    <tableColumn id="12302" xr3:uid="{6A592E6F-1AC7-4E7A-8D53-97886CAF1EEF}" name="Column12302"/>
    <tableColumn id="12303" xr3:uid="{6C3B7C3E-EB1A-4AAB-9631-62B342E0FEE8}" name="Column12303"/>
    <tableColumn id="12304" xr3:uid="{E4EE40C8-DE8B-4F58-8486-8BF330DF465E}" name="Column12304"/>
    <tableColumn id="12305" xr3:uid="{1DCAE950-1545-4793-97DB-92C0B8000871}" name="Column12305"/>
    <tableColumn id="12306" xr3:uid="{A1D28ED0-7844-473A-979A-1AF6B17C7CF7}" name="Column12306"/>
    <tableColumn id="12307" xr3:uid="{187EA571-0538-4BBE-ABD9-AC2D7AE0D659}" name="Column12307"/>
    <tableColumn id="12308" xr3:uid="{906F2EDD-CB50-4AB6-A647-0945CCC66869}" name="Column12308"/>
    <tableColumn id="12309" xr3:uid="{421F8954-54EB-47B5-9336-35C96E0D4229}" name="Column12309"/>
    <tableColumn id="12310" xr3:uid="{6FF5A0A1-7F8A-4415-9A8E-44AD693BF914}" name="Column12310"/>
    <tableColumn id="12311" xr3:uid="{EC743DBE-C1FB-49F3-AAA6-D933A3402C1C}" name="Column12311"/>
    <tableColumn id="12312" xr3:uid="{CEEFC152-82ED-41F5-A5BD-68732AE72FAC}" name="Column12312"/>
    <tableColumn id="12313" xr3:uid="{A4B3C1CC-A212-4D38-9D4D-A6EA0D90D7D3}" name="Column12313"/>
    <tableColumn id="12314" xr3:uid="{88FF8EBA-D03E-4F5F-AAAA-08B0A9C5CCD4}" name="Column12314"/>
    <tableColumn id="12315" xr3:uid="{3734D6BA-CEFD-40DE-B853-B3D151666781}" name="Column12315"/>
    <tableColumn id="12316" xr3:uid="{4FFA13FB-517B-4791-8510-AFC307B0BCF1}" name="Column12316"/>
    <tableColumn id="12317" xr3:uid="{5D5C4988-9496-4081-9D68-272CFD632110}" name="Column12317"/>
    <tableColumn id="12318" xr3:uid="{4679CF33-1A42-4901-BB96-BE69538555DD}" name="Column12318"/>
    <tableColumn id="12319" xr3:uid="{FA913984-26B2-4BE7-A13E-969018041261}" name="Column12319"/>
    <tableColumn id="12320" xr3:uid="{9E3C9D8B-A096-40D7-AB0F-267031F2A278}" name="Column12320"/>
    <tableColumn id="12321" xr3:uid="{C88B6CFC-6344-4897-AB8B-BCC3BC1158A5}" name="Column12321"/>
    <tableColumn id="12322" xr3:uid="{7F41CD8D-8803-45BE-A56D-D370A62F01D7}" name="Column12322"/>
    <tableColumn id="12323" xr3:uid="{4E099A14-4F7A-4024-AFAA-7DCE5CDEF53B}" name="Column12323"/>
    <tableColumn id="12324" xr3:uid="{C497BA48-946A-4FC6-BEA5-88CFDE6DC9E1}" name="Column12324"/>
    <tableColumn id="12325" xr3:uid="{1CB1B5C3-DBD3-4544-8DE5-8CEBDEF2294F}" name="Column12325"/>
    <tableColumn id="12326" xr3:uid="{9CCE82D1-C859-44C0-9579-458D129D98ED}" name="Column12326"/>
    <tableColumn id="12327" xr3:uid="{D6DA137E-EF9C-453F-AB81-93991BD585F3}" name="Column12327"/>
    <tableColumn id="12328" xr3:uid="{B08B733F-BE11-4FDF-9921-4E14B270AEC7}" name="Column12328"/>
    <tableColumn id="12329" xr3:uid="{E323B7ED-DB45-4D77-9A03-6A9746D4F3B7}" name="Column12329"/>
    <tableColumn id="12330" xr3:uid="{7692DC9A-E019-4EFF-A8F2-8F0C8E1E7381}" name="Column12330"/>
    <tableColumn id="12331" xr3:uid="{D3A97331-1A1E-46C3-AFDA-FF524646D292}" name="Column12331"/>
    <tableColumn id="12332" xr3:uid="{5DA8B555-3B77-4382-9603-F52EE3F4101C}" name="Column12332"/>
    <tableColumn id="12333" xr3:uid="{0AA8C1B4-49B0-4CEA-B147-D2F437CBC5AE}" name="Column12333"/>
    <tableColumn id="12334" xr3:uid="{8FD51C66-C4B1-40DA-99AD-B2D93D16D0B2}" name="Column12334"/>
    <tableColumn id="12335" xr3:uid="{E49CF438-C416-4646-B3B9-DDE519DB17FD}" name="Column12335"/>
    <tableColumn id="12336" xr3:uid="{2884E9C5-FA4E-4266-BFE8-F05BBD7F9453}" name="Column12336"/>
    <tableColumn id="12337" xr3:uid="{9130F8FC-D847-41D2-BA21-49731EA88216}" name="Column12337"/>
    <tableColumn id="12338" xr3:uid="{B52EC8A4-DD35-49B9-B7AF-E450AEE3A5B5}" name="Column12338"/>
    <tableColumn id="12339" xr3:uid="{4993B5F4-046F-4655-9E14-9513D76022E3}" name="Column12339"/>
    <tableColumn id="12340" xr3:uid="{F1E064BA-A113-4F5D-A8FB-12FEC51B56FC}" name="Column12340"/>
    <tableColumn id="12341" xr3:uid="{206A4476-7B93-4DA0-BA2F-3D04B2EA377C}" name="Column12341"/>
    <tableColumn id="12342" xr3:uid="{7311F279-5255-4DB3-9238-BA01AB0041E2}" name="Column12342"/>
    <tableColumn id="12343" xr3:uid="{1C201177-89F5-48FA-B74F-17C81AFB8C3A}" name="Column12343"/>
    <tableColumn id="12344" xr3:uid="{998CCB98-2CDE-4220-8E95-766CC29A113C}" name="Column12344"/>
    <tableColumn id="12345" xr3:uid="{48DB8EE8-0F35-4F81-8FF5-699D785DB335}" name="Column12345"/>
    <tableColumn id="12346" xr3:uid="{ACA51AB5-0311-4C1F-B703-ADD85EC12868}" name="Column12346"/>
    <tableColumn id="12347" xr3:uid="{E833C444-4C11-4749-837E-5A2F193D31AC}" name="Column12347"/>
    <tableColumn id="12348" xr3:uid="{67841BDF-6D60-464F-9C62-EAFF8F626E45}" name="Column12348"/>
    <tableColumn id="12349" xr3:uid="{B6E1E9FD-386D-4ED7-BBFA-B799618C8D0F}" name="Column12349"/>
    <tableColumn id="12350" xr3:uid="{FD10AAE2-90F2-4CF8-BA6D-87B6E111BD8C}" name="Column12350"/>
    <tableColumn id="12351" xr3:uid="{40D78E56-C27B-4202-932C-5CF41323BD8A}" name="Column12351"/>
    <tableColumn id="12352" xr3:uid="{31F258D9-E2B1-4769-AECB-A6D2AB72C4CA}" name="Column12352"/>
    <tableColumn id="12353" xr3:uid="{C27CEB44-66D4-4A90-8011-7B05AB708CA7}" name="Column12353"/>
    <tableColumn id="12354" xr3:uid="{3B6911C8-563A-4B3F-B2D9-1DA34C63DCE5}" name="Column12354"/>
    <tableColumn id="12355" xr3:uid="{099F448B-BA71-45A5-AFB3-797BFCB5121F}" name="Column12355"/>
    <tableColumn id="12356" xr3:uid="{789B1E40-AF94-4B8A-9724-46860027025D}" name="Column12356"/>
    <tableColumn id="12357" xr3:uid="{BD4BCE4C-BDF3-4525-AC7D-86D3ECF551D6}" name="Column12357"/>
    <tableColumn id="12358" xr3:uid="{AD833B82-D429-41AC-AB45-3449E61217E5}" name="Column12358"/>
    <tableColumn id="12359" xr3:uid="{0F0FD007-A823-4690-A528-56911E73E63E}" name="Column12359"/>
    <tableColumn id="12360" xr3:uid="{52F31F5B-93BC-4136-8DE1-E4B6A42BDF4B}" name="Column12360"/>
    <tableColumn id="12361" xr3:uid="{32B82766-EAF4-422F-9BF3-98C261C7791F}" name="Column12361"/>
    <tableColumn id="12362" xr3:uid="{9F95112A-0E06-4A18-8905-E6E5EDD7BB8B}" name="Column12362"/>
    <tableColumn id="12363" xr3:uid="{C52D5B0B-446E-481E-97DE-8BC6647C89B8}" name="Column12363"/>
    <tableColumn id="12364" xr3:uid="{1C1A091F-EA04-4969-ABC0-5476232D6605}" name="Column12364"/>
    <tableColumn id="12365" xr3:uid="{54456875-B1C6-4D7D-9D52-1ED6014161BF}" name="Column12365"/>
    <tableColumn id="12366" xr3:uid="{0799BE33-C01E-4B35-92EF-A683639F2B51}" name="Column12366"/>
    <tableColumn id="12367" xr3:uid="{CB4ABFB5-2C67-4CF5-B960-D08E4BEAEB37}" name="Column12367"/>
    <tableColumn id="12368" xr3:uid="{87081094-0602-4638-856D-32ABDCC4EC9A}" name="Column12368"/>
    <tableColumn id="12369" xr3:uid="{26095111-6082-42AF-9149-8B2D20BCF3C3}" name="Column12369"/>
    <tableColumn id="12370" xr3:uid="{0498EF9D-1474-43A8-9E58-D88D23D814DE}" name="Column12370"/>
    <tableColumn id="12371" xr3:uid="{21D3F114-86EE-4CD6-9C24-245F6BFFCEE3}" name="Column12371"/>
    <tableColumn id="12372" xr3:uid="{BD3136BB-C2EE-4F48-8FD1-3161F74FB4E4}" name="Column12372"/>
    <tableColumn id="12373" xr3:uid="{D1E28F5E-1642-419C-908F-5CAA7AABE818}" name="Column12373"/>
    <tableColumn id="12374" xr3:uid="{7BA4B2D9-434A-4D86-BE1E-CD5E83D97936}" name="Column12374"/>
    <tableColumn id="12375" xr3:uid="{64DF9782-655F-4B6B-B54B-83958442F8B5}" name="Column12375"/>
    <tableColumn id="12376" xr3:uid="{526AFB6F-0908-4652-9C96-DCBA9673E7F4}" name="Column12376"/>
    <tableColumn id="12377" xr3:uid="{C53A29D2-7CBF-469A-8D74-302E69AB3AD1}" name="Column12377"/>
    <tableColumn id="12378" xr3:uid="{96330EFF-A02A-42FF-87DD-CA0609C83812}" name="Column12378"/>
    <tableColumn id="12379" xr3:uid="{B879A03F-8EF8-4905-AEE2-75F9BD3D3A90}" name="Column12379"/>
    <tableColumn id="12380" xr3:uid="{47412221-4BAE-4E27-B982-FF6F3D5EAAEE}" name="Column12380"/>
    <tableColumn id="12381" xr3:uid="{50A53624-1117-44E5-8F33-9688F72F49E1}" name="Column12381"/>
    <tableColumn id="12382" xr3:uid="{A4C72F14-ED74-45E5-B0D9-5646980412A6}" name="Column12382"/>
    <tableColumn id="12383" xr3:uid="{47FDF34A-BAEF-4DCD-8EA8-45BEBD53F1DE}" name="Column12383"/>
    <tableColumn id="12384" xr3:uid="{3DC81684-5C26-48EF-BE46-68923F1C6788}" name="Column12384"/>
    <tableColumn id="12385" xr3:uid="{8C778197-B0C5-4FD4-A370-BFAF1ED46B1A}" name="Column12385"/>
    <tableColumn id="12386" xr3:uid="{13DD1852-BFAF-48A3-AB91-9C80ACF30664}" name="Column12386"/>
    <tableColumn id="12387" xr3:uid="{F82C52F4-F167-4BF4-92CD-F56081680230}" name="Column12387"/>
    <tableColumn id="12388" xr3:uid="{7B0E6181-7A95-4247-97A2-56BA41977F80}" name="Column12388"/>
    <tableColumn id="12389" xr3:uid="{97D20C6D-5D67-4927-8363-6C7A5128F4FA}" name="Column12389"/>
    <tableColumn id="12390" xr3:uid="{1ACD1ADE-EC26-4EF3-B789-9B47A95C0227}" name="Column12390"/>
    <tableColumn id="12391" xr3:uid="{4C0ABB8C-8F5E-4EA7-BA5D-C78F1B5D96A1}" name="Column12391"/>
    <tableColumn id="12392" xr3:uid="{D606E080-4EB9-49D4-BCA3-C9E0D3BB909E}" name="Column12392"/>
    <tableColumn id="12393" xr3:uid="{C6AC7E58-7E17-4747-807E-CE5990135DEB}" name="Column12393"/>
    <tableColumn id="12394" xr3:uid="{645398CA-68C4-4E74-AF60-15D91021E3E1}" name="Column12394"/>
    <tableColumn id="12395" xr3:uid="{DD4BFE90-9090-4E37-9B70-2B7E4312A25A}" name="Column12395"/>
    <tableColumn id="12396" xr3:uid="{F48B1EE0-08BF-4AE5-B3AC-3AFD413FEFB7}" name="Column12396"/>
    <tableColumn id="12397" xr3:uid="{1DFCE7E7-451F-4D6B-8626-E7230E60C992}" name="Column12397"/>
    <tableColumn id="12398" xr3:uid="{49861395-E76B-47C6-A24E-C07ED0B9FA5C}" name="Column12398"/>
    <tableColumn id="12399" xr3:uid="{912BA622-2245-4B72-A49F-A08ABC901226}" name="Column12399"/>
    <tableColumn id="12400" xr3:uid="{9D1D8850-25AB-476F-AF70-102D56DBF4B4}" name="Column12400"/>
    <tableColumn id="12401" xr3:uid="{12837DC6-AB90-46C2-9C1A-245486B24BD3}" name="Column12401"/>
    <tableColumn id="12402" xr3:uid="{C1F7F635-5F18-47EA-AB7E-DBAB950A3B58}" name="Column12402"/>
    <tableColumn id="12403" xr3:uid="{A883D79C-1DB5-4912-BFDC-EB352A9C0830}" name="Column12403"/>
    <tableColumn id="12404" xr3:uid="{A0177FE5-06E1-4551-A5CD-901230EE60E1}" name="Column12404"/>
    <tableColumn id="12405" xr3:uid="{21C32A5D-3B47-4D62-BE03-93FDA6383F77}" name="Column12405"/>
    <tableColumn id="12406" xr3:uid="{3E601E1F-D247-4DD4-A71B-6FF292D74C80}" name="Column12406"/>
    <tableColumn id="12407" xr3:uid="{368885E8-EEF5-4EAE-80A5-A152C5F6D74D}" name="Column12407"/>
    <tableColumn id="12408" xr3:uid="{B8B8E7DC-5D2F-4FA2-A215-D2F19D379786}" name="Column12408"/>
    <tableColumn id="12409" xr3:uid="{2EB1E499-7A86-4258-8666-82B579BD0870}" name="Column12409"/>
    <tableColumn id="12410" xr3:uid="{76225EAE-1240-46AB-983F-B1D686E1FB08}" name="Column12410"/>
    <tableColumn id="12411" xr3:uid="{D108CD8E-7296-440E-AF47-A570179CE5C8}" name="Column12411"/>
    <tableColumn id="12412" xr3:uid="{14F89DD4-DEF7-4524-946B-702DD0BE4CEE}" name="Column12412"/>
    <tableColumn id="12413" xr3:uid="{B91A1BCB-266A-4F8C-8FEA-34E9420D8046}" name="Column12413"/>
    <tableColumn id="12414" xr3:uid="{BC3B5225-707E-4790-906E-49C65E512576}" name="Column12414"/>
    <tableColumn id="12415" xr3:uid="{839A80B3-A351-4C58-A8F2-3D999BAAB1F5}" name="Column12415"/>
    <tableColumn id="12416" xr3:uid="{DA911421-BDFF-4A21-A467-ED6A4A6B7C7D}" name="Column12416"/>
    <tableColumn id="12417" xr3:uid="{B2BEBBA9-BB2F-4F88-8565-D306D0DA7B16}" name="Column12417"/>
    <tableColumn id="12418" xr3:uid="{BDF8B195-53DD-45A1-B844-E3D5369C3747}" name="Column12418"/>
    <tableColumn id="12419" xr3:uid="{2D7BCFFF-F0FE-4425-88B3-838E1C9DA168}" name="Column12419"/>
    <tableColumn id="12420" xr3:uid="{5667F015-DF16-424A-A1F6-C3007717A155}" name="Column12420"/>
    <tableColumn id="12421" xr3:uid="{F89743EE-6B36-437C-BEE8-7CB71303C344}" name="Column12421"/>
    <tableColumn id="12422" xr3:uid="{20019E92-6D76-4A1A-969D-FD0EC22E36B0}" name="Column12422"/>
    <tableColumn id="12423" xr3:uid="{6256B539-747F-41C2-8345-A47316FED8B7}" name="Column12423"/>
    <tableColumn id="12424" xr3:uid="{73FDA03C-E5D9-494B-9462-61651EA171C8}" name="Column12424"/>
    <tableColumn id="12425" xr3:uid="{AB26D21A-18AE-4240-AAC9-1F6C7009BA84}" name="Column12425"/>
    <tableColumn id="12426" xr3:uid="{B5C79B4E-2381-45A1-A12B-623AE9CA1194}" name="Column12426"/>
    <tableColumn id="12427" xr3:uid="{B2C2F257-4BAA-4BA6-9D40-8048FC93B518}" name="Column12427"/>
    <tableColumn id="12428" xr3:uid="{C71F91A4-BC4F-4718-948F-3FD24AFF7601}" name="Column12428"/>
    <tableColumn id="12429" xr3:uid="{669B5A03-66FB-47B3-B2B8-4A82A868C64E}" name="Column12429"/>
    <tableColumn id="12430" xr3:uid="{354ED1CD-195D-4027-A3A3-9B944D603BEB}" name="Column12430"/>
    <tableColumn id="12431" xr3:uid="{6FFC81B3-7CBB-41E9-9FEA-53BC893EAF6C}" name="Column12431"/>
    <tableColumn id="12432" xr3:uid="{E22DE683-BC46-441C-887E-C80AF94EBDE9}" name="Column12432"/>
    <tableColumn id="12433" xr3:uid="{1CFB1525-EDF6-417E-BC66-10A822C9C3D5}" name="Column12433"/>
    <tableColumn id="12434" xr3:uid="{EE39A527-4D1A-4FBC-9E8A-F8FB57AA7F75}" name="Column12434"/>
    <tableColumn id="12435" xr3:uid="{DF8E3E07-B15C-4429-9A13-32F96D19A2D6}" name="Column12435"/>
    <tableColumn id="12436" xr3:uid="{0DBDD04A-BD22-40B2-8C53-E45F3D262EEB}" name="Column12436"/>
    <tableColumn id="12437" xr3:uid="{31305321-7678-449A-85E0-AE6FDDBC78C0}" name="Column12437"/>
    <tableColumn id="12438" xr3:uid="{FF7457A9-9CE3-434E-BA2C-25FB5EC81E40}" name="Column12438"/>
    <tableColumn id="12439" xr3:uid="{DDD50EBF-B90A-4FC8-937D-45685881B56C}" name="Column12439"/>
    <tableColumn id="12440" xr3:uid="{C3E113F8-91F4-455B-B07C-37FF1351F03E}" name="Column12440"/>
    <tableColumn id="12441" xr3:uid="{74457BDA-800B-4E4B-A58B-9A2497645957}" name="Column12441"/>
    <tableColumn id="12442" xr3:uid="{F5AF70DD-CC69-441C-91E0-BCF7FE50A220}" name="Column12442"/>
    <tableColumn id="12443" xr3:uid="{3C6680B9-0F79-49C6-862B-9D66AE9DBB80}" name="Column12443"/>
    <tableColumn id="12444" xr3:uid="{01165981-D300-4087-9F6B-13AA5EFD1AA0}" name="Column12444"/>
    <tableColumn id="12445" xr3:uid="{B6EB6D34-0D5B-4B0D-913B-790704F606CF}" name="Column12445"/>
    <tableColumn id="12446" xr3:uid="{46B675B9-DD4D-4708-BD5C-0977FC11D76F}" name="Column12446"/>
    <tableColumn id="12447" xr3:uid="{FB4F3225-1F61-44BE-9255-3A4245906F8A}" name="Column12447"/>
    <tableColumn id="12448" xr3:uid="{FB7885BD-54DF-430F-809B-D8114593FF50}" name="Column12448"/>
    <tableColumn id="12449" xr3:uid="{5EDA6F12-9982-4E76-9AE9-9AA85667EC4D}" name="Column12449"/>
    <tableColumn id="12450" xr3:uid="{A8A35642-E0F0-40D3-9C9B-F562831A264D}" name="Column12450"/>
    <tableColumn id="12451" xr3:uid="{C47F2FE1-072A-4239-8B3C-33BC85D4ABFF}" name="Column12451"/>
    <tableColumn id="12452" xr3:uid="{DEF523CA-9B82-4555-A295-718BF95949E0}" name="Column12452"/>
    <tableColumn id="12453" xr3:uid="{27676302-21E0-4406-BB2B-7C111B0B4A52}" name="Column12453"/>
    <tableColumn id="12454" xr3:uid="{9F19A51C-E6B6-481D-B243-93FBC517B39F}" name="Column12454"/>
    <tableColumn id="12455" xr3:uid="{DF9A01D1-7E3A-4F3C-8AEF-95D900E2B41A}" name="Column12455"/>
    <tableColumn id="12456" xr3:uid="{325B2703-32E1-46B4-A776-D0800D142BA6}" name="Column12456"/>
    <tableColumn id="12457" xr3:uid="{3E76D64A-C07E-4C5B-A480-5F74BA6D0AD0}" name="Column12457"/>
    <tableColumn id="12458" xr3:uid="{BBDB0A41-542A-48ED-B67C-572BB9C24B2C}" name="Column12458"/>
    <tableColumn id="12459" xr3:uid="{F5B1156C-D479-4559-AD5A-290FE74C5966}" name="Column12459"/>
    <tableColumn id="12460" xr3:uid="{DDFE5982-D57E-4077-B527-1F79D10A2753}" name="Column12460"/>
    <tableColumn id="12461" xr3:uid="{C5BAE3B8-58C5-47C9-8E4C-C4E71822DAE0}" name="Column12461"/>
    <tableColumn id="12462" xr3:uid="{6BA93A09-C12E-4199-AC00-F0F8FF6E5C89}" name="Column12462"/>
    <tableColumn id="12463" xr3:uid="{4EFC8BED-078C-4B34-86F5-F6CD4E1AEE00}" name="Column12463"/>
    <tableColumn id="12464" xr3:uid="{47F0D55D-A4F4-49F1-95FB-E37ED2DFDD45}" name="Column12464"/>
    <tableColumn id="12465" xr3:uid="{C2774148-9D89-49CA-9582-0AEB11FDD01B}" name="Column12465"/>
    <tableColumn id="12466" xr3:uid="{0E4763F7-612A-4114-883C-353ECAF33408}" name="Column12466"/>
    <tableColumn id="12467" xr3:uid="{AEC9D118-2BAA-43E5-91F3-8B92949E06A2}" name="Column12467"/>
    <tableColumn id="12468" xr3:uid="{00CC6B29-7CAE-4343-8253-CB429895F918}" name="Column12468"/>
    <tableColumn id="12469" xr3:uid="{76504302-8A25-411B-8A39-3BAB1DBC6327}" name="Column12469"/>
    <tableColumn id="12470" xr3:uid="{B8C68E3B-07BE-4154-BD81-9BA57DB24ACE}" name="Column12470"/>
    <tableColumn id="12471" xr3:uid="{E6A0CEF4-E65D-4DF2-B32D-C99E0DC5280E}" name="Column12471"/>
    <tableColumn id="12472" xr3:uid="{D0B24BDC-0831-4751-AF58-E5328BF0F109}" name="Column12472"/>
    <tableColumn id="12473" xr3:uid="{E7D8109E-ABB9-4E83-B60E-EC761FE514E6}" name="Column12473"/>
    <tableColumn id="12474" xr3:uid="{4E2F1D27-48A7-488B-8B87-8F0411B6165C}" name="Column12474"/>
    <tableColumn id="12475" xr3:uid="{010BF805-7B69-4AC0-88D7-8A255619E5C2}" name="Column12475"/>
    <tableColumn id="12476" xr3:uid="{149F96B0-77A5-4499-98D8-33E5CADA75A4}" name="Column12476"/>
    <tableColumn id="12477" xr3:uid="{5C70FBF8-14F8-4031-98F0-1D1301819C14}" name="Column12477"/>
    <tableColumn id="12478" xr3:uid="{04624E1A-8FCF-4F22-A436-3C14E5A8340F}" name="Column12478"/>
    <tableColumn id="12479" xr3:uid="{F2875EDC-9C44-44C0-8D23-E5D4C6B546B6}" name="Column12479"/>
    <tableColumn id="12480" xr3:uid="{2163BCC6-4B43-400E-8398-A839501A742D}" name="Column12480"/>
    <tableColumn id="12481" xr3:uid="{45111274-1BCC-4B91-93C4-238AEF852B6B}" name="Column12481"/>
    <tableColumn id="12482" xr3:uid="{6E2575A9-9A3B-4AD5-A429-B39069749AD6}" name="Column12482"/>
    <tableColumn id="12483" xr3:uid="{526404D7-95F8-4617-8372-F56F31812AA4}" name="Column12483"/>
    <tableColumn id="12484" xr3:uid="{47D5A4F3-BBC4-48DE-9E62-682C7EAFA9E1}" name="Column12484"/>
    <tableColumn id="12485" xr3:uid="{213142F7-0AFF-474E-9533-0A7D6A4B233A}" name="Column12485"/>
    <tableColumn id="12486" xr3:uid="{E0E9C01D-E6C2-45F0-BE27-EE63FA7E1D1A}" name="Column12486"/>
    <tableColumn id="12487" xr3:uid="{147EE0E1-AC56-48B6-AFC9-5959B6DF7575}" name="Column12487"/>
    <tableColumn id="12488" xr3:uid="{87D2FFD0-6486-4CF8-9911-DF222BA10E1B}" name="Column12488"/>
    <tableColumn id="12489" xr3:uid="{501CF0AC-0809-47B1-8223-2F4010DE204A}" name="Column12489"/>
    <tableColumn id="12490" xr3:uid="{99CE3D5B-5709-4B9F-8F52-A754765C1AC9}" name="Column12490"/>
    <tableColumn id="12491" xr3:uid="{585852AB-E357-44B6-9136-F654CDA6523F}" name="Column12491"/>
    <tableColumn id="12492" xr3:uid="{F7257116-3F2E-45A0-AB80-EBE80DF22252}" name="Column12492"/>
    <tableColumn id="12493" xr3:uid="{C7A2DAE5-A4A1-4899-B040-247ACE0538B0}" name="Column12493"/>
    <tableColumn id="12494" xr3:uid="{B8C0F2E3-2C52-4838-9E03-5980DE24821D}" name="Column12494"/>
    <tableColumn id="12495" xr3:uid="{7638E139-FE3C-4C1C-8EDB-55D0B0E8727E}" name="Column12495"/>
    <tableColumn id="12496" xr3:uid="{D6C205C0-39DE-4F98-B9D6-37AF5500B314}" name="Column12496"/>
    <tableColumn id="12497" xr3:uid="{A4E84AB2-7F33-463B-BE4D-E2E136F0A282}" name="Column12497"/>
    <tableColumn id="12498" xr3:uid="{C29BD7EA-6DAE-48E7-8FE0-40E1CF8E68DA}" name="Column12498"/>
    <tableColumn id="12499" xr3:uid="{CA0861E0-2284-4D84-AB30-5767FE47975B}" name="Column12499"/>
    <tableColumn id="12500" xr3:uid="{986E38E5-91D2-4952-AAB0-C110DD10CE5E}" name="Column12500"/>
    <tableColumn id="12501" xr3:uid="{9CDB70B5-BD1E-450F-8BA0-9075B992FFCC}" name="Column12501"/>
    <tableColumn id="12502" xr3:uid="{017C16C8-2F7B-4AE4-A98D-6DF0D1973B86}" name="Column12502"/>
    <tableColumn id="12503" xr3:uid="{D54702F9-BF1D-47BF-B740-15AFDA18D9A8}" name="Column12503"/>
    <tableColumn id="12504" xr3:uid="{855D1FBF-9F72-4D87-B2C6-B140C031B05B}" name="Column12504"/>
    <tableColumn id="12505" xr3:uid="{AFD35BA6-8CD3-4863-B0D7-25E39443E3E8}" name="Column12505"/>
    <tableColumn id="12506" xr3:uid="{6FC7A05F-487E-4552-B61D-B092219CE350}" name="Column12506"/>
    <tableColumn id="12507" xr3:uid="{34C786AA-CF47-4EAF-AE7C-D27A474340B6}" name="Column12507"/>
    <tableColumn id="12508" xr3:uid="{C6D17FF7-8BEB-4A3D-802E-3AAA2D841A4B}" name="Column12508"/>
    <tableColumn id="12509" xr3:uid="{72E4849C-C198-4F64-8898-77A0AA66BACC}" name="Column12509"/>
    <tableColumn id="12510" xr3:uid="{1902C260-21F6-4819-BE9F-4257DEAD50B1}" name="Column12510"/>
    <tableColumn id="12511" xr3:uid="{1E7B943C-4559-484B-9CAE-486741BADCFA}" name="Column12511"/>
    <tableColumn id="12512" xr3:uid="{50F1654B-625B-4A55-8394-D10E2327973A}" name="Column12512"/>
    <tableColumn id="12513" xr3:uid="{6F3E2D22-32B8-4AD6-8251-AA81E7BB958B}" name="Column12513"/>
    <tableColumn id="12514" xr3:uid="{31EF5E6A-BFA8-4383-BB43-CE7A1F80A783}" name="Column12514"/>
    <tableColumn id="12515" xr3:uid="{EC4E0105-0CDB-4389-AF52-9E45F2D58DA7}" name="Column12515"/>
    <tableColumn id="12516" xr3:uid="{E8DC35E1-BA34-468F-AECF-646AA076FA49}" name="Column12516"/>
    <tableColumn id="12517" xr3:uid="{29A1D216-6733-4D6D-88CF-091045AE7B2B}" name="Column12517"/>
    <tableColumn id="12518" xr3:uid="{AD229C46-A907-4799-A4A8-2474948FF8EA}" name="Column12518"/>
    <tableColumn id="12519" xr3:uid="{61D69A62-EA48-48BA-B6A8-F9C0FF136BFD}" name="Column12519"/>
    <tableColumn id="12520" xr3:uid="{D1A4ED41-788F-4024-A844-AE0560F47CBF}" name="Column12520"/>
    <tableColumn id="12521" xr3:uid="{64EE5986-6C43-4EBD-A6F1-D686F1783656}" name="Column12521"/>
    <tableColumn id="12522" xr3:uid="{9EF9D1CF-BDF1-4BE0-8F7C-5518F1DE877D}" name="Column12522"/>
    <tableColumn id="12523" xr3:uid="{E4F1EEA7-971C-4F08-9283-95FAEDC0D80E}" name="Column12523"/>
    <tableColumn id="12524" xr3:uid="{672581FA-01E2-4597-9CDA-7A9EFB8E8385}" name="Column12524"/>
    <tableColumn id="12525" xr3:uid="{9EB278F2-532E-49E9-BE2F-1CE416B982C2}" name="Column12525"/>
    <tableColumn id="12526" xr3:uid="{32480D10-CE45-4B14-8418-5E667F663EF2}" name="Column12526"/>
    <tableColumn id="12527" xr3:uid="{EED48597-8ECF-44BC-8B9F-5E40FA8364EE}" name="Column12527"/>
    <tableColumn id="12528" xr3:uid="{95AABCA4-0997-4D59-8378-1D6FD60A65F8}" name="Column12528"/>
    <tableColumn id="12529" xr3:uid="{44AB183C-211E-4053-9824-F35DC6404633}" name="Column12529"/>
    <tableColumn id="12530" xr3:uid="{F2D91AC7-C99D-4B48-ADCB-B50B0D17E9F0}" name="Column12530"/>
    <tableColumn id="12531" xr3:uid="{FBF3E1AC-C6AB-4782-B8D5-115472D129D8}" name="Column12531"/>
    <tableColumn id="12532" xr3:uid="{94EF1D26-1259-45B3-97BC-7EECA09C290D}" name="Column12532"/>
    <tableColumn id="12533" xr3:uid="{CCFEE640-2DBA-411C-96F0-3B00C8FB0F58}" name="Column12533"/>
    <tableColumn id="12534" xr3:uid="{A6A931A5-4F65-44E8-A7FD-630348D3B857}" name="Column12534"/>
    <tableColumn id="12535" xr3:uid="{46527BA9-B67F-46A3-8A9F-55CBFB7FBC58}" name="Column12535"/>
    <tableColumn id="12536" xr3:uid="{A4BE95E4-1BC1-43B9-BD9A-B2192237552F}" name="Column12536"/>
    <tableColumn id="12537" xr3:uid="{32B2545D-4A09-40FA-8D44-A9B2DFD7465F}" name="Column12537"/>
    <tableColumn id="12538" xr3:uid="{94EC3EAD-BFDF-4A14-B26F-C9AB6B99F57D}" name="Column12538"/>
    <tableColumn id="12539" xr3:uid="{D455F76E-6A6C-4D72-8719-5FA7BE8FA80D}" name="Column12539"/>
    <tableColumn id="12540" xr3:uid="{DE02DD3C-555F-4233-B27E-364391CEDFD4}" name="Column12540"/>
    <tableColumn id="12541" xr3:uid="{BF339D4D-E284-4A19-8A60-F8B02AD82619}" name="Column12541"/>
    <tableColumn id="12542" xr3:uid="{073B8E84-EEC7-474E-94C7-E4EC195DDA38}" name="Column12542"/>
    <tableColumn id="12543" xr3:uid="{0E2FE315-B3D3-4C34-A612-BFDE3C03A6ED}" name="Column12543"/>
    <tableColumn id="12544" xr3:uid="{B02F6978-E636-46F6-B013-E0E852DB842B}" name="Column12544"/>
    <tableColumn id="12545" xr3:uid="{1227300A-EA27-459E-BAC7-B7AA9EC93B15}" name="Column12545"/>
    <tableColumn id="12546" xr3:uid="{2629E5AC-E42C-4A72-98FB-8ED64EBB7FE1}" name="Column12546"/>
    <tableColumn id="12547" xr3:uid="{506C5FCB-98AE-48CE-9CB9-0792A2BF1642}" name="Column12547"/>
    <tableColumn id="12548" xr3:uid="{63599877-0072-4244-BAD0-17C1F5261442}" name="Column12548"/>
    <tableColumn id="12549" xr3:uid="{46DAAD2E-A2CD-468B-B1FC-4EB101A76361}" name="Column12549"/>
    <tableColumn id="12550" xr3:uid="{A5000507-A2F6-477F-A2EF-DED88523EB7C}" name="Column12550"/>
    <tableColumn id="12551" xr3:uid="{2622D86C-8786-48DC-98C6-718F3729E4D3}" name="Column12551"/>
    <tableColumn id="12552" xr3:uid="{C5E37CC3-F13E-4CE8-B143-1564AF04D706}" name="Column12552"/>
    <tableColumn id="12553" xr3:uid="{B069B607-F267-499C-B2CC-107D73CE5FA7}" name="Column12553"/>
    <tableColumn id="12554" xr3:uid="{B31BFD78-94A0-49E1-A547-7973CEA23FC3}" name="Column12554"/>
    <tableColumn id="12555" xr3:uid="{FDFA71FA-CB41-47BA-8FD7-6B524036E9A5}" name="Column12555"/>
    <tableColumn id="12556" xr3:uid="{DB891D80-63B9-4445-87D4-D322C7AA13DE}" name="Column12556"/>
    <tableColumn id="12557" xr3:uid="{7D3F6044-FE70-44FC-882D-09B4793BD7AF}" name="Column12557"/>
    <tableColumn id="12558" xr3:uid="{43E5B284-C6D0-4908-AB78-C82048EACDF7}" name="Column12558"/>
    <tableColumn id="12559" xr3:uid="{B41FCC86-4D3F-420E-BA49-2CA80FA5B1B0}" name="Column12559"/>
    <tableColumn id="12560" xr3:uid="{EA8EB2A4-3E41-4900-BDCD-31AC025F2680}" name="Column12560"/>
    <tableColumn id="12561" xr3:uid="{2CC6BB07-C817-4FDC-8274-4D71EAEE4BB3}" name="Column12561"/>
    <tableColumn id="12562" xr3:uid="{7E2FF653-896A-4161-AB86-41CFE3AAAA1B}" name="Column12562"/>
    <tableColumn id="12563" xr3:uid="{B2F373D7-75A7-4EFB-9FE7-3D3F7886CA16}" name="Column12563"/>
    <tableColumn id="12564" xr3:uid="{B6E56982-1589-491A-AAA9-25C4D584BF0E}" name="Column12564"/>
    <tableColumn id="12565" xr3:uid="{7ACD8C30-568F-4C07-8A5C-BF4CF5E1CA11}" name="Column12565"/>
    <tableColumn id="12566" xr3:uid="{6FD64B98-E741-486D-85C2-D327394F71F3}" name="Column12566"/>
    <tableColumn id="12567" xr3:uid="{9B55B5EE-4E92-4A9C-9E81-D51E2D896C37}" name="Column12567"/>
    <tableColumn id="12568" xr3:uid="{91B390D1-5352-469B-933C-8E1DB2BCE11C}" name="Column12568"/>
    <tableColumn id="12569" xr3:uid="{5D5D8352-1A39-4E03-A3D2-D151AA4719B2}" name="Column12569"/>
    <tableColumn id="12570" xr3:uid="{61D5064B-010A-47E1-9DBB-500F1354A3B7}" name="Column12570"/>
    <tableColumn id="12571" xr3:uid="{29168F58-7699-40C0-AA1D-686CFAAF1559}" name="Column12571"/>
    <tableColumn id="12572" xr3:uid="{33F5A3B3-03DD-4279-9BD9-4B11D44ADED0}" name="Column12572"/>
    <tableColumn id="12573" xr3:uid="{8341AE06-8655-454E-AA7B-05730CAF86A3}" name="Column12573"/>
    <tableColumn id="12574" xr3:uid="{BE5B496D-C600-4C18-90F7-F2CF7E07C6E3}" name="Column12574"/>
    <tableColumn id="12575" xr3:uid="{E08877DE-9C02-4C63-8681-9AE54B031D0D}" name="Column12575"/>
    <tableColumn id="12576" xr3:uid="{5674DC4F-87FB-4DED-8C21-A593826B0B25}" name="Column12576"/>
    <tableColumn id="12577" xr3:uid="{78C668CA-EB47-4B32-A7D2-6B390A56DC3E}" name="Column12577"/>
    <tableColumn id="12578" xr3:uid="{80FF04D2-9E63-4055-B7EC-C9E83ABC928A}" name="Column12578"/>
    <tableColumn id="12579" xr3:uid="{13614E11-50BE-4BF5-8843-369DC85B3AEC}" name="Column12579"/>
    <tableColumn id="12580" xr3:uid="{93DF855B-3A64-4489-9912-1BE1C0B7E050}" name="Column12580"/>
    <tableColumn id="12581" xr3:uid="{15233583-767D-432B-836E-C524FF6DA72E}" name="Column12581"/>
    <tableColumn id="12582" xr3:uid="{E2047967-DD03-4400-AE52-C2E57D05839E}" name="Column12582"/>
    <tableColumn id="12583" xr3:uid="{5B4AB7EA-27CA-438C-A6C3-E46DA3ED32CE}" name="Column12583"/>
    <tableColumn id="12584" xr3:uid="{363724D3-0CB5-4A21-9D47-0C17ABD6FEC3}" name="Column12584"/>
    <tableColumn id="12585" xr3:uid="{D3A7D33E-59C6-4EA1-905E-2F110CAC419F}" name="Column12585"/>
    <tableColumn id="12586" xr3:uid="{A2EA947F-C069-460C-8173-585FA5145102}" name="Column12586"/>
    <tableColumn id="12587" xr3:uid="{EA0A1634-A0BD-440D-BF4A-7C5E9B7EF233}" name="Column12587"/>
    <tableColumn id="12588" xr3:uid="{60630AB9-20A1-4ACC-8193-89408C1A088E}" name="Column12588"/>
    <tableColumn id="12589" xr3:uid="{75242297-F261-4365-9E80-3F097B784056}" name="Column12589"/>
    <tableColumn id="12590" xr3:uid="{DD2FD16A-632A-4EB1-9C7A-D91175CF19DA}" name="Column12590"/>
    <tableColumn id="12591" xr3:uid="{4938CB89-D777-40E7-A95C-0091992FC3AA}" name="Column12591"/>
    <tableColumn id="12592" xr3:uid="{0CEE86A7-17B4-4179-86DE-A5228FB656AD}" name="Column12592"/>
    <tableColumn id="12593" xr3:uid="{B94079AE-5C5F-4025-88E9-B5B285045B4C}" name="Column12593"/>
    <tableColumn id="12594" xr3:uid="{702007A6-25B3-404C-98A7-AD82C39F6E3F}" name="Column12594"/>
    <tableColumn id="12595" xr3:uid="{A5E80307-C773-44CC-A059-89E6F02F8235}" name="Column12595"/>
    <tableColumn id="12596" xr3:uid="{587B8EF5-5935-48B5-AD7B-1A72AD096103}" name="Column12596"/>
    <tableColumn id="12597" xr3:uid="{8B6932AB-00EE-49B2-B282-E4DE8EDF5791}" name="Column12597"/>
    <tableColumn id="12598" xr3:uid="{20020A5E-6FF7-47C1-A28D-5C366935900C}" name="Column12598"/>
    <tableColumn id="12599" xr3:uid="{445FF555-9632-45F3-8672-BE4D6EC42B90}" name="Column12599"/>
    <tableColumn id="12600" xr3:uid="{CB32E864-0278-483D-B68A-97C8E51093C1}" name="Column12600"/>
    <tableColumn id="12601" xr3:uid="{4A303013-1710-4094-B30A-156F582A7CCF}" name="Column12601"/>
    <tableColumn id="12602" xr3:uid="{F9DCDED9-97F5-45C1-B0F5-AEE17E030A6A}" name="Column12602"/>
    <tableColumn id="12603" xr3:uid="{3DBC0937-08D3-45C2-9929-F716CA4FF61A}" name="Column12603"/>
    <tableColumn id="12604" xr3:uid="{6FA1513A-AF3C-446E-9D1F-91A8C47722D9}" name="Column12604"/>
    <tableColumn id="12605" xr3:uid="{555E4E31-8445-4516-9113-A10D47EBF43F}" name="Column12605"/>
    <tableColumn id="12606" xr3:uid="{98CEE135-9C2D-441B-8ADB-56F904BD6431}" name="Column12606"/>
    <tableColumn id="12607" xr3:uid="{DF7164F0-4EA1-4C16-BB92-245A54BCF062}" name="Column12607"/>
    <tableColumn id="12608" xr3:uid="{8315654F-C40A-49C8-8FF5-274B0295BAAD}" name="Column12608"/>
    <tableColumn id="12609" xr3:uid="{DC3C8445-526A-479D-803D-88256AE6F997}" name="Column12609"/>
    <tableColumn id="12610" xr3:uid="{7D8BD148-B4F5-426C-BCC2-551F7212A019}" name="Column12610"/>
    <tableColumn id="12611" xr3:uid="{0944F1F0-A86F-4BA5-9DDE-F17F65EA0270}" name="Column12611"/>
    <tableColumn id="12612" xr3:uid="{D5AD26F8-43B5-430A-AD25-9A3AE7973AE1}" name="Column12612"/>
    <tableColumn id="12613" xr3:uid="{10025B5C-A446-49C3-B21E-361F6692BE7D}" name="Column12613"/>
    <tableColumn id="12614" xr3:uid="{B35B6D68-1277-4281-B257-2D871A894A03}" name="Column12614"/>
    <tableColumn id="12615" xr3:uid="{559C06D1-DC8F-4675-AD5A-E9863716A5D0}" name="Column12615"/>
    <tableColumn id="12616" xr3:uid="{A3E46B3C-5AD3-4A98-ADEE-CE8127B9F1A5}" name="Column12616"/>
    <tableColumn id="12617" xr3:uid="{FB531129-47F4-4ECF-B57F-3A9538F13806}" name="Column12617"/>
    <tableColumn id="12618" xr3:uid="{EC7F0CB0-D526-42D0-AC9C-DB8C371FA93A}" name="Column12618"/>
    <tableColumn id="12619" xr3:uid="{4E879AAE-F0DA-4B39-A52C-4BE15E0D370D}" name="Column12619"/>
    <tableColumn id="12620" xr3:uid="{FDCBFD72-1782-4028-B54D-177896C4AEDB}" name="Column12620"/>
    <tableColumn id="12621" xr3:uid="{4E9053E1-FD17-4588-8584-04CAE4B88379}" name="Column12621"/>
    <tableColumn id="12622" xr3:uid="{C317ADD0-09A4-45E6-8E28-B76A1AF4BFBB}" name="Column12622"/>
    <tableColumn id="12623" xr3:uid="{AD37933A-99BB-4E97-97E0-1F65A377BE65}" name="Column12623"/>
    <tableColumn id="12624" xr3:uid="{A849EC82-F024-4ADB-BA7E-64E56A6C1237}" name="Column12624"/>
    <tableColumn id="12625" xr3:uid="{6C828981-6B55-48E8-AF45-44985E9F202A}" name="Column12625"/>
    <tableColumn id="12626" xr3:uid="{29FAD406-C301-4511-99F4-8A16F64F2F16}" name="Column12626"/>
    <tableColumn id="12627" xr3:uid="{C9AD4185-C6BD-4EA4-AECE-B9AB96D97E3D}" name="Column12627"/>
    <tableColumn id="12628" xr3:uid="{6C752E3D-C13A-4ECB-B777-F11FC16CBB43}" name="Column12628"/>
    <tableColumn id="12629" xr3:uid="{C757475C-1B0B-4900-94B5-2BE8A3233A85}" name="Column12629"/>
    <tableColumn id="12630" xr3:uid="{BA6A86F4-7777-48DA-B90F-5CB45CCB4589}" name="Column12630"/>
    <tableColumn id="12631" xr3:uid="{32CBDBD1-48AE-4A13-91AB-BA4D925E4C91}" name="Column12631"/>
    <tableColumn id="12632" xr3:uid="{1C25045A-9EA8-4179-9E1E-62E34715507F}" name="Column12632"/>
    <tableColumn id="12633" xr3:uid="{270A1AED-DD1B-4207-BFDD-74F3D7250151}" name="Column12633"/>
    <tableColumn id="12634" xr3:uid="{F4088F86-5E02-4D63-AB38-D9C9B2708DB1}" name="Column12634"/>
    <tableColumn id="12635" xr3:uid="{469FD677-A2A1-40EA-B57E-6D3A7BCE0FC0}" name="Column12635"/>
    <tableColumn id="12636" xr3:uid="{B0CE7315-3B3C-45EF-BAF9-05643F60DB56}" name="Column12636"/>
    <tableColumn id="12637" xr3:uid="{C890907E-DD1B-4F4A-AD8E-D7F927498894}" name="Column12637"/>
    <tableColumn id="12638" xr3:uid="{CA471135-CCB0-4D86-851E-E874BB825A8C}" name="Column12638"/>
    <tableColumn id="12639" xr3:uid="{96A393EC-D2CB-49B7-A1D8-D880BEE5E79C}" name="Column12639"/>
    <tableColumn id="12640" xr3:uid="{A8D4AF3B-7A10-473B-BC5F-D82C9BA38CFE}" name="Column12640"/>
    <tableColumn id="12641" xr3:uid="{CD6EE3B9-DBB5-4AE1-9C68-72D87BF7DC47}" name="Column12641"/>
    <tableColumn id="12642" xr3:uid="{A2DBA1EA-4C4E-4CDC-9F72-599F8861B4E9}" name="Column12642"/>
    <tableColumn id="12643" xr3:uid="{4603B8C3-1281-44D5-A088-E17F51CF2B8A}" name="Column12643"/>
    <tableColumn id="12644" xr3:uid="{4AA842D3-8D46-4052-86A9-7C04961C51D6}" name="Column12644"/>
    <tableColumn id="12645" xr3:uid="{0130575A-5D69-4B8B-814E-051C8F6670C7}" name="Column12645"/>
    <tableColumn id="12646" xr3:uid="{C9F2CCB0-3B45-4D35-9836-6AF3591CEAF3}" name="Column12646"/>
    <tableColumn id="12647" xr3:uid="{6589D472-B4C4-4116-97F7-BA98966E403C}" name="Column12647"/>
    <tableColumn id="12648" xr3:uid="{1179BFB1-DC29-45F9-ADB2-5F0A02B1FC2F}" name="Column12648"/>
    <tableColumn id="12649" xr3:uid="{120D5933-5733-40EE-A493-6A4B70D3C4ED}" name="Column12649"/>
    <tableColumn id="12650" xr3:uid="{C7B07D04-BA73-43F4-AAA2-B19E2B6EAAAB}" name="Column12650"/>
    <tableColumn id="12651" xr3:uid="{EDAFC0DE-A969-4EC0-BAB7-C5024EA8C4D7}" name="Column12651"/>
    <tableColumn id="12652" xr3:uid="{52CB6297-8F27-49E8-BBDD-F2B6A5062DEB}" name="Column12652"/>
    <tableColumn id="12653" xr3:uid="{96FD9BE0-3DD9-444C-883C-67138F8E5641}" name="Column12653"/>
    <tableColumn id="12654" xr3:uid="{23EFC2D4-4B1D-4CA0-9B87-2F39F71BC041}" name="Column12654"/>
    <tableColumn id="12655" xr3:uid="{57C020B9-0B6F-4A17-BACC-D4881478F330}" name="Column12655"/>
    <tableColumn id="12656" xr3:uid="{5EF30B0B-B5E8-4CFE-9C80-61E4CA2FBC1C}" name="Column12656"/>
    <tableColumn id="12657" xr3:uid="{AF61C4DD-A0B6-47B1-BB36-03A93F36A437}" name="Column12657"/>
    <tableColumn id="12658" xr3:uid="{F430530D-226E-4F09-8DB2-074F232A3672}" name="Column12658"/>
    <tableColumn id="12659" xr3:uid="{48BCC951-A8E8-42BA-BD4D-8BDD79656B80}" name="Column12659"/>
    <tableColumn id="12660" xr3:uid="{2B51CD30-7C89-44EC-9ADF-8FA489E6CFE4}" name="Column12660"/>
    <tableColumn id="12661" xr3:uid="{FD71EFEE-CFF8-4284-880F-5A4BE7A5E945}" name="Column12661"/>
    <tableColumn id="12662" xr3:uid="{4A5D995F-3BB9-4C52-B53E-715E7886E596}" name="Column12662"/>
    <tableColumn id="12663" xr3:uid="{FDD047F3-07CB-419A-B2B5-8C5249C3BACB}" name="Column12663"/>
    <tableColumn id="12664" xr3:uid="{E6621C58-0873-48CB-9D75-55E87EE3EAB4}" name="Column12664"/>
    <tableColumn id="12665" xr3:uid="{B31568C2-D510-443A-B093-148D915E8048}" name="Column12665"/>
    <tableColumn id="12666" xr3:uid="{CF5FE81B-EEA0-4F9D-8C3A-C6D8F5CCA8A4}" name="Column12666"/>
    <tableColumn id="12667" xr3:uid="{4C0EE41C-16F5-48CF-A6A5-168F85331996}" name="Column12667"/>
    <tableColumn id="12668" xr3:uid="{540921A3-830D-403F-B30F-AD63CA89FC36}" name="Column12668"/>
    <tableColumn id="12669" xr3:uid="{0B589381-1B18-4954-A453-A94B4E19BF8E}" name="Column12669"/>
    <tableColumn id="12670" xr3:uid="{368E415C-A9F7-4F25-B648-A00DF4519266}" name="Column12670"/>
    <tableColumn id="12671" xr3:uid="{D755E2CC-0929-461F-9E7F-9657CB422D61}" name="Column12671"/>
    <tableColumn id="12672" xr3:uid="{AF699DB8-E174-4994-84EC-B4057FD3D8F1}" name="Column12672"/>
    <tableColumn id="12673" xr3:uid="{0B9E7195-3875-4AEB-9B3D-B0359372D68D}" name="Column12673"/>
    <tableColumn id="12674" xr3:uid="{B9A76B6F-78FE-4DD6-936C-C9D02D76F4B7}" name="Column12674"/>
    <tableColumn id="12675" xr3:uid="{53F12930-CE5E-403D-91A4-9D0574B9FA70}" name="Column12675"/>
    <tableColumn id="12676" xr3:uid="{9B7EBC55-08D4-4B23-906B-D75608C7E8A1}" name="Column12676"/>
    <tableColumn id="12677" xr3:uid="{3DB3A1AA-ACC6-4C02-AEBE-3AC50B6C4783}" name="Column12677"/>
    <tableColumn id="12678" xr3:uid="{F90D9A72-6AF8-4092-A27A-AA2B4868D3F8}" name="Column12678"/>
    <tableColumn id="12679" xr3:uid="{97794A95-2C25-4D31-8E07-1F72C77D4B9D}" name="Column12679"/>
    <tableColumn id="12680" xr3:uid="{6AD184BB-B30E-44CB-B296-0C3B576A9CC3}" name="Column12680"/>
    <tableColumn id="12681" xr3:uid="{2EBD7E4E-FF0B-4744-87F2-B8342EE4D0EF}" name="Column12681"/>
    <tableColumn id="12682" xr3:uid="{CE661244-83E8-4837-A046-BE15F7AAE78C}" name="Column12682"/>
    <tableColumn id="12683" xr3:uid="{91DCBAD2-6F1D-4982-B1BF-2DD27411379C}" name="Column12683"/>
    <tableColumn id="12684" xr3:uid="{00234EE2-4871-4661-82A8-9C089C207FF7}" name="Column12684"/>
    <tableColumn id="12685" xr3:uid="{8B461F00-68F4-4092-AB7D-BD851C02D295}" name="Column12685"/>
    <tableColumn id="12686" xr3:uid="{791B8A77-AFF7-4469-8C98-A8C5E04874AE}" name="Column12686"/>
    <tableColumn id="12687" xr3:uid="{5A3444FE-61E9-4523-824F-34C13973F764}" name="Column12687"/>
    <tableColumn id="12688" xr3:uid="{0297FE6B-F00D-4F9B-B9F8-1898243FCCED}" name="Column12688"/>
    <tableColumn id="12689" xr3:uid="{759476AF-8347-4592-B1DA-37E8405B4BA0}" name="Column12689"/>
    <tableColumn id="12690" xr3:uid="{B48CC043-7354-44EB-9BAE-E4FC11463AAC}" name="Column12690"/>
    <tableColumn id="12691" xr3:uid="{7310BBBF-5E11-484B-874B-D73E28A19100}" name="Column12691"/>
    <tableColumn id="12692" xr3:uid="{A454DA18-0201-49DF-AF00-574931A99AD1}" name="Column12692"/>
    <tableColumn id="12693" xr3:uid="{6B44952A-1B27-422B-8246-209B5D459B87}" name="Column12693"/>
    <tableColumn id="12694" xr3:uid="{52E8DE08-1826-4D58-AAC3-E01C1BBF45DE}" name="Column12694"/>
    <tableColumn id="12695" xr3:uid="{A4A1CD8D-186E-4221-9721-117E9F089B4C}" name="Column12695"/>
    <tableColumn id="12696" xr3:uid="{F29C2E47-5BDC-4EBC-BAAA-EDCF935F39A0}" name="Column12696"/>
    <tableColumn id="12697" xr3:uid="{263220D8-DE11-438B-BD4F-27D2F18D1D42}" name="Column12697"/>
    <tableColumn id="12698" xr3:uid="{F4E36382-64A7-4288-A434-998D5B9099E7}" name="Column12698"/>
    <tableColumn id="12699" xr3:uid="{B99A19EB-0891-46DF-A305-D622BCAF5524}" name="Column12699"/>
    <tableColumn id="12700" xr3:uid="{C6C2B314-5745-451F-8CA6-E1002CDB8A87}" name="Column12700"/>
    <tableColumn id="12701" xr3:uid="{0B5211C9-A8FA-4E35-98C0-6A2211AA81B3}" name="Column12701"/>
    <tableColumn id="12702" xr3:uid="{5D015D4E-99B1-46C8-9F0E-203AEE41C234}" name="Column12702"/>
    <tableColumn id="12703" xr3:uid="{D7C10329-3A52-4DB1-BA94-7A91B5F34DAD}" name="Column12703"/>
    <tableColumn id="12704" xr3:uid="{F6EF294A-88DA-4150-8AD0-AAF23AFBC7CA}" name="Column12704"/>
    <tableColumn id="12705" xr3:uid="{4BCB5277-99E5-4859-B2A0-4AAA23FE69CD}" name="Column12705"/>
    <tableColumn id="12706" xr3:uid="{21136831-0E13-41B8-AE51-53869B807663}" name="Column12706"/>
    <tableColumn id="12707" xr3:uid="{C8B5EB81-A7AB-49A0-825A-BE93EC24ADFD}" name="Column12707"/>
    <tableColumn id="12708" xr3:uid="{E1A75558-DD37-426B-A325-B02007D51AB5}" name="Column12708"/>
    <tableColumn id="12709" xr3:uid="{B5CAC650-C861-460C-A70C-4FDCDE8708DE}" name="Column12709"/>
    <tableColumn id="12710" xr3:uid="{BDDE3788-9782-4FD6-9C2E-3B91CA45B6C8}" name="Column12710"/>
    <tableColumn id="12711" xr3:uid="{1DDABAC7-6753-4F12-9D53-42F092900214}" name="Column12711"/>
    <tableColumn id="12712" xr3:uid="{EA6DF935-DFDC-4D77-94AD-29766AAA26D6}" name="Column12712"/>
    <tableColumn id="12713" xr3:uid="{F0F98E6E-07CE-4B2E-8DF3-08E65B24CEDB}" name="Column12713"/>
    <tableColumn id="12714" xr3:uid="{85AD8FE1-EABB-4B47-A40E-7E0BAD10BFA7}" name="Column12714"/>
    <tableColumn id="12715" xr3:uid="{D9FCF225-2C76-4E5F-AAFF-B81672C1CDC0}" name="Column12715"/>
    <tableColumn id="12716" xr3:uid="{8DFA09B7-F90B-491C-9D44-433BB5442809}" name="Column12716"/>
    <tableColumn id="12717" xr3:uid="{56F7D557-A87D-4054-ABB1-772743A047E7}" name="Column12717"/>
    <tableColumn id="12718" xr3:uid="{C96BF5AB-4C1F-4E91-A8B3-E0AFC0A1DD1C}" name="Column12718"/>
    <tableColumn id="12719" xr3:uid="{FC49D874-D31F-4F98-B86F-A978D73BFF0E}" name="Column12719"/>
    <tableColumn id="12720" xr3:uid="{04CC5ADD-5185-4484-86CA-C0A8BB35DDA1}" name="Column12720"/>
    <tableColumn id="12721" xr3:uid="{2D46F29D-2D61-4C59-B439-27017A9A1949}" name="Column12721"/>
    <tableColumn id="12722" xr3:uid="{86829603-B688-4831-A9FF-372EE07A6861}" name="Column12722"/>
    <tableColumn id="12723" xr3:uid="{64934DC4-2CBE-4BAA-BE27-FB3B4A1DD785}" name="Column12723"/>
    <tableColumn id="12724" xr3:uid="{41707A02-A298-48BE-8002-0250717257AA}" name="Column12724"/>
    <tableColumn id="12725" xr3:uid="{328DAECB-ADF0-471A-8459-1BA87640F601}" name="Column12725"/>
    <tableColumn id="12726" xr3:uid="{EC1E81BB-6BC4-4374-AD11-778662706BAA}" name="Column12726"/>
    <tableColumn id="12727" xr3:uid="{A99CC5AD-C490-41F7-A9FF-3C5235424132}" name="Column12727"/>
    <tableColumn id="12728" xr3:uid="{D5C477A8-1916-4AE3-A9AD-E626DEC18EEA}" name="Column12728"/>
    <tableColumn id="12729" xr3:uid="{7FDFB99C-D924-4345-B08E-AF73FFD79EEB}" name="Column12729"/>
    <tableColumn id="12730" xr3:uid="{764AE2B2-9075-467B-8F2B-1C0190740398}" name="Column12730"/>
    <tableColumn id="12731" xr3:uid="{6A16483D-2803-4EE4-AB7F-1384EE3C0B0E}" name="Column12731"/>
    <tableColumn id="12732" xr3:uid="{41E8F29C-0E31-455E-B2A8-7D2817A8A40E}" name="Column12732"/>
    <tableColumn id="12733" xr3:uid="{92A5B682-1CAD-44C4-994E-BE2A26B5E6F6}" name="Column12733"/>
    <tableColumn id="12734" xr3:uid="{7692986C-1581-4BA9-B126-9C0BEC259F91}" name="Column12734"/>
    <tableColumn id="12735" xr3:uid="{AB401CA1-9DAA-48C8-943C-4E8D98A49A19}" name="Column12735"/>
    <tableColumn id="12736" xr3:uid="{464B9B4B-A0E7-4350-B87C-F52F8FA2062F}" name="Column12736"/>
    <tableColumn id="12737" xr3:uid="{21133383-9B2C-4899-8B6F-81DCFC96797A}" name="Column12737"/>
    <tableColumn id="12738" xr3:uid="{E4F61599-B1B2-499F-B6AC-DEB4DAF915AD}" name="Column12738"/>
    <tableColumn id="12739" xr3:uid="{67754A17-D0DA-439B-8664-09156EF298FD}" name="Column12739"/>
    <tableColumn id="12740" xr3:uid="{BF2FE9B6-3527-4434-8CFF-71DB46ABFED7}" name="Column12740"/>
    <tableColumn id="12741" xr3:uid="{CE9173A5-6E91-4196-A8C4-50E760F91643}" name="Column12741"/>
    <tableColumn id="12742" xr3:uid="{D458F28A-0586-4675-AB6A-842573D83A31}" name="Column12742"/>
    <tableColumn id="12743" xr3:uid="{F655C3EB-2651-43BF-AAEC-6FCFA1E36AB4}" name="Column12743"/>
    <tableColumn id="12744" xr3:uid="{A4B176C5-227E-4F93-9627-9A153DBC7047}" name="Column12744"/>
    <tableColumn id="12745" xr3:uid="{2992C76D-4378-42BA-8E83-6FFC42C234D8}" name="Column12745"/>
    <tableColumn id="12746" xr3:uid="{1118BC84-A85F-4F4F-9A00-B118EAF5F5D9}" name="Column12746"/>
    <tableColumn id="12747" xr3:uid="{EC67C456-8D4D-4BAF-9FEF-A052C43647E0}" name="Column12747"/>
    <tableColumn id="12748" xr3:uid="{0CC5AE0E-07B3-483B-9C55-4C8C4202AFA9}" name="Column12748"/>
    <tableColumn id="12749" xr3:uid="{B098634C-4CF6-48DF-B8C2-B211097CAF97}" name="Column12749"/>
    <tableColumn id="12750" xr3:uid="{30FA0D27-D0B9-47FF-8281-FFD457BC29F7}" name="Column12750"/>
    <tableColumn id="12751" xr3:uid="{93E19A39-6D9C-4E73-8E26-EF4123AD5786}" name="Column12751"/>
    <tableColumn id="12752" xr3:uid="{DE924B71-5245-446F-BC13-E13958530156}" name="Column12752"/>
    <tableColumn id="12753" xr3:uid="{8B79B9F0-187C-4175-A9AF-3B4B34688BEA}" name="Column12753"/>
    <tableColumn id="12754" xr3:uid="{CCEE08FB-4981-4CC8-81CA-CA7D53352E0B}" name="Column12754"/>
    <tableColumn id="12755" xr3:uid="{3A1C5AE7-9B1E-4910-A4B0-A886F828ACD5}" name="Column12755"/>
    <tableColumn id="12756" xr3:uid="{3DD911FF-1A3C-46F8-AB5C-CF0E03736385}" name="Column12756"/>
    <tableColumn id="12757" xr3:uid="{CC37CBDB-B887-47D6-A1F3-46949020CE95}" name="Column12757"/>
    <tableColumn id="12758" xr3:uid="{4C9A5DA9-EEC5-43C0-9CD1-DD884E9CC0B1}" name="Column12758"/>
    <tableColumn id="12759" xr3:uid="{DABB5527-8EAE-4D61-854C-B2ED7B8C59F0}" name="Column12759"/>
    <tableColumn id="12760" xr3:uid="{4778AA48-9AEB-4B80-BC7A-1DCD5EB7DDB9}" name="Column12760"/>
    <tableColumn id="12761" xr3:uid="{4D0A5DC7-FBC5-48D3-99ED-C9233C645DEA}" name="Column12761"/>
    <tableColumn id="12762" xr3:uid="{0C5DC9AE-21A7-464E-9C79-6E378A1C7D36}" name="Column12762"/>
    <tableColumn id="12763" xr3:uid="{681B49E8-2B41-421A-B288-C7A46BC19FB1}" name="Column12763"/>
    <tableColumn id="12764" xr3:uid="{5F1D907F-8DC7-481C-9712-EB9FD521C008}" name="Column12764"/>
    <tableColumn id="12765" xr3:uid="{D8A9B42B-EAF6-4FAA-AE59-B138914AFE75}" name="Column12765"/>
    <tableColumn id="12766" xr3:uid="{67767D4B-BB91-4A3F-8883-70CFF9F11C3A}" name="Column12766"/>
    <tableColumn id="12767" xr3:uid="{96D8CCB8-FEEE-47D1-885A-504723A95B1D}" name="Column12767"/>
    <tableColumn id="12768" xr3:uid="{60C764FE-783D-406D-9104-CC0949904F6E}" name="Column12768"/>
    <tableColumn id="12769" xr3:uid="{D084B1D6-6C98-44B6-B09F-B1C5DC225380}" name="Column12769"/>
    <tableColumn id="12770" xr3:uid="{F8AD97DD-028D-4AA9-99E4-86F2A38CA09D}" name="Column12770"/>
    <tableColumn id="12771" xr3:uid="{BF6A695E-5783-41B2-96FE-3A53A94C97A2}" name="Column12771"/>
    <tableColumn id="12772" xr3:uid="{58673977-E651-4DC3-8FBE-E738DC22A4EC}" name="Column12772"/>
    <tableColumn id="12773" xr3:uid="{2939EF16-75B1-4A6F-BCA2-A19EC3FDFBC1}" name="Column12773"/>
    <tableColumn id="12774" xr3:uid="{00A3FD77-679D-4D17-96EA-414A1DA2E834}" name="Column12774"/>
    <tableColumn id="12775" xr3:uid="{C5A92E0E-6314-4466-BEE7-0934300E73E6}" name="Column12775"/>
    <tableColumn id="12776" xr3:uid="{9CEDC34D-F38B-4F7F-BAE4-B6E8CCA7F1C9}" name="Column12776"/>
    <tableColumn id="12777" xr3:uid="{F6C7B53E-4EB1-4653-99E6-3A7B048E0727}" name="Column12777"/>
    <tableColumn id="12778" xr3:uid="{6595C63D-19CE-4729-8B41-313C901D9221}" name="Column12778"/>
    <tableColumn id="12779" xr3:uid="{96342714-25E6-4116-A8D6-39D5F8F417BB}" name="Column12779"/>
    <tableColumn id="12780" xr3:uid="{23F1E769-E886-4618-9562-2A39F9C2C72D}" name="Column12780"/>
    <tableColumn id="12781" xr3:uid="{577D6486-A578-4212-AB59-8CEBF22C1C73}" name="Column12781"/>
    <tableColumn id="12782" xr3:uid="{D3793258-1942-4224-8481-30A9517C3F20}" name="Column12782"/>
    <tableColumn id="12783" xr3:uid="{6F5A7927-363D-4707-A8F7-0DD296B19F21}" name="Column12783"/>
    <tableColumn id="12784" xr3:uid="{CBB9D10E-FCF5-49D2-AA69-8E843CF7E9AA}" name="Column12784"/>
    <tableColumn id="12785" xr3:uid="{A2914931-DF3E-40B5-B1FB-FE1EB114E33B}" name="Column12785"/>
    <tableColumn id="12786" xr3:uid="{F3B53E96-2190-4509-9217-7A55D01E6F7C}" name="Column12786"/>
    <tableColumn id="12787" xr3:uid="{52933282-5C9B-46E0-B3AE-B587A93D7550}" name="Column12787"/>
    <tableColumn id="12788" xr3:uid="{9D82D79F-D692-4C5D-9AF5-85312DAB79CF}" name="Column12788"/>
    <tableColumn id="12789" xr3:uid="{E844E643-35A6-4C20-98FE-DBA93503577F}" name="Column12789"/>
    <tableColumn id="12790" xr3:uid="{545E8F3E-CCBE-451B-A68D-6F51A4E0B76E}" name="Column12790"/>
    <tableColumn id="12791" xr3:uid="{5B4E4C91-ABCC-498E-8BA0-6075090C3DD6}" name="Column12791"/>
    <tableColumn id="12792" xr3:uid="{931FFD65-663F-4B2C-8AC2-08E9B358F6D6}" name="Column12792"/>
    <tableColumn id="12793" xr3:uid="{E1A53910-27E0-45E8-9E00-80E64FA31BA8}" name="Column12793"/>
    <tableColumn id="12794" xr3:uid="{857D3513-5001-42D8-9065-00B067B47D40}" name="Column12794"/>
    <tableColumn id="12795" xr3:uid="{4F9EA63F-98D8-44EE-B0D5-B08D89723B8D}" name="Column12795"/>
    <tableColumn id="12796" xr3:uid="{5C74BC36-3E29-4344-B0EE-26EA150EC0A5}" name="Column12796"/>
    <tableColumn id="12797" xr3:uid="{3512F9B0-5CE0-467E-80F9-9CCDAA653B55}" name="Column12797"/>
    <tableColumn id="12798" xr3:uid="{B24C9F66-2430-485F-8BB6-3A655B42BBA2}" name="Column12798"/>
    <tableColumn id="12799" xr3:uid="{8FEB0F4E-C09A-4D31-AEA1-ED523FE857AD}" name="Column12799"/>
    <tableColumn id="12800" xr3:uid="{5D7180CE-0033-4E6F-9B79-EFBD322E476C}" name="Column12800"/>
    <tableColumn id="12801" xr3:uid="{39169011-C7FA-453E-9636-6BE0002FE22F}" name="Column12801"/>
    <tableColumn id="12802" xr3:uid="{D9F77357-9321-4E81-A292-070128E32EEF}" name="Column12802"/>
    <tableColumn id="12803" xr3:uid="{D571212C-628B-4AD7-8990-CB9B32AE7F54}" name="Column12803"/>
    <tableColumn id="12804" xr3:uid="{1A4AD17E-4987-41A2-B62B-8CCDFA4FAEE4}" name="Column12804"/>
    <tableColumn id="12805" xr3:uid="{FFFA17B5-1645-4AF0-ADCF-D0028C22817F}" name="Column12805"/>
    <tableColumn id="12806" xr3:uid="{29EDC83A-2E26-424F-908A-DEAE039A3602}" name="Column12806"/>
    <tableColumn id="12807" xr3:uid="{630B48E4-01D9-4562-8B33-D22EC0BFC324}" name="Column12807"/>
    <tableColumn id="12808" xr3:uid="{1FA20E10-1A0E-4A86-A85A-A34AF1C11932}" name="Column12808"/>
    <tableColumn id="12809" xr3:uid="{219AA312-7590-43AE-BBA6-0E0927CFE029}" name="Column12809"/>
    <tableColumn id="12810" xr3:uid="{721519CF-1D3A-42FA-A8DE-FC8ACB1A37B3}" name="Column12810"/>
    <tableColumn id="12811" xr3:uid="{EFF81BFF-377E-4E04-92B3-68602FF01954}" name="Column12811"/>
    <tableColumn id="12812" xr3:uid="{B4CC4FC4-58A2-46C2-A0D1-65624907462B}" name="Column12812"/>
    <tableColumn id="12813" xr3:uid="{2074F187-E1D8-4DEB-AB7C-3B6DD245FC7E}" name="Column12813"/>
    <tableColumn id="12814" xr3:uid="{851C08FB-E9F9-4028-BEF3-538EC95FE1C2}" name="Column12814"/>
    <tableColumn id="12815" xr3:uid="{95347C76-1640-4184-9DD8-99FCD9112FE6}" name="Column12815"/>
    <tableColumn id="12816" xr3:uid="{123D8A56-1F50-4C10-9A88-2DF04DBF3F77}" name="Column12816"/>
    <tableColumn id="12817" xr3:uid="{75B0D027-C33D-4E94-A142-E95B34C26366}" name="Column12817"/>
    <tableColumn id="12818" xr3:uid="{B25C8D67-C045-4D54-80A9-B629F210EB56}" name="Column12818"/>
    <tableColumn id="12819" xr3:uid="{299184F0-9278-4DFF-B0D5-EC5A43315331}" name="Column12819"/>
    <tableColumn id="12820" xr3:uid="{C1F33343-C61F-4155-A6EC-D369C3B2FCEE}" name="Column12820"/>
    <tableColumn id="12821" xr3:uid="{04E617C9-571D-43CF-AB6B-B899E2829CAE}" name="Column12821"/>
    <tableColumn id="12822" xr3:uid="{733FA5A9-0112-4DC6-87BD-1ADC9B4898D7}" name="Column12822"/>
    <tableColumn id="12823" xr3:uid="{E3A382B7-E2D4-42CF-9C94-AB73326E5FF7}" name="Column12823"/>
    <tableColumn id="12824" xr3:uid="{07A70B25-D653-4DEC-A813-225C40E6798F}" name="Column12824"/>
    <tableColumn id="12825" xr3:uid="{1FC2F4EF-6817-4439-BC1E-F10F502CAC34}" name="Column12825"/>
    <tableColumn id="12826" xr3:uid="{3AC8B5E7-1B80-4248-996F-0D240F7B2A8E}" name="Column12826"/>
    <tableColumn id="12827" xr3:uid="{2D182ED8-63D9-4F70-ABFC-7187388E8367}" name="Column12827"/>
    <tableColumn id="12828" xr3:uid="{74B35C7B-C4F8-4E9B-9272-92A715893E6D}" name="Column12828"/>
    <tableColumn id="12829" xr3:uid="{8E445647-B5D4-4DC9-A57F-5F1C635AE565}" name="Column12829"/>
    <tableColumn id="12830" xr3:uid="{24CA085C-9527-4720-BD78-DB89677149AF}" name="Column12830"/>
    <tableColumn id="12831" xr3:uid="{C57AFACF-3F31-47C4-BCEA-FA156F109624}" name="Column12831"/>
    <tableColumn id="12832" xr3:uid="{7840BAEC-EDC8-45B6-86BC-A4D8F5082DF0}" name="Column12832"/>
    <tableColumn id="12833" xr3:uid="{12C02809-D1E7-4060-936B-218F0910B6A3}" name="Column12833"/>
    <tableColumn id="12834" xr3:uid="{C0DCAD91-6FDC-4284-BA37-72658CCA3D19}" name="Column12834"/>
    <tableColumn id="12835" xr3:uid="{EFE8D9A1-F217-4731-AF9A-71435A54693A}" name="Column12835"/>
    <tableColumn id="12836" xr3:uid="{061F13AE-E721-47B4-B475-B93DFE9B1BB6}" name="Column12836"/>
    <tableColumn id="12837" xr3:uid="{FE5F24AD-50ED-42B1-8A79-6804CD4E26A5}" name="Column12837"/>
    <tableColumn id="12838" xr3:uid="{78C4BAD3-A4E2-4151-9730-80599BF6C80F}" name="Column12838"/>
    <tableColumn id="12839" xr3:uid="{9337F067-D958-4EB6-AB81-B361B583BB9D}" name="Column12839"/>
    <tableColumn id="12840" xr3:uid="{076A4319-8241-4290-8971-4EA2931A447F}" name="Column12840"/>
    <tableColumn id="12841" xr3:uid="{F949F4AF-D962-4310-B696-F0C9B81A7005}" name="Column12841"/>
    <tableColumn id="12842" xr3:uid="{85EB4E27-F56B-4C98-A779-8C61FED1D4D8}" name="Column12842"/>
    <tableColumn id="12843" xr3:uid="{738CCF90-5224-4A14-9959-E6E0465A50D2}" name="Column12843"/>
    <tableColumn id="12844" xr3:uid="{E30A70D1-56D7-4393-82AD-9DDACF84A083}" name="Column12844"/>
    <tableColumn id="12845" xr3:uid="{97D4D6F5-5E8B-4E90-BE22-B814655EDFB3}" name="Column12845"/>
    <tableColumn id="12846" xr3:uid="{6AF4EAA3-E91F-4433-93B5-369A99CC1119}" name="Column12846"/>
    <tableColumn id="12847" xr3:uid="{11ABBFD9-1063-42AF-B807-85BC79D81162}" name="Column12847"/>
    <tableColumn id="12848" xr3:uid="{016321C3-F103-4F12-A5CD-68D9D6D53B37}" name="Column12848"/>
    <tableColumn id="12849" xr3:uid="{9C30DFB8-F3D1-47B3-A011-3319BC55D1D1}" name="Column12849"/>
    <tableColumn id="12850" xr3:uid="{37F90ED0-5DB6-4FCF-953D-9838802D6D41}" name="Column12850"/>
    <tableColumn id="12851" xr3:uid="{0BE91046-34F6-4D75-AE42-890310E7CDAA}" name="Column12851"/>
    <tableColumn id="12852" xr3:uid="{BA94E623-FA88-4B12-801D-CEE5C15B49B6}" name="Column12852"/>
    <tableColumn id="12853" xr3:uid="{19F17386-E994-46BE-85DA-92599C26D98F}" name="Column12853"/>
    <tableColumn id="12854" xr3:uid="{49946110-144F-47AB-9D40-BC08F04E70F3}" name="Column12854"/>
    <tableColumn id="12855" xr3:uid="{4ECC1163-AA08-449E-94CF-60BB57334F90}" name="Column12855"/>
    <tableColumn id="12856" xr3:uid="{2B6B228C-90FA-4E77-A52F-AF51594401F9}" name="Column12856"/>
    <tableColumn id="12857" xr3:uid="{0E25D3D1-8619-4FB5-8E4D-684B2AB2E3AC}" name="Column12857"/>
    <tableColumn id="12858" xr3:uid="{57F282A6-023F-4A24-BA68-88D5CA74DAB6}" name="Column12858"/>
    <tableColumn id="12859" xr3:uid="{FD696D53-E0AB-4680-9BA2-02608C47CDD5}" name="Column12859"/>
    <tableColumn id="12860" xr3:uid="{247E71C9-6930-4DA5-8AD7-8725BEFCA0D8}" name="Column12860"/>
    <tableColumn id="12861" xr3:uid="{081133B6-6959-4263-9358-80B37D9C6EAE}" name="Column12861"/>
    <tableColumn id="12862" xr3:uid="{A4195105-39FD-4035-AE03-1C566C3FAF04}" name="Column12862"/>
    <tableColumn id="12863" xr3:uid="{E5840363-80B6-4222-9074-BCFEBB9B21B6}" name="Column12863"/>
    <tableColumn id="12864" xr3:uid="{BD5D186E-7355-4821-AB0F-80D236605959}" name="Column12864"/>
    <tableColumn id="12865" xr3:uid="{0634CBA2-5992-49D9-B6F5-79BB55A05014}" name="Column12865"/>
    <tableColumn id="12866" xr3:uid="{C29CFA73-03A4-4E49-8189-82794C84B3FF}" name="Column12866"/>
    <tableColumn id="12867" xr3:uid="{379440A8-947E-420D-9A06-E2F6921AFFC4}" name="Column12867"/>
    <tableColumn id="12868" xr3:uid="{FAF95094-57BF-498D-9E7D-FF3B0AAB8EE1}" name="Column12868"/>
    <tableColumn id="12869" xr3:uid="{A46D5CCC-A8E6-4254-84A8-F498960280C9}" name="Column12869"/>
    <tableColumn id="12870" xr3:uid="{4236127B-4C9E-4895-94EB-30385F9C0F13}" name="Column12870"/>
    <tableColumn id="12871" xr3:uid="{CA273CF0-437D-4A95-A04A-8D933FCAEB3F}" name="Column12871"/>
    <tableColumn id="12872" xr3:uid="{C8C61CBA-659A-4B3E-ADDF-92AE7399F167}" name="Column12872"/>
    <tableColumn id="12873" xr3:uid="{970046D1-8586-41A0-9D4F-08438517230D}" name="Column12873"/>
    <tableColumn id="12874" xr3:uid="{FE557374-B01C-4362-B20D-3FFC09D75A0B}" name="Column12874"/>
    <tableColumn id="12875" xr3:uid="{9BD0398D-2DD1-4407-869E-E613E0269550}" name="Column12875"/>
    <tableColumn id="12876" xr3:uid="{49FD01D0-CC78-4325-ACCB-829BA6D43B34}" name="Column12876"/>
    <tableColumn id="12877" xr3:uid="{EE50273C-AD51-4C40-AFFF-9CAB4AEAF196}" name="Column12877"/>
    <tableColumn id="12878" xr3:uid="{0CB1D1E5-BD4D-4DDB-ACF8-414583FCC899}" name="Column12878"/>
    <tableColumn id="12879" xr3:uid="{822870A5-E35E-4E48-97D3-960F09AEFD08}" name="Column12879"/>
    <tableColumn id="12880" xr3:uid="{4BF05B52-C9A1-4A74-ACE8-4FE2898607CC}" name="Column12880"/>
    <tableColumn id="12881" xr3:uid="{36F0865E-6030-4561-91CB-9546476D3E57}" name="Column12881"/>
    <tableColumn id="12882" xr3:uid="{0F580830-59E4-4A37-B908-1A97A4C04196}" name="Column12882"/>
    <tableColumn id="12883" xr3:uid="{32C8338D-89AC-48F2-BDC9-DDD84A804647}" name="Column12883"/>
    <tableColumn id="12884" xr3:uid="{45CDEFEE-ED3E-49AD-844D-106242E86149}" name="Column12884"/>
    <tableColumn id="12885" xr3:uid="{7FF5757D-77DA-4B0B-82B2-8BBFA690B8EA}" name="Column12885"/>
    <tableColumn id="12886" xr3:uid="{0A62F2D9-1D20-4B18-A550-05CECF9D6A39}" name="Column12886"/>
    <tableColumn id="12887" xr3:uid="{AEF19705-3EBE-4790-9F80-DC52902A9F5F}" name="Column12887"/>
    <tableColumn id="12888" xr3:uid="{0DBD79CD-F4EE-46FB-83B8-4858188377C1}" name="Column12888"/>
    <tableColumn id="12889" xr3:uid="{2E531C39-0ECD-45D4-BD5D-A10BEB487521}" name="Column12889"/>
    <tableColumn id="12890" xr3:uid="{00EC6FD9-DC6A-4FF8-A793-A5DF1FDB0FEC}" name="Column12890"/>
    <tableColumn id="12891" xr3:uid="{CB294D9E-9F41-468A-8C52-D20AA9AD90F5}" name="Column12891"/>
    <tableColumn id="12892" xr3:uid="{51AEA923-7792-4101-96A1-B68727315789}" name="Column12892"/>
    <tableColumn id="12893" xr3:uid="{6DFD8B69-F3B8-4970-862C-D51D8C798671}" name="Column12893"/>
    <tableColumn id="12894" xr3:uid="{6876FEB3-2AF0-43FD-8116-D5010E1EB3EE}" name="Column12894"/>
    <tableColumn id="12895" xr3:uid="{838C10CE-C42A-45C7-B6C4-EF0BD4BA3824}" name="Column12895"/>
    <tableColumn id="12896" xr3:uid="{EBF67F98-4B18-41C6-B335-92484BD1B4C5}" name="Column12896"/>
    <tableColumn id="12897" xr3:uid="{F41FCED1-5C85-4D75-8A78-BCF5796CD7BC}" name="Column12897"/>
    <tableColumn id="12898" xr3:uid="{8FDD8C81-F508-424B-B1BA-77CEE2DDA4C5}" name="Column12898"/>
    <tableColumn id="12899" xr3:uid="{BE5DE04B-C78B-4D69-B180-EF4896BEDC2D}" name="Column12899"/>
    <tableColumn id="12900" xr3:uid="{CA3E714E-ECE9-4E23-8031-CA0D8622E712}" name="Column12900"/>
    <tableColumn id="12901" xr3:uid="{8CB5C54E-A65B-442B-A1FF-2F3126E32800}" name="Column12901"/>
    <tableColumn id="12902" xr3:uid="{8C510C09-0FA9-438A-9869-D8053E22E158}" name="Column12902"/>
    <tableColumn id="12903" xr3:uid="{0106057A-D678-42A5-9026-497DE8970B60}" name="Column12903"/>
    <tableColumn id="12904" xr3:uid="{A8797F43-7834-48FA-B241-E51EC5B54DDD}" name="Column12904"/>
    <tableColumn id="12905" xr3:uid="{BF505F31-6D16-45B3-BE59-2FB7B43C9FC3}" name="Column12905"/>
    <tableColumn id="12906" xr3:uid="{8AD07389-BD70-41B3-9A62-B6064461FA69}" name="Column12906"/>
    <tableColumn id="12907" xr3:uid="{0FE0EB31-1D7E-4ED2-8C8E-605F7D3ED97C}" name="Column12907"/>
    <tableColumn id="12908" xr3:uid="{5B79275D-087C-4430-B6F5-4DCC956552C9}" name="Column12908"/>
    <tableColumn id="12909" xr3:uid="{EEA50CB0-2E3B-4847-943C-A44906AA2FFE}" name="Column12909"/>
    <tableColumn id="12910" xr3:uid="{B297ED67-2B5B-489E-80FB-C348E75EEAC2}" name="Column12910"/>
    <tableColumn id="12911" xr3:uid="{26859D44-CAAC-4C3A-97E7-63B1E16148CE}" name="Column12911"/>
    <tableColumn id="12912" xr3:uid="{7D2696B8-1160-4064-B904-89F2C066750F}" name="Column12912"/>
    <tableColumn id="12913" xr3:uid="{58D5D93A-025F-498A-BEC6-62659AF82330}" name="Column12913"/>
    <tableColumn id="12914" xr3:uid="{4E8714D0-0037-4294-9295-B4225E88820C}" name="Column12914"/>
    <tableColumn id="12915" xr3:uid="{AD714500-77EB-4CD9-8331-877227A346B1}" name="Column12915"/>
    <tableColumn id="12916" xr3:uid="{0DD37E27-A937-41D3-8394-DC947A452CBE}" name="Column12916"/>
    <tableColumn id="12917" xr3:uid="{2AA12A92-F84B-4AAD-84AB-938D0663997C}" name="Column12917"/>
    <tableColumn id="12918" xr3:uid="{588C9DB4-BCD4-40FE-B4EF-53167AC19B2A}" name="Column12918"/>
    <tableColumn id="12919" xr3:uid="{F959A6F8-851D-457E-A8DA-45A4B5E9E19A}" name="Column12919"/>
    <tableColumn id="12920" xr3:uid="{EDE01A29-006C-4698-A91E-A432F1EDCA04}" name="Column12920"/>
    <tableColumn id="12921" xr3:uid="{21E9482E-010F-4984-8365-687D2E7D795B}" name="Column12921"/>
    <tableColumn id="12922" xr3:uid="{D4FDC07F-8685-4C53-A1FA-342156E30668}" name="Column12922"/>
    <tableColumn id="12923" xr3:uid="{B309BA08-FBB2-4CCE-BE89-BF478B9893A6}" name="Column12923"/>
    <tableColumn id="12924" xr3:uid="{7AC68BEE-FAB4-4199-B906-0EA5CDB0C695}" name="Column12924"/>
    <tableColumn id="12925" xr3:uid="{81094446-0517-4C1D-849B-699FE0DF6D47}" name="Column12925"/>
    <tableColumn id="12926" xr3:uid="{1CA8D1C7-3AA1-4BFA-AD96-E48482D324E6}" name="Column12926"/>
    <tableColumn id="12927" xr3:uid="{E08C2CD9-CFEC-4861-8AE5-FD5CE2822EC0}" name="Column12927"/>
    <tableColumn id="12928" xr3:uid="{E27B71B8-6747-4ECB-BB58-A076C3886522}" name="Column12928"/>
    <tableColumn id="12929" xr3:uid="{86C37B86-CB11-45A2-8F9B-1F9449A09E22}" name="Column12929"/>
    <tableColumn id="12930" xr3:uid="{03A6D116-94C8-4D7F-B19E-174AA7212B26}" name="Column12930"/>
    <tableColumn id="12931" xr3:uid="{371D1E3B-2A9B-4B44-9E6D-BBBC216B3868}" name="Column12931"/>
    <tableColumn id="12932" xr3:uid="{1CF65A7F-0E44-496A-96E2-63DA2F7F287A}" name="Column12932"/>
    <tableColumn id="12933" xr3:uid="{D9F78044-37BB-4905-A918-A90ADEF3A69E}" name="Column12933"/>
    <tableColumn id="12934" xr3:uid="{253183F6-FBF9-4C2C-A5D0-E2BD3A9EE8F1}" name="Column12934"/>
    <tableColumn id="12935" xr3:uid="{2CAD5DC6-AC62-4A9D-AC9D-0E5B19884642}" name="Column12935"/>
    <tableColumn id="12936" xr3:uid="{FDB38AE4-3D23-4BFF-BE8B-27D3CFFD01CD}" name="Column12936"/>
    <tableColumn id="12937" xr3:uid="{7E3798DE-6A87-420B-AF81-C670D167BE6C}" name="Column12937"/>
    <tableColumn id="12938" xr3:uid="{2FEB4085-1D94-423D-A871-9941E8927793}" name="Column12938"/>
    <tableColumn id="12939" xr3:uid="{AB566546-9B19-4ABB-8E0E-7596050227BC}" name="Column12939"/>
    <tableColumn id="12940" xr3:uid="{BD4C824D-6AC5-47F3-AED3-29AE63EB6364}" name="Column12940"/>
    <tableColumn id="12941" xr3:uid="{604DBC21-E1E8-45BA-A1F2-12DBCAFC7179}" name="Column12941"/>
    <tableColumn id="12942" xr3:uid="{8DE59883-EF9C-49AB-AFC5-5D383AB3ABFF}" name="Column12942"/>
    <tableColumn id="12943" xr3:uid="{633C9EEE-3047-478C-827E-DA9A291E7E38}" name="Column12943"/>
    <tableColumn id="12944" xr3:uid="{55E678ED-44C2-4CA8-A9B7-B0288D52780C}" name="Column12944"/>
    <tableColumn id="12945" xr3:uid="{AC499345-8F78-46A3-9A4D-36506CA70707}" name="Column12945"/>
    <tableColumn id="12946" xr3:uid="{433CA8D4-7C3D-47FE-9EF1-106D7032D706}" name="Column12946"/>
    <tableColumn id="12947" xr3:uid="{172EC637-1DC1-4B61-BF9A-1CE3501AE432}" name="Column12947"/>
    <tableColumn id="12948" xr3:uid="{672FD7DB-A3D7-4356-B314-6963B9738FF5}" name="Column12948"/>
    <tableColumn id="12949" xr3:uid="{066967A3-0CDB-4F32-9A43-FFC3D7EAFE51}" name="Column12949"/>
    <tableColumn id="12950" xr3:uid="{649602F5-C1F2-446E-AB86-112CDECFF830}" name="Column12950"/>
    <tableColumn id="12951" xr3:uid="{28C055AF-4F44-4C34-9C16-D2DA74986923}" name="Column12951"/>
    <tableColumn id="12952" xr3:uid="{4F67C2F7-F771-4C68-9B5E-1EE35155341D}" name="Column12952"/>
    <tableColumn id="12953" xr3:uid="{B18B2208-C7EB-4888-A158-B7891F341E94}" name="Column12953"/>
    <tableColumn id="12954" xr3:uid="{B09C340C-5017-4C10-8527-14BCB9A90A19}" name="Column12954"/>
    <tableColumn id="12955" xr3:uid="{1C0386E5-81C6-4D5D-B880-59DCAFBDF079}" name="Column12955"/>
    <tableColumn id="12956" xr3:uid="{443105AE-A68C-49F0-84DC-4E88573CCD0F}" name="Column12956"/>
    <tableColumn id="12957" xr3:uid="{2394F9AA-EE7F-4D14-BE9F-A14D70410C5B}" name="Column12957"/>
    <tableColumn id="12958" xr3:uid="{B6FB3210-0004-48EB-A046-339DC27FAF19}" name="Column12958"/>
    <tableColumn id="12959" xr3:uid="{5368A85F-3C5D-4D2C-A0CF-7F5BB2753EA3}" name="Column12959"/>
    <tableColumn id="12960" xr3:uid="{77DF1D59-4169-4C24-810E-6B8AECC37A2B}" name="Column12960"/>
    <tableColumn id="12961" xr3:uid="{F273BFB5-9DF4-43D1-81CB-34422F8F5D55}" name="Column12961"/>
    <tableColumn id="12962" xr3:uid="{15A2364B-D8A6-49D3-9207-A1E5B9585C03}" name="Column12962"/>
    <tableColumn id="12963" xr3:uid="{2FF75E60-74F1-46B2-94E0-52954E364E38}" name="Column12963"/>
    <tableColumn id="12964" xr3:uid="{F5916590-7AF5-45F5-A219-3388278F5A86}" name="Column12964"/>
    <tableColumn id="12965" xr3:uid="{EF5B14B3-312B-4C82-81C2-43AD2B786369}" name="Column12965"/>
    <tableColumn id="12966" xr3:uid="{83755CB5-DD1E-4492-BF26-FEE6D8A930CE}" name="Column12966"/>
    <tableColumn id="12967" xr3:uid="{7B19F894-1839-45AF-929F-9AA1C7B4E50F}" name="Column12967"/>
    <tableColumn id="12968" xr3:uid="{28CA3A4D-281F-4E89-8BD4-03D57EE3E2F1}" name="Column12968"/>
    <tableColumn id="12969" xr3:uid="{2BF85259-5004-428D-AAE4-0225CCA65919}" name="Column12969"/>
    <tableColumn id="12970" xr3:uid="{67F1546E-4C0D-4D65-B07F-502197F8F629}" name="Column12970"/>
    <tableColumn id="12971" xr3:uid="{0951FC95-6393-4914-8B6B-20F9A6BEAFFD}" name="Column12971"/>
    <tableColumn id="12972" xr3:uid="{2BCC3EB9-9710-461C-9719-1497029DAC05}" name="Column12972"/>
    <tableColumn id="12973" xr3:uid="{83CDE652-1C00-435C-8F12-41E0AEC519CE}" name="Column12973"/>
    <tableColumn id="12974" xr3:uid="{6EE220B3-B3B4-4730-8CDD-2C1084F84A46}" name="Column12974"/>
    <tableColumn id="12975" xr3:uid="{B56BFC8F-9FD4-4440-B8AC-5C4E8112E61D}" name="Column12975"/>
    <tableColumn id="12976" xr3:uid="{E3C9B65A-600D-45AF-89EB-0903CB134D38}" name="Column12976"/>
    <tableColumn id="12977" xr3:uid="{045D213C-D5FE-4BAD-881B-F927A16D6E97}" name="Column12977"/>
    <tableColumn id="12978" xr3:uid="{FCFDB27F-CF7E-41E0-B7AD-7EEFF7E4DF3E}" name="Column12978"/>
    <tableColumn id="12979" xr3:uid="{CF991946-0848-4E54-8313-45F123290E47}" name="Column12979"/>
    <tableColumn id="12980" xr3:uid="{05BDB76C-8951-43A8-A689-1A339E79039A}" name="Column12980"/>
    <tableColumn id="12981" xr3:uid="{2075101E-0FD2-41E3-8C09-0603658E3465}" name="Column12981"/>
    <tableColumn id="12982" xr3:uid="{765B36CE-8791-43AE-86AD-2AD0DF3AD948}" name="Column12982"/>
    <tableColumn id="12983" xr3:uid="{2416583D-32F6-440A-ADEA-9B3CFB1CCE37}" name="Column12983"/>
    <tableColumn id="12984" xr3:uid="{05BF31FD-6337-450C-90DE-877166F2E9D0}" name="Column12984"/>
    <tableColumn id="12985" xr3:uid="{AB3554F7-73B3-435C-94B7-A61FF2844804}" name="Column12985"/>
    <tableColumn id="12986" xr3:uid="{3A0C90B4-12D3-4126-8567-B2076F969E8D}" name="Column12986"/>
    <tableColumn id="12987" xr3:uid="{9502B279-7006-439B-BD72-7C0AA937E150}" name="Column12987"/>
    <tableColumn id="12988" xr3:uid="{2E2A950C-9B3E-44F8-BDC1-BB4B7BDD6641}" name="Column12988"/>
    <tableColumn id="12989" xr3:uid="{E533AA91-F637-4374-8F53-74216F7028BC}" name="Column12989"/>
    <tableColumn id="12990" xr3:uid="{0DCFCA4E-0688-41E5-828C-A083CED67888}" name="Column12990"/>
    <tableColumn id="12991" xr3:uid="{23A0D3E8-6B9C-4019-933B-5AE386886E4F}" name="Column12991"/>
    <tableColumn id="12992" xr3:uid="{D63722EF-36D2-441F-917D-FB64885CE612}" name="Column12992"/>
    <tableColumn id="12993" xr3:uid="{CE4EC657-D9C8-48C7-9159-753CD12B100F}" name="Column12993"/>
    <tableColumn id="12994" xr3:uid="{F80A0B2B-B099-4B93-9D7A-AD4075E8BA84}" name="Column12994"/>
    <tableColumn id="12995" xr3:uid="{95718ADB-9B68-4BDD-A9B1-257BF4CE5A4D}" name="Column12995"/>
    <tableColumn id="12996" xr3:uid="{90EBF0FA-3C35-48B0-8889-22B65F6F76C2}" name="Column12996"/>
    <tableColumn id="12997" xr3:uid="{AB305D16-16EE-429D-9334-85617B0A6F6D}" name="Column12997"/>
    <tableColumn id="12998" xr3:uid="{E7F2119D-E76F-432E-AAF5-774B19AC966A}" name="Column12998"/>
    <tableColumn id="12999" xr3:uid="{856BB92D-881B-4558-840E-FFB7E0A00D3E}" name="Column12999"/>
    <tableColumn id="13000" xr3:uid="{7A8C5497-4945-49F5-8E01-A2F399517FD2}" name="Column13000"/>
    <tableColumn id="13001" xr3:uid="{5EAB332B-F324-4C6F-9039-F203C9C34B4C}" name="Column13001"/>
    <tableColumn id="13002" xr3:uid="{90E1248F-5B7E-4C53-A017-08C686CD178C}" name="Column13002"/>
    <tableColumn id="13003" xr3:uid="{28E76A67-4120-454E-88A2-FDE96679F7A4}" name="Column13003"/>
    <tableColumn id="13004" xr3:uid="{31726EC2-81EA-45E5-A487-203DA876A874}" name="Column13004"/>
    <tableColumn id="13005" xr3:uid="{B25E549E-4834-48F0-A4FD-3D7F9FE75650}" name="Column13005"/>
    <tableColumn id="13006" xr3:uid="{9681D524-DCAE-432C-9BE5-42B15A547B1C}" name="Column13006"/>
    <tableColumn id="13007" xr3:uid="{E9B1FA4F-73F8-4D92-A7E7-755E25DB0CEF}" name="Column13007"/>
    <tableColumn id="13008" xr3:uid="{F51355C4-F706-4C1C-A9E9-B617BF6CEBFF}" name="Column13008"/>
    <tableColumn id="13009" xr3:uid="{F0714F16-CDBB-4571-8B74-73B814417B37}" name="Column13009"/>
    <tableColumn id="13010" xr3:uid="{0CC88803-23EF-467C-93F9-6D9BFDC6567D}" name="Column13010"/>
    <tableColumn id="13011" xr3:uid="{110CB396-3646-40BE-8D26-DFC520C286CF}" name="Column13011"/>
    <tableColumn id="13012" xr3:uid="{45CFEA16-E69C-429D-9D68-9D1E823F0BA2}" name="Column13012"/>
    <tableColumn id="13013" xr3:uid="{F066A2E7-48C2-48F9-A3E8-6317ED8FE6B5}" name="Column13013"/>
    <tableColumn id="13014" xr3:uid="{18C243FD-DCBA-4C66-AF02-B86E087A646B}" name="Column13014"/>
    <tableColumn id="13015" xr3:uid="{487A1024-E434-428E-95FA-254F07FC279E}" name="Column13015"/>
    <tableColumn id="13016" xr3:uid="{198F6435-4658-4499-8815-BE3F94ADBC06}" name="Column13016"/>
    <tableColumn id="13017" xr3:uid="{8B8B3A6E-FAD5-4019-A7FC-535B7B98279C}" name="Column13017"/>
    <tableColumn id="13018" xr3:uid="{3BA2C51E-7733-41B7-BBEC-2CCEA66ED413}" name="Column13018"/>
    <tableColumn id="13019" xr3:uid="{4B9EBF36-D36C-4A30-BD27-942B87AFD5F7}" name="Column13019"/>
    <tableColumn id="13020" xr3:uid="{B6555BAA-321D-409E-85DA-D145E8235B4B}" name="Column13020"/>
    <tableColumn id="13021" xr3:uid="{8A961371-A573-40D1-A68F-B563A9BB786E}" name="Column13021"/>
    <tableColumn id="13022" xr3:uid="{02F43E0B-3563-4B02-A78C-C25C8E291D89}" name="Column13022"/>
    <tableColumn id="13023" xr3:uid="{48174047-5C6F-48CA-ADCD-1F1DEF744B7C}" name="Column13023"/>
    <tableColumn id="13024" xr3:uid="{7E473F97-D34C-41E6-9D55-8373771DFE04}" name="Column13024"/>
    <tableColumn id="13025" xr3:uid="{2B136727-E3CB-41EF-A607-DA3B86B85603}" name="Column13025"/>
    <tableColumn id="13026" xr3:uid="{82E36B39-2551-4663-9F9C-06F17187F732}" name="Column13026"/>
    <tableColumn id="13027" xr3:uid="{103E3AE2-DB84-45DD-8F8C-56CD1A713B79}" name="Column13027"/>
    <tableColumn id="13028" xr3:uid="{A36F1985-1331-49EC-A613-079C48A4BB27}" name="Column13028"/>
    <tableColumn id="13029" xr3:uid="{0D3BD9FE-95F2-4856-93C0-69801BAB03A9}" name="Column13029"/>
    <tableColumn id="13030" xr3:uid="{61619E92-A89F-4094-8A81-5408FCE18D94}" name="Column13030"/>
    <tableColumn id="13031" xr3:uid="{EAACA940-A2AF-49B2-8B74-AF5D51042B16}" name="Column13031"/>
    <tableColumn id="13032" xr3:uid="{B0B88768-DDEB-4305-80A5-F1EC57FDF6A9}" name="Column13032"/>
    <tableColumn id="13033" xr3:uid="{E1F05321-3FA7-4E30-B18A-EA47338181BD}" name="Column13033"/>
    <tableColumn id="13034" xr3:uid="{4501CC73-9A0E-44E4-97AE-F95695FF4903}" name="Column13034"/>
    <tableColumn id="13035" xr3:uid="{FD4A0D55-C36F-46CA-B307-84AF0DD62D0F}" name="Column13035"/>
    <tableColumn id="13036" xr3:uid="{AD845FF6-5FFE-4CF5-A238-6835D4285272}" name="Column13036"/>
    <tableColumn id="13037" xr3:uid="{30B6A229-CEE3-4F20-A755-9F7164750769}" name="Column13037"/>
    <tableColumn id="13038" xr3:uid="{66BCA533-7461-4B00-A5E2-BD19D8E7078A}" name="Column13038"/>
    <tableColumn id="13039" xr3:uid="{BEBE8F4F-8C82-4EDC-9F8B-341C10BCF1A1}" name="Column13039"/>
    <tableColumn id="13040" xr3:uid="{EF124C60-F885-42E7-9251-945DE4EFC0E6}" name="Column13040"/>
    <tableColumn id="13041" xr3:uid="{F2B49840-72E2-4B70-9FD4-F46C3107A435}" name="Column13041"/>
    <tableColumn id="13042" xr3:uid="{8E260754-45F7-4257-8313-9D09135AB8BA}" name="Column13042"/>
    <tableColumn id="13043" xr3:uid="{197C19B5-AB0C-4EE4-91FA-D99E3DE39415}" name="Column13043"/>
    <tableColumn id="13044" xr3:uid="{1D991A43-A67A-4903-AFE0-572BE3F63E37}" name="Column13044"/>
    <tableColumn id="13045" xr3:uid="{0E6AA12B-BC2B-45AA-9FCD-A67F7A4AB324}" name="Column13045"/>
    <tableColumn id="13046" xr3:uid="{B4DB98E0-110B-4DE7-A7F8-F2F3FF41B17F}" name="Column13046"/>
    <tableColumn id="13047" xr3:uid="{25E536FD-14B7-4862-A4A1-A7B9B08A86B1}" name="Column13047"/>
    <tableColumn id="13048" xr3:uid="{7AA58AEA-98FD-48AF-BD6B-A78F05005A86}" name="Column13048"/>
    <tableColumn id="13049" xr3:uid="{5E7D1A01-102B-47D7-85A5-DCF007BFFE33}" name="Column13049"/>
    <tableColumn id="13050" xr3:uid="{F4BAECDA-2BD5-401F-8589-1564CDE2F75C}" name="Column13050"/>
    <tableColumn id="13051" xr3:uid="{4E8DC669-480E-4F16-9E6B-CB39DACDD76B}" name="Column13051"/>
    <tableColumn id="13052" xr3:uid="{FB0D4E02-AB6B-42AA-85E7-F10A92BB2E8A}" name="Column13052"/>
    <tableColumn id="13053" xr3:uid="{71B2547B-485E-49B8-A16F-F10C07F8585E}" name="Column13053"/>
    <tableColumn id="13054" xr3:uid="{FF321A7D-5F71-4BB6-BCAD-E0DD0F6D4DBA}" name="Column13054"/>
    <tableColumn id="13055" xr3:uid="{CD0CFFD4-A631-4711-946D-9DF99E38861A}" name="Column13055"/>
    <tableColumn id="13056" xr3:uid="{7B00F17D-DBD2-4772-BE8B-9C1B0A3DD389}" name="Column13056"/>
    <tableColumn id="13057" xr3:uid="{692F288D-A9C5-4E7D-8571-B6D5DF311E80}" name="Column13057"/>
    <tableColumn id="13058" xr3:uid="{2A03A596-DB6E-4F6A-AEBF-9DB0435C3F01}" name="Column13058"/>
    <tableColumn id="13059" xr3:uid="{5BDD0EFC-42E8-4259-B4ED-ABCA61809ABE}" name="Column13059"/>
    <tableColumn id="13060" xr3:uid="{4223F98B-BADD-4150-9CC2-34BBEC5A4448}" name="Column13060"/>
    <tableColumn id="13061" xr3:uid="{9CDDCCDC-96BA-442C-BB91-FD486DD45F28}" name="Column13061"/>
    <tableColumn id="13062" xr3:uid="{9027B2A0-3B5D-4207-A304-D720FDE97072}" name="Column13062"/>
    <tableColumn id="13063" xr3:uid="{55D8432A-5B35-468B-A25E-6441AF111755}" name="Column13063"/>
    <tableColumn id="13064" xr3:uid="{A51F7E8A-49A3-45E0-925A-5B85FE9C10EF}" name="Column13064"/>
    <tableColumn id="13065" xr3:uid="{FE235F7D-E784-4E85-849F-21E8F838D71C}" name="Column13065"/>
    <tableColumn id="13066" xr3:uid="{7D695B40-0636-439A-9722-674BFE9CB9EC}" name="Column13066"/>
    <tableColumn id="13067" xr3:uid="{D6A376DE-4C5B-4A76-936C-135B4BAD17D1}" name="Column13067"/>
    <tableColumn id="13068" xr3:uid="{C034FE32-FA88-4BFE-B688-AC4A974310C9}" name="Column13068"/>
    <tableColumn id="13069" xr3:uid="{6144F323-AB24-4BBB-A345-1848E6220C0C}" name="Column13069"/>
    <tableColumn id="13070" xr3:uid="{4D17DABB-2B28-4025-B937-657E9A8E84DA}" name="Column13070"/>
    <tableColumn id="13071" xr3:uid="{BEBC504A-D0AC-4A20-BF58-78B5C27A1738}" name="Column13071"/>
    <tableColumn id="13072" xr3:uid="{EE24F012-8221-40AD-975D-A1AF895C14BC}" name="Column13072"/>
    <tableColumn id="13073" xr3:uid="{3ED77877-19E0-4E01-9CBD-980A28A0D07F}" name="Column13073"/>
    <tableColumn id="13074" xr3:uid="{B52BB4E9-AC33-45CC-8CB6-91604A7B306C}" name="Column13074"/>
    <tableColumn id="13075" xr3:uid="{1B4CD272-1646-439C-B65D-229658042FE6}" name="Column13075"/>
    <tableColumn id="13076" xr3:uid="{C13AA6D3-FCE5-4C6A-8D04-540576CE5AA7}" name="Column13076"/>
    <tableColumn id="13077" xr3:uid="{B2C67A3A-324B-4012-B549-0D22ABC4950C}" name="Column13077"/>
    <tableColumn id="13078" xr3:uid="{B34A1458-5B1E-4EC7-9210-CC6F9F490284}" name="Column13078"/>
    <tableColumn id="13079" xr3:uid="{9B94B53C-EFC1-4FA4-9DDF-923493D15FD4}" name="Column13079"/>
    <tableColumn id="13080" xr3:uid="{0C3643B8-9C3E-450F-9165-EC7A665D0D32}" name="Column13080"/>
    <tableColumn id="13081" xr3:uid="{26D75399-869E-42F6-B602-FCC5BD5A6B83}" name="Column13081"/>
    <tableColumn id="13082" xr3:uid="{7C1DFDC4-DF91-4FFA-83CE-CDB06BF65B4D}" name="Column13082"/>
    <tableColumn id="13083" xr3:uid="{43EA3993-EB8F-4AE2-802E-485564987176}" name="Column13083"/>
    <tableColumn id="13084" xr3:uid="{0058ADEF-9A65-4657-8FF2-4B85549BC265}" name="Column13084"/>
    <tableColumn id="13085" xr3:uid="{BB7DCEBF-0DF4-409D-A29A-C6798669AA79}" name="Column13085"/>
    <tableColumn id="13086" xr3:uid="{8B2D0823-87E0-44D1-96F8-1A38F82AF4DA}" name="Column13086"/>
    <tableColumn id="13087" xr3:uid="{131C7225-4E11-42CD-B363-BC72ACAF4DE1}" name="Column13087"/>
    <tableColumn id="13088" xr3:uid="{2DBB19E9-D436-4CBD-BB7B-D1340248551A}" name="Column13088"/>
    <tableColumn id="13089" xr3:uid="{7064D179-A86F-4759-914D-57533053F9D6}" name="Column13089"/>
    <tableColumn id="13090" xr3:uid="{D31EC288-C1D0-414D-B3D1-8291503F7C55}" name="Column13090"/>
    <tableColumn id="13091" xr3:uid="{B6E1A7AA-8BFB-4C9E-91C2-C63F7ED0D8E3}" name="Column13091"/>
    <tableColumn id="13092" xr3:uid="{E8C4BC0C-4BBC-4023-BE15-6867A50DAC88}" name="Column13092"/>
    <tableColumn id="13093" xr3:uid="{C18B61AD-6EBC-4BFA-B065-A1104A7EC455}" name="Column13093"/>
    <tableColumn id="13094" xr3:uid="{3F535D8E-DDB2-4607-8280-15E2B62BF7E8}" name="Column13094"/>
    <tableColumn id="13095" xr3:uid="{AE7B64D1-9AFB-4CC9-BE91-77E23F38926A}" name="Column13095"/>
    <tableColumn id="13096" xr3:uid="{BB4BAD2B-2B9A-4FA1-A7BF-EAB956964C59}" name="Column13096"/>
    <tableColumn id="13097" xr3:uid="{70F0786C-5E93-4A91-ADF4-2A5E29D8BA20}" name="Column13097"/>
    <tableColumn id="13098" xr3:uid="{5704614F-660E-492E-ADCB-C0DFA7A6C0D1}" name="Column13098"/>
    <tableColumn id="13099" xr3:uid="{FBDCAB0A-564A-46AC-A2C1-8C8153864E12}" name="Column13099"/>
    <tableColumn id="13100" xr3:uid="{2BFDCE5B-AD80-4E2A-9043-72B76F8A24C7}" name="Column13100"/>
    <tableColumn id="13101" xr3:uid="{92248C88-72F5-4C6C-B220-2957709316AF}" name="Column13101"/>
    <tableColumn id="13102" xr3:uid="{DD28C143-3C03-43D9-86A0-515FC6318BF8}" name="Column13102"/>
    <tableColumn id="13103" xr3:uid="{019FAC36-DA9A-440F-94FD-6E6C17B94322}" name="Column13103"/>
    <tableColumn id="13104" xr3:uid="{C5D26448-4D74-4A89-9169-BF894024C1A3}" name="Column13104"/>
    <tableColumn id="13105" xr3:uid="{B4B1E55A-CF20-4FD2-9741-D9CA14E3F55E}" name="Column13105"/>
    <tableColumn id="13106" xr3:uid="{9CC613B6-1DB6-4421-A6A3-7214059993DE}" name="Column13106"/>
    <tableColumn id="13107" xr3:uid="{537253AB-1DEE-4C21-9EEC-D861966899A5}" name="Column13107"/>
    <tableColumn id="13108" xr3:uid="{BD42E2B3-84FD-486E-A5EC-46A391669965}" name="Column13108"/>
    <tableColumn id="13109" xr3:uid="{9BE55CA7-B65F-4E61-B00A-99B3F470F7EB}" name="Column13109"/>
    <tableColumn id="13110" xr3:uid="{824606A9-E75C-4B1F-8490-691FDECC90DC}" name="Column13110"/>
    <tableColumn id="13111" xr3:uid="{96066F7F-85F2-4A26-BB1E-372F59893483}" name="Column13111"/>
    <tableColumn id="13112" xr3:uid="{C816D6EA-C937-4967-92E2-31F29C533E0E}" name="Column13112"/>
    <tableColumn id="13113" xr3:uid="{BE52A9C0-F4BA-4BA5-8808-C3F3EF4A770C}" name="Column13113"/>
    <tableColumn id="13114" xr3:uid="{777C4290-55A8-4F3B-9FDF-CD273F197B17}" name="Column13114"/>
    <tableColumn id="13115" xr3:uid="{73389D41-EC5D-4E0B-926E-3D450EA69E37}" name="Column13115"/>
    <tableColumn id="13116" xr3:uid="{AF62F215-EBD8-4F67-AFC5-F049155FA6AC}" name="Column13116"/>
    <tableColumn id="13117" xr3:uid="{C3BEB7C8-6FD4-477F-8810-B2C93FF966FB}" name="Column13117"/>
    <tableColumn id="13118" xr3:uid="{F7C98D5C-1DE2-472C-A6E1-E8C8EF58E68C}" name="Column13118"/>
    <tableColumn id="13119" xr3:uid="{5B12B78E-0C1E-4715-954E-686B956807BF}" name="Column13119"/>
    <tableColumn id="13120" xr3:uid="{BFD6A8D1-C5ED-4928-855C-656A34BCBA9A}" name="Column13120"/>
    <tableColumn id="13121" xr3:uid="{182A2AB7-B2B8-4F52-BB79-544CF1D460B6}" name="Column13121"/>
    <tableColumn id="13122" xr3:uid="{5C13B580-0D65-4F12-97A1-212706904C11}" name="Column13122"/>
    <tableColumn id="13123" xr3:uid="{EC9BEB51-B18E-401E-B53A-D171687CAA64}" name="Column13123"/>
    <tableColumn id="13124" xr3:uid="{9048AF14-DB7F-43C2-9CBF-2195413F1509}" name="Column13124"/>
    <tableColumn id="13125" xr3:uid="{7C87BA47-15C7-4BA2-B30A-E8694593D386}" name="Column13125"/>
    <tableColumn id="13126" xr3:uid="{DDC8C891-FA0B-4445-A745-45B5EF8F8766}" name="Column13126"/>
    <tableColumn id="13127" xr3:uid="{15743764-3255-464A-868D-0EE0D98E1DE5}" name="Column13127"/>
    <tableColumn id="13128" xr3:uid="{1D530ED0-E73A-4BC3-BD73-5510886E4D5D}" name="Column13128"/>
    <tableColumn id="13129" xr3:uid="{E2EF2AF9-B242-47DB-86FF-044AFC94A3C4}" name="Column13129"/>
    <tableColumn id="13130" xr3:uid="{C1B1E5F8-DBCD-4006-A4A2-C883287078E7}" name="Column13130"/>
    <tableColumn id="13131" xr3:uid="{16516156-40C1-41BF-80EF-14CDE7C49894}" name="Column13131"/>
    <tableColumn id="13132" xr3:uid="{E34D2036-9235-42F2-8C34-5CBD6BE68068}" name="Column13132"/>
    <tableColumn id="13133" xr3:uid="{FB56FBA6-B24E-46F9-9C39-ACF66161CBD9}" name="Column13133"/>
    <tableColumn id="13134" xr3:uid="{91A1FF74-A488-4990-8A7B-EE0107929C53}" name="Column13134"/>
    <tableColumn id="13135" xr3:uid="{3964B98F-209C-4B63-996E-EFA36AD3C04D}" name="Column13135"/>
    <tableColumn id="13136" xr3:uid="{07893621-BA32-4A39-BA70-8C4D80F8B2CF}" name="Column13136"/>
    <tableColumn id="13137" xr3:uid="{3D7137E1-D136-4EF0-99C1-B3ED2BA260E5}" name="Column13137"/>
    <tableColumn id="13138" xr3:uid="{628A803D-10B0-4B25-8F65-FF77510327AA}" name="Column13138"/>
    <tableColumn id="13139" xr3:uid="{E7A4A802-38DD-4438-9D59-E25E92BCB9F5}" name="Column13139"/>
    <tableColumn id="13140" xr3:uid="{3B71FF19-8631-4958-B4B6-EF6D0E4D3E8E}" name="Column13140"/>
    <tableColumn id="13141" xr3:uid="{F894A5BE-3576-45AF-A733-6E6C482051B7}" name="Column13141"/>
    <tableColumn id="13142" xr3:uid="{493956AC-815C-4C10-80D5-F16A99B0E058}" name="Column13142"/>
    <tableColumn id="13143" xr3:uid="{6A8F2BE9-E85C-41A4-93E2-DA10F3662172}" name="Column13143"/>
    <tableColumn id="13144" xr3:uid="{A5122E02-38F5-470E-84A2-D934D3034CAA}" name="Column13144"/>
    <tableColumn id="13145" xr3:uid="{9D85AE06-57A3-4194-8FE3-C25298ABBAEA}" name="Column13145"/>
    <tableColumn id="13146" xr3:uid="{2CF29DE5-FE51-4B66-A03E-6BEA9A754316}" name="Column13146"/>
    <tableColumn id="13147" xr3:uid="{2B241B97-C3E5-4E47-9A7E-96CD0782B78A}" name="Column13147"/>
    <tableColumn id="13148" xr3:uid="{E504966B-204D-4D77-95D1-879BFF6DCDF9}" name="Column13148"/>
    <tableColumn id="13149" xr3:uid="{DB6DECF6-DE74-4447-ADE6-206A60B98B72}" name="Column13149"/>
    <tableColumn id="13150" xr3:uid="{E9E75A18-349F-4AC9-8D84-AC2CCF3488C3}" name="Column13150"/>
    <tableColumn id="13151" xr3:uid="{14703666-617B-4562-B987-40E704E29C12}" name="Column13151"/>
    <tableColumn id="13152" xr3:uid="{C304A4B6-0EA4-456E-82F8-4CA04D589D28}" name="Column13152"/>
    <tableColumn id="13153" xr3:uid="{4CF4B09C-C8D9-436E-AABB-2510B19F4EE8}" name="Column13153"/>
    <tableColumn id="13154" xr3:uid="{77267C1C-C71A-4F6F-BB50-A9358A4F8676}" name="Column13154"/>
    <tableColumn id="13155" xr3:uid="{6426D7F3-9F9C-46E3-B796-19C6F89A64CB}" name="Column13155"/>
    <tableColumn id="13156" xr3:uid="{968E267E-FDBF-401B-8228-F8CEB60282B2}" name="Column13156"/>
    <tableColumn id="13157" xr3:uid="{279AB380-9F56-4CB7-93C9-C68B85ABD3DA}" name="Column13157"/>
    <tableColumn id="13158" xr3:uid="{65C2B211-8B4E-4BA5-81C4-314DD0F10261}" name="Column13158"/>
    <tableColumn id="13159" xr3:uid="{1A639797-1749-4BA2-AD32-572DF9E3060D}" name="Column13159"/>
    <tableColumn id="13160" xr3:uid="{46E8BC77-62E1-41CF-B8F5-2762E8C8973E}" name="Column13160"/>
    <tableColumn id="13161" xr3:uid="{89AEE60A-B771-4BBD-8AA9-DBC056BCC1B9}" name="Column13161"/>
    <tableColumn id="13162" xr3:uid="{20155A6D-D1B3-40F0-ABD4-C1864BFA1D54}" name="Column13162"/>
    <tableColumn id="13163" xr3:uid="{765B28DD-7981-4150-B23A-72A472F4C486}" name="Column13163"/>
    <tableColumn id="13164" xr3:uid="{26C334BB-B1E4-4AEB-8D9B-A35355BC0C0D}" name="Column13164"/>
    <tableColumn id="13165" xr3:uid="{94AE58AA-3B93-4112-8055-5AA9F876545F}" name="Column13165"/>
    <tableColumn id="13166" xr3:uid="{160E0FC5-E494-4CCD-B522-C41E09FEFF6B}" name="Column13166"/>
    <tableColumn id="13167" xr3:uid="{02872730-9A5B-494B-B13F-FACC05637D14}" name="Column13167"/>
    <tableColumn id="13168" xr3:uid="{753B930B-2C75-46B3-B51C-8E592127E918}" name="Column13168"/>
    <tableColumn id="13169" xr3:uid="{55D6A025-880E-48CB-B09C-6E1428C042C4}" name="Column13169"/>
    <tableColumn id="13170" xr3:uid="{6C93C17F-FDA1-4EC0-91C8-ACB33A069BD5}" name="Column13170"/>
    <tableColumn id="13171" xr3:uid="{F355BB19-6E52-4653-9CE8-7D974AAC27B3}" name="Column13171"/>
    <tableColumn id="13172" xr3:uid="{B250EA2F-22B9-484C-A13E-F612A26529B4}" name="Column13172"/>
    <tableColumn id="13173" xr3:uid="{72DD3A90-D77B-4AE7-9FBE-4258FEE4EC1B}" name="Column13173"/>
    <tableColumn id="13174" xr3:uid="{4FE2A07F-7C66-4810-8E88-06758BBCF33D}" name="Column13174"/>
    <tableColumn id="13175" xr3:uid="{710B8FE1-C9AA-4E6F-AFD8-96D99891C08E}" name="Column13175"/>
    <tableColumn id="13176" xr3:uid="{A948BD31-502C-4753-9965-93485BD097F5}" name="Column13176"/>
    <tableColumn id="13177" xr3:uid="{976F19D6-8581-485C-B3A0-3A4DAC838475}" name="Column13177"/>
    <tableColumn id="13178" xr3:uid="{9A4368A3-4D5D-4821-9181-44A58E3C4D5F}" name="Column13178"/>
    <tableColumn id="13179" xr3:uid="{6F3032BD-BA85-4E6F-A8A2-999F5DA8E442}" name="Column13179"/>
    <tableColumn id="13180" xr3:uid="{137E597B-49DC-411E-807E-D09B118B0E39}" name="Column13180"/>
    <tableColumn id="13181" xr3:uid="{5D6E53BB-4386-4DB4-803C-BC64F94906E9}" name="Column13181"/>
    <tableColumn id="13182" xr3:uid="{D217FC7C-E4B0-4F24-8762-9A6F1572A52F}" name="Column13182"/>
    <tableColumn id="13183" xr3:uid="{1134BC86-FDCD-4F57-893E-52A644D41D4A}" name="Column13183"/>
    <tableColumn id="13184" xr3:uid="{39B6306B-24B1-4076-B935-0C5476DBA4EA}" name="Column13184"/>
    <tableColumn id="13185" xr3:uid="{196E7506-D70F-45D1-AC5A-E8A7CE6AB7E8}" name="Column13185"/>
    <tableColumn id="13186" xr3:uid="{2C7CEF72-5C57-4561-8DC6-09CA37402D5A}" name="Column13186"/>
    <tableColumn id="13187" xr3:uid="{6C87AAE3-8F4F-4326-BD89-F2B319F3512C}" name="Column13187"/>
    <tableColumn id="13188" xr3:uid="{887BE202-CED4-47F7-A64C-5ED257DB68CE}" name="Column13188"/>
    <tableColumn id="13189" xr3:uid="{5EEDF6FC-025A-48BE-927B-8ADE0DE0DB1B}" name="Column13189"/>
    <tableColumn id="13190" xr3:uid="{827A38E7-A5D5-4C2C-A65D-2F0878235932}" name="Column13190"/>
    <tableColumn id="13191" xr3:uid="{130A3658-8926-4008-A271-A7B3405F484A}" name="Column13191"/>
    <tableColumn id="13192" xr3:uid="{5FC2574E-9C4D-4F5F-829A-6576F936BA9E}" name="Column13192"/>
    <tableColumn id="13193" xr3:uid="{2BA16D84-298C-496C-B6E1-0F7A7640B2F6}" name="Column13193"/>
    <tableColumn id="13194" xr3:uid="{0A7F3ABF-F507-4A08-9F18-E669C49BFD80}" name="Column13194"/>
    <tableColumn id="13195" xr3:uid="{967F8673-236E-45F1-95C1-B4BAF3D8AD5E}" name="Column13195"/>
    <tableColumn id="13196" xr3:uid="{CBD0FF14-E8AE-41E1-A6E1-D9AFC181B6EC}" name="Column13196"/>
    <tableColumn id="13197" xr3:uid="{931B6C58-FD35-43D9-B4D5-CC0FC15776D0}" name="Column13197"/>
    <tableColumn id="13198" xr3:uid="{C1EB42D1-7577-4D00-82C2-6234F6B2EF0A}" name="Column13198"/>
    <tableColumn id="13199" xr3:uid="{CBF4C413-B44A-4FED-B738-F3A118938E12}" name="Column13199"/>
    <tableColumn id="13200" xr3:uid="{AE5BE716-45AD-41B9-AD65-030EF7BA3C9C}" name="Column13200"/>
    <tableColumn id="13201" xr3:uid="{110609B9-1085-4E8A-9E3B-129776BE0D48}" name="Column13201"/>
    <tableColumn id="13202" xr3:uid="{B1F8CFF5-D1E3-4B64-89E6-03F0C10FD8C6}" name="Column13202"/>
    <tableColumn id="13203" xr3:uid="{C5FAA92F-F41C-45F0-A681-72C921E23792}" name="Column13203"/>
    <tableColumn id="13204" xr3:uid="{1430D1C8-C4BE-4B07-95D4-D4CB9D318593}" name="Column13204"/>
    <tableColumn id="13205" xr3:uid="{83218F43-2F48-40B2-B242-A4805EA055D4}" name="Column13205"/>
    <tableColumn id="13206" xr3:uid="{25546F35-BE37-47D3-B705-706B5BB5B8E9}" name="Column13206"/>
    <tableColumn id="13207" xr3:uid="{CB012C00-5946-4E27-8E6A-8DCF2E18C156}" name="Column13207"/>
    <tableColumn id="13208" xr3:uid="{5BBFCFD0-47A9-428E-8E19-D812D072327D}" name="Column13208"/>
    <tableColumn id="13209" xr3:uid="{A956D1EE-79BD-4B62-B866-421FC5005F92}" name="Column13209"/>
    <tableColumn id="13210" xr3:uid="{E11C53C0-9B9F-42B9-848E-D617F16AD24F}" name="Column13210"/>
    <tableColumn id="13211" xr3:uid="{725DA3D1-013F-4D7E-BE2C-030CA0F80F2A}" name="Column13211"/>
    <tableColumn id="13212" xr3:uid="{99C64D6F-86AA-4F0F-8E98-9B71755B0E62}" name="Column13212"/>
    <tableColumn id="13213" xr3:uid="{39172625-9FCC-4075-A7E6-40EF5FEAD0C5}" name="Column13213"/>
    <tableColumn id="13214" xr3:uid="{834875FF-654F-4D07-8DAC-6B419BBF57A1}" name="Column13214"/>
    <tableColumn id="13215" xr3:uid="{AB9FD2D3-5B36-40C7-993C-1062D2938344}" name="Column13215"/>
    <tableColumn id="13216" xr3:uid="{2C4A7B59-928B-4F74-878E-E9963956D039}" name="Column13216"/>
    <tableColumn id="13217" xr3:uid="{AAF433AF-DAAF-4C23-9CF4-E13EC811185A}" name="Column13217"/>
    <tableColumn id="13218" xr3:uid="{B11A4714-FFF2-4793-AFFF-B6AC9A2EF756}" name="Column13218"/>
    <tableColumn id="13219" xr3:uid="{4295EB2D-4ED5-43BF-8A16-21529A39FA1B}" name="Column13219"/>
    <tableColumn id="13220" xr3:uid="{F69C1633-8C90-4045-9B42-64964122A8F4}" name="Column13220"/>
    <tableColumn id="13221" xr3:uid="{6697C0EA-B55C-403F-AD1C-CCEC1099EA81}" name="Column13221"/>
    <tableColumn id="13222" xr3:uid="{0FA531B1-6466-4EEE-8833-3457CE53BAB5}" name="Column13222"/>
    <tableColumn id="13223" xr3:uid="{9D96FD42-AFA8-49E1-929E-52EC556EE224}" name="Column13223"/>
    <tableColumn id="13224" xr3:uid="{AC400655-1178-4CFC-BDE9-FF3FEE8E78F5}" name="Column13224"/>
    <tableColumn id="13225" xr3:uid="{60A2A815-507D-4E2B-B184-48B0467EF32E}" name="Column13225"/>
    <tableColumn id="13226" xr3:uid="{0EBD6698-4D95-4220-BB6F-7055D48F248A}" name="Column13226"/>
    <tableColumn id="13227" xr3:uid="{4FF733B1-A756-4CBD-9E58-15E817390961}" name="Column13227"/>
    <tableColumn id="13228" xr3:uid="{8F7BE9B5-C117-44A6-9420-6C5EB25AD146}" name="Column13228"/>
    <tableColumn id="13229" xr3:uid="{2592339A-6932-426C-9B83-6B1AB0096098}" name="Column13229"/>
    <tableColumn id="13230" xr3:uid="{311C6E51-21FC-4C8F-8E8A-8941512B681E}" name="Column13230"/>
    <tableColumn id="13231" xr3:uid="{F52381C8-78B8-4067-A4D5-215ABB64A7C1}" name="Column13231"/>
    <tableColumn id="13232" xr3:uid="{524041C3-BAE5-4DF4-BBE2-CB56AED78F30}" name="Column13232"/>
    <tableColumn id="13233" xr3:uid="{AACC4C13-4473-4418-9778-D3DDC77AEC43}" name="Column13233"/>
    <tableColumn id="13234" xr3:uid="{DE88A3C5-F73B-41A7-B45A-A104512A6238}" name="Column13234"/>
    <tableColumn id="13235" xr3:uid="{8AFC978D-2532-4ABF-9CBE-827B0B8BA5DB}" name="Column13235"/>
    <tableColumn id="13236" xr3:uid="{5066F59F-BDA0-47F0-8ACE-812EBDF5C1BC}" name="Column13236"/>
    <tableColumn id="13237" xr3:uid="{C7E9CB38-8AE3-4BBC-B639-44582BF17D1B}" name="Column13237"/>
    <tableColumn id="13238" xr3:uid="{3004E09C-AC52-4ED9-B829-0ADE1928EFD1}" name="Column13238"/>
    <tableColumn id="13239" xr3:uid="{95782CB9-9E25-490A-BBE5-E17AF4B48857}" name="Column13239"/>
    <tableColumn id="13240" xr3:uid="{C2DF948E-C235-4C52-B405-B145C4B3ED2C}" name="Column13240"/>
    <tableColumn id="13241" xr3:uid="{007C76C8-292A-4AEC-BFC8-46A0FA0CFA1F}" name="Column13241"/>
    <tableColumn id="13242" xr3:uid="{CAC2B091-1A47-4A7F-B8E8-399B4589FC2C}" name="Column13242"/>
    <tableColumn id="13243" xr3:uid="{E021C529-003D-4C65-B1E3-9213AB53B313}" name="Column13243"/>
    <tableColumn id="13244" xr3:uid="{53880C9B-9A3E-4D84-ACC5-BFF82B477309}" name="Column13244"/>
    <tableColumn id="13245" xr3:uid="{9981D879-38FD-4EAD-BCAA-EAE1D75DDDD8}" name="Column13245"/>
    <tableColumn id="13246" xr3:uid="{F7DC7D67-65AF-48FF-9F24-BFA3F54BD873}" name="Column13246"/>
    <tableColumn id="13247" xr3:uid="{00835372-3749-4ED4-9D81-1BA19B26E839}" name="Column13247"/>
    <tableColumn id="13248" xr3:uid="{C94E5EA5-5833-4EB7-8A4B-0C900FF7DFAA}" name="Column13248"/>
    <tableColumn id="13249" xr3:uid="{CE7FFBA3-351B-450C-8B13-0F64F8DAB909}" name="Column13249"/>
    <tableColumn id="13250" xr3:uid="{2C952F45-22BF-4D86-A1C6-51BF511A4987}" name="Column13250"/>
    <tableColumn id="13251" xr3:uid="{88444681-0378-4E97-AB67-8E87741C866B}" name="Column13251"/>
    <tableColumn id="13252" xr3:uid="{28A0FA55-0487-47AC-BAF1-E7DF1030380A}" name="Column13252"/>
    <tableColumn id="13253" xr3:uid="{FE726619-9BCE-4251-ADA8-D38A33583542}" name="Column13253"/>
    <tableColumn id="13254" xr3:uid="{CD95EE5A-1076-4AF2-8E90-122331837088}" name="Column13254"/>
    <tableColumn id="13255" xr3:uid="{CE380417-EFCA-4C94-8C70-227FD869AA29}" name="Column13255"/>
    <tableColumn id="13256" xr3:uid="{9ECF9669-E70D-42FD-B097-F7226B5B60DA}" name="Column13256"/>
    <tableColumn id="13257" xr3:uid="{032882FB-3CD9-4CCB-B522-8D7BEA2FC33F}" name="Column13257"/>
    <tableColumn id="13258" xr3:uid="{EDF53268-9038-4E3D-BFBF-B110C83A190D}" name="Column13258"/>
    <tableColumn id="13259" xr3:uid="{A6B88271-71AB-4AA6-83AF-19221E487DF0}" name="Column13259"/>
    <tableColumn id="13260" xr3:uid="{0B654473-7743-4A0D-8A03-E3BA11D62864}" name="Column13260"/>
    <tableColumn id="13261" xr3:uid="{4E1714FB-2131-49B3-BA0C-4A5F06A700C8}" name="Column13261"/>
    <tableColumn id="13262" xr3:uid="{68C218E2-0CEA-4569-9292-53B64DB5CF73}" name="Column13262"/>
    <tableColumn id="13263" xr3:uid="{6104D95F-710B-458F-85F6-0168595C70B7}" name="Column13263"/>
    <tableColumn id="13264" xr3:uid="{3CFF0C63-6369-4161-B086-493D60BFEC58}" name="Column13264"/>
    <tableColumn id="13265" xr3:uid="{1C2D4552-A3CD-43DB-B551-ACF27A7CA3F6}" name="Column13265"/>
    <tableColumn id="13266" xr3:uid="{2270CD00-AC5E-4439-9D50-5082DB8B1622}" name="Column13266"/>
    <tableColumn id="13267" xr3:uid="{2B3B578A-F303-4843-9140-91C75B072A23}" name="Column13267"/>
    <tableColumn id="13268" xr3:uid="{5F584E57-E85E-4C86-BA4F-DA6BA6B3079E}" name="Column13268"/>
    <tableColumn id="13269" xr3:uid="{F10BCB93-F62C-4CE5-8381-C001E8A88F95}" name="Column13269"/>
    <tableColumn id="13270" xr3:uid="{28C58A4E-3C77-485F-8E31-E13072CEE39A}" name="Column13270"/>
    <tableColumn id="13271" xr3:uid="{8201CEE4-AA2B-41E8-8975-78018E5A5FCE}" name="Column13271"/>
    <tableColumn id="13272" xr3:uid="{731C9237-4665-4C37-89EC-F95501CA79F2}" name="Column13272"/>
    <tableColumn id="13273" xr3:uid="{38749EDB-9084-4D0F-B2D8-463120F7F228}" name="Column13273"/>
    <tableColumn id="13274" xr3:uid="{10985862-577A-41A2-9C77-A82AF02627B9}" name="Column13274"/>
    <tableColumn id="13275" xr3:uid="{7CB54614-B121-4FB2-A9B3-DD08E40634A6}" name="Column13275"/>
    <tableColumn id="13276" xr3:uid="{6B6A1705-8655-4E38-8B85-1BE0D67D8C11}" name="Column13276"/>
    <tableColumn id="13277" xr3:uid="{C1ECE5C9-5808-43BF-9241-F3EE2F086D8C}" name="Column13277"/>
    <tableColumn id="13278" xr3:uid="{88DC8A12-11A4-40AD-A694-BFEF74B081C0}" name="Column13278"/>
    <tableColumn id="13279" xr3:uid="{2FF22111-5979-49CE-B653-D6B58C730ED7}" name="Column13279"/>
    <tableColumn id="13280" xr3:uid="{4580E1E7-1DFE-4D45-8732-AFAEE3763AB9}" name="Column13280"/>
    <tableColumn id="13281" xr3:uid="{C8723656-ED0A-4B13-BA15-905195244D0B}" name="Column13281"/>
    <tableColumn id="13282" xr3:uid="{2B3018F8-3625-42CB-90E5-5B8983ED90B4}" name="Column13282"/>
    <tableColumn id="13283" xr3:uid="{C21E11B2-2436-486A-9F29-FBDC6AA3BAF4}" name="Column13283"/>
    <tableColumn id="13284" xr3:uid="{CC07437B-8F08-47E7-868C-16C577DC4D87}" name="Column13284"/>
    <tableColumn id="13285" xr3:uid="{FB50AF9E-86C5-4AD1-B52F-27E9377339FE}" name="Column13285"/>
    <tableColumn id="13286" xr3:uid="{C1B77C0E-7993-45F2-89AA-C35B61C50769}" name="Column13286"/>
    <tableColumn id="13287" xr3:uid="{9B23D2C9-8CC8-4A87-8D39-0E6B1A09C77F}" name="Column13287"/>
    <tableColumn id="13288" xr3:uid="{1D47D293-812A-47B7-BCD9-A92CD00C0E37}" name="Column13288"/>
    <tableColumn id="13289" xr3:uid="{C9A67EA4-5F8E-466A-B7FC-5E387443E240}" name="Column13289"/>
    <tableColumn id="13290" xr3:uid="{3D383775-D3F5-44A6-BE2D-2080FC07A21E}" name="Column13290"/>
    <tableColumn id="13291" xr3:uid="{B7F086A7-020B-4038-B481-AD940C08C999}" name="Column13291"/>
    <tableColumn id="13292" xr3:uid="{6A7FB065-D18E-4506-A7E2-937C3E0967E5}" name="Column13292"/>
    <tableColumn id="13293" xr3:uid="{E0AC8DA8-5B54-4AEE-9AAD-B18F9C2320E8}" name="Column13293"/>
    <tableColumn id="13294" xr3:uid="{6744C85B-D77C-4FA5-BF33-7E77D0A19129}" name="Column13294"/>
    <tableColumn id="13295" xr3:uid="{B9536F09-80BF-454B-B885-CDCC6D00DFFC}" name="Column13295"/>
    <tableColumn id="13296" xr3:uid="{2DFA95D5-E700-46D0-B40C-6DE646C56E6D}" name="Column13296"/>
    <tableColumn id="13297" xr3:uid="{A8DAB2FE-FEEE-4155-B1E3-5FD859A4399B}" name="Column13297"/>
    <tableColumn id="13298" xr3:uid="{041F22F6-75EB-49A2-950C-EEB0C14D3391}" name="Column13298"/>
    <tableColumn id="13299" xr3:uid="{0BF90B2C-7E6C-4DFE-8A45-6C4D897E259E}" name="Column13299"/>
    <tableColumn id="13300" xr3:uid="{70489B0A-7293-454B-8F99-73F9F037EA99}" name="Column13300"/>
    <tableColumn id="13301" xr3:uid="{74FFBA91-A702-4871-93BF-6144F0409E73}" name="Column13301"/>
    <tableColumn id="13302" xr3:uid="{53F750C7-B49E-4FFA-B5F1-5CFDC34AEC0B}" name="Column13302"/>
    <tableColumn id="13303" xr3:uid="{59AF69C4-C88C-4ECE-AD2D-11D81A9C0CD3}" name="Column13303"/>
    <tableColumn id="13304" xr3:uid="{72093EFF-9E6A-458C-B722-1C3DCBD07938}" name="Column13304"/>
    <tableColumn id="13305" xr3:uid="{C72AA706-32E8-45F4-A992-770DE842E942}" name="Column13305"/>
    <tableColumn id="13306" xr3:uid="{AA23DC29-732E-4FB1-A877-761385B694FA}" name="Column13306"/>
    <tableColumn id="13307" xr3:uid="{99D1CCA0-38CA-4B06-90DF-27FFE593A459}" name="Column13307"/>
    <tableColumn id="13308" xr3:uid="{C0FFF163-6281-4061-BD4A-101219AAA4ED}" name="Column13308"/>
    <tableColumn id="13309" xr3:uid="{7037391A-7F7E-4A93-A766-F4168BB3E379}" name="Column13309"/>
    <tableColumn id="13310" xr3:uid="{1EAB087F-DE21-411B-8B34-22025AC37B8B}" name="Column13310"/>
    <tableColumn id="13311" xr3:uid="{95CDB51B-4C3C-4710-A914-3BC448846C68}" name="Column13311"/>
    <tableColumn id="13312" xr3:uid="{EB60AF9C-5941-4EC1-AFBB-3B871A54A041}" name="Column13312"/>
    <tableColumn id="13313" xr3:uid="{230D6C5E-F702-44FE-B225-297D99D7560C}" name="Column13313"/>
    <tableColumn id="13314" xr3:uid="{ECAF8495-B05F-4808-BECB-DA369BCC5A2E}" name="Column13314"/>
    <tableColumn id="13315" xr3:uid="{6520CE53-EAD3-4816-900B-5FA456CBDAF6}" name="Column13315"/>
    <tableColumn id="13316" xr3:uid="{0ACBEF1F-7D04-4786-A825-CBB181066482}" name="Column13316"/>
    <tableColumn id="13317" xr3:uid="{E37537B4-6555-4D49-80AD-45200D14B07F}" name="Column13317"/>
    <tableColumn id="13318" xr3:uid="{A545ADDA-4E4F-452F-8FF2-8690357B10EF}" name="Column13318"/>
    <tableColumn id="13319" xr3:uid="{DC9AA418-B3BB-4508-8E6D-12EC0C43FF2F}" name="Column13319"/>
    <tableColumn id="13320" xr3:uid="{04E904CC-712D-4523-AD39-65BB2712D8F1}" name="Column13320"/>
    <tableColumn id="13321" xr3:uid="{BF199F53-EA5A-41F7-8309-2B2D9EB66EBC}" name="Column13321"/>
    <tableColumn id="13322" xr3:uid="{487515B1-B4CD-4586-91B2-D26876874C89}" name="Column13322"/>
    <tableColumn id="13323" xr3:uid="{731B5D5B-CB9F-436F-AB6E-CCF173566B74}" name="Column13323"/>
    <tableColumn id="13324" xr3:uid="{B29F9856-25F6-4B1C-AB67-9C15143AA64D}" name="Column13324"/>
    <tableColumn id="13325" xr3:uid="{AF5E1CB0-E20E-4AA9-A34E-4214D184FAED}" name="Column13325"/>
    <tableColumn id="13326" xr3:uid="{89544F53-D25F-4FF0-9D56-D986D1D7C870}" name="Column13326"/>
    <tableColumn id="13327" xr3:uid="{7BBCFF15-01E8-4BD6-BBEC-B0BB797CCD3A}" name="Column13327"/>
    <tableColumn id="13328" xr3:uid="{251DB92B-386B-4B5B-BA50-FC7198DD62C1}" name="Column13328"/>
    <tableColumn id="13329" xr3:uid="{F51C917C-1395-4BCE-A656-CB6093C0F761}" name="Column13329"/>
    <tableColumn id="13330" xr3:uid="{050ABBD4-EA90-4A97-8DDF-98EA1DEC6B05}" name="Column13330"/>
    <tableColumn id="13331" xr3:uid="{555F2C95-F07F-4A0C-8AD2-B28AB5FF390E}" name="Column13331"/>
    <tableColumn id="13332" xr3:uid="{F5A02FF8-4193-408A-BDB1-02E1383151B5}" name="Column13332"/>
    <tableColumn id="13333" xr3:uid="{5A1F5D6D-B16F-4C51-83B4-389031EA4E79}" name="Column13333"/>
    <tableColumn id="13334" xr3:uid="{CCED9E33-6A8C-4E79-BEC0-41D5F9D10198}" name="Column13334"/>
    <tableColumn id="13335" xr3:uid="{849DFCEE-246B-47CC-A82B-9E9024399252}" name="Column13335"/>
    <tableColumn id="13336" xr3:uid="{75061F8F-1A82-4B5D-A088-F65A1582B93B}" name="Column13336"/>
    <tableColumn id="13337" xr3:uid="{6FAF8BA1-7A40-4D47-85C5-D698D6FCB5D5}" name="Column13337"/>
    <tableColumn id="13338" xr3:uid="{CB833406-BB6E-4D20-8943-62FEC72DF70D}" name="Column13338"/>
    <tableColumn id="13339" xr3:uid="{D86E0B2A-BFF8-4A76-829F-C53EFCC49DC2}" name="Column13339"/>
    <tableColumn id="13340" xr3:uid="{61967997-1F77-495A-B295-B6B548556C2F}" name="Column13340"/>
    <tableColumn id="13341" xr3:uid="{3E6A16CD-CBC6-4532-8FBC-3D72EAFDA53E}" name="Column13341"/>
    <tableColumn id="13342" xr3:uid="{693D33E9-7729-40B7-B124-EE7EB1EA8083}" name="Column13342"/>
    <tableColumn id="13343" xr3:uid="{957820D5-9912-4345-9E16-BFB0D192F3D9}" name="Column13343"/>
    <tableColumn id="13344" xr3:uid="{2A98FF3B-C455-4129-95BB-ABCFC55E91A8}" name="Column13344"/>
    <tableColumn id="13345" xr3:uid="{F92E65F6-5DB2-4F49-865E-BE064ABF3176}" name="Column13345"/>
    <tableColumn id="13346" xr3:uid="{0D241FA0-5B07-4DEF-BBF3-F892B0E2FD13}" name="Column13346"/>
    <tableColumn id="13347" xr3:uid="{6205DDBF-F371-40E6-B2FE-520B81BDB844}" name="Column13347"/>
    <tableColumn id="13348" xr3:uid="{7D9CAA39-DB3B-4A6F-8520-D55C170D04CA}" name="Column13348"/>
    <tableColumn id="13349" xr3:uid="{7675EF71-EB1B-4B2F-996B-8975BBC08504}" name="Column13349"/>
    <tableColumn id="13350" xr3:uid="{73C7C925-7145-403F-A35D-9F13330BC3DB}" name="Column13350"/>
    <tableColumn id="13351" xr3:uid="{618117E3-9938-4106-B9A1-2F749266C615}" name="Column13351"/>
    <tableColumn id="13352" xr3:uid="{60015939-2056-4655-8FA8-5D489321EFBA}" name="Column13352"/>
    <tableColumn id="13353" xr3:uid="{DAD4FB62-9A41-4F03-93D2-69C0F0E904CE}" name="Column13353"/>
    <tableColumn id="13354" xr3:uid="{76411472-9B5E-4D16-A69C-DB93B7979B4A}" name="Column13354"/>
    <tableColumn id="13355" xr3:uid="{970E577F-6F48-4EF0-8163-5CD948613AD3}" name="Column13355"/>
    <tableColumn id="13356" xr3:uid="{2C535220-3F26-42AB-8B00-39A2F2CF0C4D}" name="Column13356"/>
    <tableColumn id="13357" xr3:uid="{59F07681-69D5-4F26-BC6D-15B40E327D06}" name="Column13357"/>
    <tableColumn id="13358" xr3:uid="{726C935E-6BEA-4BE3-9F8D-317B7F2E328F}" name="Column13358"/>
    <tableColumn id="13359" xr3:uid="{B567DC08-F384-49B3-A74E-6ABA39728707}" name="Column13359"/>
    <tableColumn id="13360" xr3:uid="{AC6F8F40-067B-4FBD-905A-16F4D00688ED}" name="Column13360"/>
    <tableColumn id="13361" xr3:uid="{DC905456-94AD-4685-BF1F-AAA2AA9C947B}" name="Column13361"/>
    <tableColumn id="13362" xr3:uid="{CC31B683-BF2C-4800-9E02-07D11D78B23C}" name="Column13362"/>
    <tableColumn id="13363" xr3:uid="{40E8B331-8FC8-4B02-A2EC-B8AFFF7AAD24}" name="Column13363"/>
    <tableColumn id="13364" xr3:uid="{55138A01-2CA3-40D5-98AD-68240868D5B2}" name="Column13364"/>
    <tableColumn id="13365" xr3:uid="{125054EC-3992-41D9-A1FB-1A805BAA9364}" name="Column13365"/>
    <tableColumn id="13366" xr3:uid="{957F004A-42EE-447A-BF02-E8223E0F2422}" name="Column13366"/>
    <tableColumn id="13367" xr3:uid="{48403320-585B-449D-AAE0-A795A2B5575D}" name="Column13367"/>
    <tableColumn id="13368" xr3:uid="{91F5EE4E-9F14-44E6-A9A6-844040257F96}" name="Column13368"/>
    <tableColumn id="13369" xr3:uid="{2EF64B40-5FF2-43F2-9571-C96436540B6C}" name="Column13369"/>
    <tableColumn id="13370" xr3:uid="{92439308-DBF9-4F8D-9A55-63BE412F112E}" name="Column13370"/>
    <tableColumn id="13371" xr3:uid="{E0A4F50B-20DE-49BA-86AB-CB191072CD36}" name="Column13371"/>
    <tableColumn id="13372" xr3:uid="{CA4ED2DE-6D94-461D-AB79-C7130475D7CC}" name="Column13372"/>
    <tableColumn id="13373" xr3:uid="{D1479C81-B72A-4245-AB93-3F7391D1EAB1}" name="Column13373"/>
    <tableColumn id="13374" xr3:uid="{A7AF4099-FE42-4DFD-9289-02610FCB3E5B}" name="Column13374"/>
    <tableColumn id="13375" xr3:uid="{A609F982-5C75-461F-92A0-3E723AD8C036}" name="Column13375"/>
    <tableColumn id="13376" xr3:uid="{B0B651DE-AC43-4201-A797-FB0E733B9A12}" name="Column13376"/>
    <tableColumn id="13377" xr3:uid="{0F600B12-41EB-40B4-90ED-B2D4A2E8831A}" name="Column13377"/>
    <tableColumn id="13378" xr3:uid="{5BE3C798-EC12-4341-8F7E-777994096C91}" name="Column13378"/>
    <tableColumn id="13379" xr3:uid="{B4AA869E-E698-4963-A69D-59E90807FE72}" name="Column13379"/>
    <tableColumn id="13380" xr3:uid="{74565401-81C1-461D-8C2D-08170D541267}" name="Column13380"/>
    <tableColumn id="13381" xr3:uid="{4121880D-CD64-49F7-B150-F6DEF4E920F8}" name="Column13381"/>
    <tableColumn id="13382" xr3:uid="{7AC01EE4-7CA6-4BBF-8EEA-EDB426FDDAD7}" name="Column13382"/>
    <tableColumn id="13383" xr3:uid="{B563FD1C-AC85-4029-89B0-D59683209EFE}" name="Column13383"/>
    <tableColumn id="13384" xr3:uid="{A9AC5C6E-843C-4480-802F-C39749494903}" name="Column13384"/>
    <tableColumn id="13385" xr3:uid="{AB15BF86-2ECC-4266-8633-CE88ACF8226A}" name="Column13385"/>
    <tableColumn id="13386" xr3:uid="{AD80A398-C67C-4B3C-BE1F-1516E3AE62C0}" name="Column13386"/>
    <tableColumn id="13387" xr3:uid="{64B5AFA1-664A-4147-ABDF-1559D7CD3887}" name="Column13387"/>
    <tableColumn id="13388" xr3:uid="{28CD224D-6A37-48A6-A8BE-FA120B80A6E2}" name="Column13388"/>
    <tableColumn id="13389" xr3:uid="{A1A3C36A-1CD3-4DE2-9BA4-FE16141942F3}" name="Column13389"/>
    <tableColumn id="13390" xr3:uid="{FD6C7E27-E4DC-432B-98B4-26E737B8A98D}" name="Column13390"/>
    <tableColumn id="13391" xr3:uid="{172F0909-F3D4-4EA6-B2CE-F1145529254E}" name="Column13391"/>
    <tableColumn id="13392" xr3:uid="{6918D058-BADF-49C7-AE1E-4FCE5C35A998}" name="Column13392"/>
    <tableColumn id="13393" xr3:uid="{7B3BCFEF-264A-47B3-B430-B89DFB8AF3D9}" name="Column13393"/>
    <tableColumn id="13394" xr3:uid="{734DD4F7-A856-4B67-8EDE-6089179E64C9}" name="Column13394"/>
    <tableColumn id="13395" xr3:uid="{4AF3FD0B-16A8-4801-B8C0-38ABC1AB4859}" name="Column13395"/>
    <tableColumn id="13396" xr3:uid="{C9961BB4-F2A4-4C87-94D8-2DA567167CC2}" name="Column13396"/>
    <tableColumn id="13397" xr3:uid="{75984CA8-C7CA-4274-B54B-03D99E7E3BBD}" name="Column13397"/>
    <tableColumn id="13398" xr3:uid="{ED48A6A1-5E66-4B07-A7FB-CC14CACFC457}" name="Column13398"/>
    <tableColumn id="13399" xr3:uid="{203BEC6A-33F2-4BD5-B103-5C1CC0077C8A}" name="Column13399"/>
    <tableColumn id="13400" xr3:uid="{C5FD762B-71B8-470B-B5F6-9910DB6B894C}" name="Column13400"/>
    <tableColumn id="13401" xr3:uid="{FBF42A0D-166F-4DD2-8E0C-5BBD04440E8C}" name="Column13401"/>
    <tableColumn id="13402" xr3:uid="{073EB2C7-E651-40C8-B56E-8108B4379985}" name="Column13402"/>
    <tableColumn id="13403" xr3:uid="{687145B7-CDC6-4691-BEA1-137892512ECC}" name="Column13403"/>
    <tableColumn id="13404" xr3:uid="{97298596-9569-4E00-A7B8-C8CFA9D75894}" name="Column13404"/>
    <tableColumn id="13405" xr3:uid="{E0C06675-C3BE-4BA3-9300-CA9456733B4E}" name="Column13405"/>
    <tableColumn id="13406" xr3:uid="{88BDAA8B-809C-4B11-A0CF-E6E32FEFACE4}" name="Column13406"/>
    <tableColumn id="13407" xr3:uid="{D86868EF-787D-4B05-83ED-8A46D6E93776}" name="Column13407"/>
    <tableColumn id="13408" xr3:uid="{A06AF867-1B3E-414A-948D-35988FB2EFE3}" name="Column13408"/>
    <tableColumn id="13409" xr3:uid="{19EA46EE-470A-4FC5-A2BC-A3023E9C81F1}" name="Column13409"/>
    <tableColumn id="13410" xr3:uid="{802AECD6-2346-4349-BDB2-9D459EF05009}" name="Column13410"/>
    <tableColumn id="13411" xr3:uid="{D4D3F983-4C6C-42AA-9FE2-44969B8F62BB}" name="Column13411"/>
    <tableColumn id="13412" xr3:uid="{4225CF9A-4E49-4F78-B9AB-1C9CC6471B12}" name="Column13412"/>
    <tableColumn id="13413" xr3:uid="{60EF0591-6555-420E-8700-76D7BE4EACF2}" name="Column13413"/>
    <tableColumn id="13414" xr3:uid="{C5965679-B487-41B4-9AAA-F43478536992}" name="Column13414"/>
    <tableColumn id="13415" xr3:uid="{A3EE0BBF-D573-496A-8AE1-D0EA886450B8}" name="Column13415"/>
    <tableColumn id="13416" xr3:uid="{107C175F-6464-44CD-8AC5-1544D4CA8CDD}" name="Column13416"/>
    <tableColumn id="13417" xr3:uid="{74C73106-EDEB-48C4-8C95-7A6A752489FA}" name="Column13417"/>
    <tableColumn id="13418" xr3:uid="{04EACEF2-D117-423B-9A4B-EE4F7DE346D0}" name="Column13418"/>
    <tableColumn id="13419" xr3:uid="{954B887A-F9FB-4249-A3A7-F3626972E269}" name="Column13419"/>
    <tableColumn id="13420" xr3:uid="{F664D0A0-5489-448F-A0D9-7C3E634406EE}" name="Column13420"/>
    <tableColumn id="13421" xr3:uid="{6DBFE83E-C032-4744-A2A7-41B40F331772}" name="Column13421"/>
    <tableColumn id="13422" xr3:uid="{501C1BEC-A157-4D8B-92E2-0F1242E18C21}" name="Column13422"/>
    <tableColumn id="13423" xr3:uid="{D826188C-5E38-4BF7-8B5C-84309CB60154}" name="Column13423"/>
    <tableColumn id="13424" xr3:uid="{AA2B18E9-7AD7-4A77-BEAF-D642D841F15B}" name="Column13424"/>
    <tableColumn id="13425" xr3:uid="{628F4CC5-7220-4341-8BF7-9828F080DD39}" name="Column13425"/>
    <tableColumn id="13426" xr3:uid="{05F3A049-07C8-4BA9-BDBB-51E11D0B9B4A}" name="Column13426"/>
    <tableColumn id="13427" xr3:uid="{3D2828D2-5864-4620-8EA6-C6C15D4DF8CD}" name="Column13427"/>
    <tableColumn id="13428" xr3:uid="{130A10DE-3174-4B47-8E3C-7BB77E66C73F}" name="Column13428"/>
    <tableColumn id="13429" xr3:uid="{B768C282-620A-4055-8E88-086D3818B327}" name="Column13429"/>
    <tableColumn id="13430" xr3:uid="{3B3AB704-C44D-404B-BE2D-C1162B89B915}" name="Column13430"/>
    <tableColumn id="13431" xr3:uid="{FDCA0B7B-925E-4DA8-8450-03D046EA63F1}" name="Column13431"/>
    <tableColumn id="13432" xr3:uid="{60CD0A0D-FBC9-4B80-91A1-619EB02EA627}" name="Column13432"/>
    <tableColumn id="13433" xr3:uid="{F921587F-18D4-453B-89B4-336CECCC17CA}" name="Column13433"/>
    <tableColumn id="13434" xr3:uid="{70191A16-EAF5-4F38-BE8C-B86CC7DD274C}" name="Column13434"/>
    <tableColumn id="13435" xr3:uid="{0C30C06E-06CA-4302-A59C-5B2F8339A3F6}" name="Column13435"/>
    <tableColumn id="13436" xr3:uid="{8FF08F64-7D84-4EA5-8ADD-46C32C7DFA39}" name="Column13436"/>
    <tableColumn id="13437" xr3:uid="{65BAF74D-0582-40BA-B4FA-C7FF7556A431}" name="Column13437"/>
    <tableColumn id="13438" xr3:uid="{E3DD2B84-52FA-406D-885D-5C2430A59401}" name="Column13438"/>
    <tableColumn id="13439" xr3:uid="{D53C9F76-571A-4B87-B5E5-06F178581691}" name="Column13439"/>
    <tableColumn id="13440" xr3:uid="{3F3C0CDB-9B89-4395-A9F8-299C5F7C9231}" name="Column13440"/>
    <tableColumn id="13441" xr3:uid="{66714406-A3D0-4EFB-AA0C-2F43FB58AD17}" name="Column13441"/>
    <tableColumn id="13442" xr3:uid="{75E5ADDC-CCD5-4B18-910B-01D6A6DE08B9}" name="Column13442"/>
    <tableColumn id="13443" xr3:uid="{F6219300-B32A-4238-A688-B42D6C49DF03}" name="Column13443"/>
    <tableColumn id="13444" xr3:uid="{85A427C0-740F-4666-8757-7AA4EE3260F4}" name="Column13444"/>
    <tableColumn id="13445" xr3:uid="{4ADA0B89-E980-4DDF-A795-EA507C0F67E1}" name="Column13445"/>
    <tableColumn id="13446" xr3:uid="{8A9932B5-B33F-4D20-BFEC-ED6B6ED48364}" name="Column13446"/>
    <tableColumn id="13447" xr3:uid="{21526DBC-2D29-426A-8F30-9E0806313BDF}" name="Column13447"/>
    <tableColumn id="13448" xr3:uid="{0B573218-AD88-4F2F-B4EA-B8D9A9670612}" name="Column13448"/>
    <tableColumn id="13449" xr3:uid="{9C133BD7-0F61-42F1-A6FB-711FF24B9828}" name="Column13449"/>
    <tableColumn id="13450" xr3:uid="{D866CFF2-119A-4FE1-8726-75DAC3465C30}" name="Column13450"/>
    <tableColumn id="13451" xr3:uid="{3FD95A0C-CCF4-4D2C-A058-C3CCF3FADAC2}" name="Column13451"/>
    <tableColumn id="13452" xr3:uid="{B7B8E411-E3FA-4D15-A0C7-C311BAF0DC6E}" name="Column13452"/>
    <tableColumn id="13453" xr3:uid="{0415642D-80E1-4885-BA03-60F924B36DE4}" name="Column13453"/>
    <tableColumn id="13454" xr3:uid="{532AEAF7-BBA8-4FB6-8930-5B7AFE405251}" name="Column13454"/>
    <tableColumn id="13455" xr3:uid="{04B59C1B-29B1-4B58-A73A-22FFD9387E75}" name="Column13455"/>
    <tableColumn id="13456" xr3:uid="{A7A95437-DF73-45ED-B76E-11102F4088AC}" name="Column13456"/>
    <tableColumn id="13457" xr3:uid="{2E5B84E8-C954-4813-B595-419C4AF8C0BB}" name="Column13457"/>
    <tableColumn id="13458" xr3:uid="{CADCAAC9-0E53-4E58-BE85-EC5662E55C3F}" name="Column13458"/>
    <tableColumn id="13459" xr3:uid="{006295A6-0924-41CC-9DDB-CA10396EBAF7}" name="Column13459"/>
    <tableColumn id="13460" xr3:uid="{AA7F6943-53F6-48DF-A3A4-DCC316F1B10C}" name="Column13460"/>
    <tableColumn id="13461" xr3:uid="{93901576-0A72-4239-A1CA-00A88D4774CA}" name="Column13461"/>
    <tableColumn id="13462" xr3:uid="{13F6A5F5-3F2E-4A99-B9C7-00896DD7327D}" name="Column13462"/>
    <tableColumn id="13463" xr3:uid="{EE34F33B-41B8-49F3-99C0-20F6B381D994}" name="Column13463"/>
    <tableColumn id="13464" xr3:uid="{27784BA5-4BCD-47EB-89F1-7CF7AB7B33C5}" name="Column13464"/>
    <tableColumn id="13465" xr3:uid="{CFB82980-4047-490E-9BBB-60C8E83D3161}" name="Column13465"/>
    <tableColumn id="13466" xr3:uid="{8F010BDE-D028-4AFC-B951-E2D909D20B1D}" name="Column13466"/>
    <tableColumn id="13467" xr3:uid="{63FC06A9-4166-4765-AA30-CB901433EDC1}" name="Column13467"/>
    <tableColumn id="13468" xr3:uid="{F064A1C7-E05A-4563-BE49-21BAB9037E9E}" name="Column13468"/>
    <tableColumn id="13469" xr3:uid="{440149B5-4669-462E-8B4F-A04E35D3A067}" name="Column13469"/>
    <tableColumn id="13470" xr3:uid="{2D4A5C07-2A75-4516-BE22-61B35D0805AA}" name="Column13470"/>
    <tableColumn id="13471" xr3:uid="{3B91214F-20C1-43F5-BEB5-AFC79B837354}" name="Column13471"/>
    <tableColumn id="13472" xr3:uid="{8C106138-099B-48BB-BF05-EFC5286E55DC}" name="Column13472"/>
    <tableColumn id="13473" xr3:uid="{49AC169C-F2CF-46FE-A583-3263E176FFD8}" name="Column13473"/>
    <tableColumn id="13474" xr3:uid="{95C2BB7C-4A54-414E-9F58-0BA13BBE4AFA}" name="Column13474"/>
    <tableColumn id="13475" xr3:uid="{F2BF4828-2870-4C29-9349-814CB7B479A6}" name="Column13475"/>
    <tableColumn id="13476" xr3:uid="{594FFB66-BD77-49F5-9A4A-CD1C199708D7}" name="Column13476"/>
    <tableColumn id="13477" xr3:uid="{38E53D8B-EFBB-4AF2-86C1-73D926B215CA}" name="Column13477"/>
    <tableColumn id="13478" xr3:uid="{F462BF8D-70EF-4B22-AD3B-538326EDF0CD}" name="Column13478"/>
    <tableColumn id="13479" xr3:uid="{540059EE-0733-4112-8319-34745F40493B}" name="Column13479"/>
    <tableColumn id="13480" xr3:uid="{28ACF992-6703-431F-9AF5-E822E2B6EC13}" name="Column13480"/>
    <tableColumn id="13481" xr3:uid="{62855412-F422-43AD-A38A-FC93C83A9446}" name="Column13481"/>
    <tableColumn id="13482" xr3:uid="{9AC6FFC6-6EFE-4867-923C-7E7392D0EA5D}" name="Column13482"/>
    <tableColumn id="13483" xr3:uid="{2299412F-1B77-420A-9F88-AD5C08FEEB53}" name="Column13483"/>
    <tableColumn id="13484" xr3:uid="{34D82F66-110C-4BBC-887A-F04243C0C97B}" name="Column13484"/>
    <tableColumn id="13485" xr3:uid="{138F981C-2138-41E0-9EDB-A584DB896C36}" name="Column13485"/>
    <tableColumn id="13486" xr3:uid="{79F5F9F5-C4D2-44D1-8755-718CF1E71A31}" name="Column13486"/>
    <tableColumn id="13487" xr3:uid="{094CEAF5-C837-4E30-9E5E-99DA9CF9E072}" name="Column13487"/>
    <tableColumn id="13488" xr3:uid="{B07A21E2-3661-4BB0-985E-DF42CE64932E}" name="Column13488"/>
    <tableColumn id="13489" xr3:uid="{56670A04-2FA2-42B4-9C61-4C0BFC37C74C}" name="Column13489"/>
    <tableColumn id="13490" xr3:uid="{C02FE208-BB02-40C9-863C-612AA8C83352}" name="Column13490"/>
    <tableColumn id="13491" xr3:uid="{E9FA1917-5FF2-4B99-ADAA-9C73682FEECC}" name="Column13491"/>
    <tableColumn id="13492" xr3:uid="{0DEAEC9B-7F2E-443D-A414-036E1A87D2A4}" name="Column13492"/>
    <tableColumn id="13493" xr3:uid="{F10AA086-E41B-437E-9D0A-5A9C7DB72F54}" name="Column13493"/>
    <tableColumn id="13494" xr3:uid="{1AE0B0AD-DD8D-46A8-8033-A931167E15CB}" name="Column13494"/>
    <tableColumn id="13495" xr3:uid="{C1DF1698-DFBF-4927-95EC-FC37931F0A2D}" name="Column13495"/>
    <tableColumn id="13496" xr3:uid="{55119294-63CA-4313-9DD5-967B2AB9FE94}" name="Column13496"/>
    <tableColumn id="13497" xr3:uid="{774D7D3B-3CFC-4704-9E81-E145574A4EFB}" name="Column13497"/>
    <tableColumn id="13498" xr3:uid="{55F0DC2C-C324-4735-9EAD-2351607F8AB8}" name="Column13498"/>
    <tableColumn id="13499" xr3:uid="{EBEDFE0D-5E13-479D-9648-E56E2D79614E}" name="Column13499"/>
    <tableColumn id="13500" xr3:uid="{CF57F652-1665-4009-B237-1156676F3087}" name="Column13500"/>
    <tableColumn id="13501" xr3:uid="{E1B6C901-47D7-459A-8C94-E981505A0102}" name="Column13501"/>
    <tableColumn id="13502" xr3:uid="{73D3AC72-E7BC-4107-8F23-2FB92745AC86}" name="Column13502"/>
    <tableColumn id="13503" xr3:uid="{4C2E4DB0-1C34-4FAC-B3A3-40393547270C}" name="Column13503"/>
    <tableColumn id="13504" xr3:uid="{5293EF62-84E7-4312-ABB1-88625001E63B}" name="Column13504"/>
    <tableColumn id="13505" xr3:uid="{7CFD345D-53B3-4B55-9D64-88FBC9A0D46D}" name="Column13505"/>
    <tableColumn id="13506" xr3:uid="{00ABF0A7-25D7-4DD9-B19B-D982FC341243}" name="Column13506"/>
    <tableColumn id="13507" xr3:uid="{85568B9B-0998-4790-B4D4-6A269F554EA1}" name="Column13507"/>
    <tableColumn id="13508" xr3:uid="{6A92E310-D183-489E-A4BC-BAD28E3B0678}" name="Column13508"/>
    <tableColumn id="13509" xr3:uid="{4D2D2316-EADF-4D4A-B354-9E20FE6B07D9}" name="Column13509"/>
    <tableColumn id="13510" xr3:uid="{B58836F8-9477-40F8-9A79-5CDED3A42C76}" name="Column13510"/>
    <tableColumn id="13511" xr3:uid="{92800360-2179-40E4-9E34-5BC23CDC58FF}" name="Column13511"/>
    <tableColumn id="13512" xr3:uid="{A9A99922-10A6-42BF-9BDE-7A03E26DDC47}" name="Column13512"/>
    <tableColumn id="13513" xr3:uid="{9997F106-3AC7-42C8-AC34-B9DA7B14A5D8}" name="Column13513"/>
    <tableColumn id="13514" xr3:uid="{15613C9D-6F51-4772-954C-20BAD6A67203}" name="Column13514"/>
    <tableColumn id="13515" xr3:uid="{F747872E-3C5C-455D-98F2-09F08C2211D6}" name="Column13515"/>
    <tableColumn id="13516" xr3:uid="{5A94ED7D-2780-46D6-9FB5-988D87B4675F}" name="Column13516"/>
    <tableColumn id="13517" xr3:uid="{A84755B8-C025-4FE0-B5CA-CF1B5BC29DCE}" name="Column13517"/>
    <tableColumn id="13518" xr3:uid="{BE1601E3-A286-437C-96B6-890E4CAC6612}" name="Column13518"/>
    <tableColumn id="13519" xr3:uid="{8BD619FB-7A5E-49AD-84D4-4F735EF5ACE2}" name="Column13519"/>
    <tableColumn id="13520" xr3:uid="{7E945FED-02A3-4DD0-8BEB-952EC074CC01}" name="Column13520"/>
    <tableColumn id="13521" xr3:uid="{5DEFFF86-B2DF-4692-B09C-47A3A416A286}" name="Column13521"/>
    <tableColumn id="13522" xr3:uid="{A5944B33-0B8F-4794-9077-DADC87F65067}" name="Column13522"/>
    <tableColumn id="13523" xr3:uid="{D4C79F40-3439-408B-83A8-800757225046}" name="Column13523"/>
    <tableColumn id="13524" xr3:uid="{6EAEDFE2-491A-44F8-A31E-F7FB208EB1CA}" name="Column13524"/>
    <tableColumn id="13525" xr3:uid="{B4CBD059-5BDD-49EB-A7E8-B30E85E45C8A}" name="Column13525"/>
    <tableColumn id="13526" xr3:uid="{7D1BD387-5B52-4CAA-8CEF-DB1DB8756F4B}" name="Column13526"/>
    <tableColumn id="13527" xr3:uid="{B8974F0F-19F9-40ED-A180-A24630F5DC70}" name="Column13527"/>
    <tableColumn id="13528" xr3:uid="{1B84570B-EDAD-4B0F-945D-67EC5D4DE5AD}" name="Column13528"/>
    <tableColumn id="13529" xr3:uid="{8155C4D8-0252-45AB-9F32-563C1985F901}" name="Column13529"/>
    <tableColumn id="13530" xr3:uid="{D608D847-ECA2-4198-BC53-14544984950D}" name="Column13530"/>
    <tableColumn id="13531" xr3:uid="{49AA11B0-4DCF-45BD-BEFA-6EE0655810E6}" name="Column13531"/>
    <tableColumn id="13532" xr3:uid="{106163BD-4DB9-44C7-B00B-4DD17CCB0992}" name="Column13532"/>
    <tableColumn id="13533" xr3:uid="{EB914665-6221-47C0-B7A1-33A5C59D86A0}" name="Column13533"/>
    <tableColumn id="13534" xr3:uid="{BD765F8E-CC76-4C09-AC3E-00F52E3E2F2E}" name="Column13534"/>
    <tableColumn id="13535" xr3:uid="{86455126-616E-4D04-BFAB-B57A5DED7919}" name="Column13535"/>
    <tableColumn id="13536" xr3:uid="{1D092A51-93DB-448A-831D-979A258E65C3}" name="Column13536"/>
    <tableColumn id="13537" xr3:uid="{B0B8A854-F3BC-4084-9E1E-8FDE81FAB7BF}" name="Column13537"/>
    <tableColumn id="13538" xr3:uid="{C7654397-C453-450F-AD07-BF5E57381FE9}" name="Column13538"/>
    <tableColumn id="13539" xr3:uid="{FABB891D-4B3F-4A95-B5D9-78F51C67EF56}" name="Column13539"/>
    <tableColumn id="13540" xr3:uid="{F3ED4E15-3C10-484B-8D25-209A1C7A02D9}" name="Column13540"/>
    <tableColumn id="13541" xr3:uid="{DBABBBBB-0C98-4182-A732-FCBA23BD0F39}" name="Column13541"/>
    <tableColumn id="13542" xr3:uid="{0F0D4ECF-64DA-4CE7-829A-0272036314CD}" name="Column13542"/>
    <tableColumn id="13543" xr3:uid="{5D20F5FC-13A5-418D-B406-01F7203FDD4E}" name="Column13543"/>
    <tableColumn id="13544" xr3:uid="{8B2A6DA1-E6F7-4740-8967-2FEF43D4C745}" name="Column13544"/>
    <tableColumn id="13545" xr3:uid="{05902ADD-163A-4CED-9CE4-0D746A2DC05A}" name="Column13545"/>
    <tableColumn id="13546" xr3:uid="{42E9617F-671D-4088-ABFD-B0E0046F2189}" name="Column13546"/>
    <tableColumn id="13547" xr3:uid="{B2C346F7-2756-4AD4-84DD-D3F0FACF243A}" name="Column13547"/>
    <tableColumn id="13548" xr3:uid="{67F4BFB5-BFFB-4A48-AD9D-5EF22DDAA93A}" name="Column13548"/>
    <tableColumn id="13549" xr3:uid="{0EA5DB3C-E547-434E-A909-2CA171DAA69E}" name="Column13549"/>
    <tableColumn id="13550" xr3:uid="{07CD5956-484F-4288-A83A-CA486057F6DE}" name="Column13550"/>
    <tableColumn id="13551" xr3:uid="{AC896FF0-4352-45E1-8520-D26EAC2ACD1B}" name="Column13551"/>
    <tableColumn id="13552" xr3:uid="{0242B90C-022A-4A05-9947-46D8C2968F76}" name="Column13552"/>
    <tableColumn id="13553" xr3:uid="{438BE017-4A3E-4325-B431-FF2F739866F3}" name="Column13553"/>
    <tableColumn id="13554" xr3:uid="{C63990BD-306B-4AA1-8E03-8AFA2FDC0F72}" name="Column13554"/>
    <tableColumn id="13555" xr3:uid="{00B935DE-1865-4697-B83F-5C65BC20D3D4}" name="Column13555"/>
    <tableColumn id="13556" xr3:uid="{3035B17E-F831-4367-BBF8-D0F0D673E6DD}" name="Column13556"/>
    <tableColumn id="13557" xr3:uid="{A6B60BA7-B415-4400-AE5D-9E2FE3243B50}" name="Column13557"/>
    <tableColumn id="13558" xr3:uid="{6850E9A6-B5D8-40BE-AEF8-3C47A4A25FB6}" name="Column13558"/>
    <tableColumn id="13559" xr3:uid="{CB4EBE09-9FAC-426E-86E5-213C67E2BC41}" name="Column13559"/>
    <tableColumn id="13560" xr3:uid="{BC749AFA-F844-4A63-94D2-3C4D7C3E21F8}" name="Column13560"/>
    <tableColumn id="13561" xr3:uid="{8720031D-B0F6-459E-9F2D-699A37B7BB22}" name="Column13561"/>
    <tableColumn id="13562" xr3:uid="{49FFFCA8-535C-4C36-A499-438685718C90}" name="Column13562"/>
    <tableColumn id="13563" xr3:uid="{865B2BED-780D-44CB-A70B-D1F80CD6072B}" name="Column13563"/>
    <tableColumn id="13564" xr3:uid="{19ACA981-F2AD-4611-B53B-9F6367AF211C}" name="Column13564"/>
    <tableColumn id="13565" xr3:uid="{D027E9FA-3E08-4A75-A852-20291CFA3550}" name="Column13565"/>
    <tableColumn id="13566" xr3:uid="{DBAA889D-EE6D-4E0F-8DE1-3C425C1C9339}" name="Column13566"/>
    <tableColumn id="13567" xr3:uid="{22347ECE-DD34-4736-A352-F8B770E94D10}" name="Column13567"/>
    <tableColumn id="13568" xr3:uid="{9EACA25B-CBD9-46F8-9790-35D15EEC3FEF}" name="Column13568"/>
    <tableColumn id="13569" xr3:uid="{E1D980FE-C820-4676-9E3A-63AC130534A2}" name="Column13569"/>
    <tableColumn id="13570" xr3:uid="{9A5ECEC3-88AC-440B-864C-6440C4436511}" name="Column13570"/>
    <tableColumn id="13571" xr3:uid="{1F226F49-0E98-4676-B55C-654D32E7350A}" name="Column13571"/>
    <tableColumn id="13572" xr3:uid="{C1B23E4C-35D9-4476-9A1B-5FEFCB875D84}" name="Column13572"/>
    <tableColumn id="13573" xr3:uid="{518639BB-5EB9-4A64-AC9B-36A6D345D9AD}" name="Column13573"/>
    <tableColumn id="13574" xr3:uid="{145F8FFB-B283-4532-8913-DBD4739D5335}" name="Column13574"/>
    <tableColumn id="13575" xr3:uid="{DD670516-C178-4717-B022-F6FE32223CF0}" name="Column13575"/>
    <tableColumn id="13576" xr3:uid="{5658EECE-2BB3-409F-9BBA-AAB22694C7E4}" name="Column13576"/>
    <tableColumn id="13577" xr3:uid="{007D77C7-3CC6-4D3D-8CE8-AFF13D432D04}" name="Column13577"/>
    <tableColumn id="13578" xr3:uid="{3CAB5C71-5AA2-419A-A0C2-259D83F2A41A}" name="Column13578"/>
    <tableColumn id="13579" xr3:uid="{A4F7F4E7-AC32-4DFF-89EE-701A2D244C55}" name="Column13579"/>
    <tableColumn id="13580" xr3:uid="{E4CD0DB5-5845-4CE1-9617-F89A358B6419}" name="Column13580"/>
    <tableColumn id="13581" xr3:uid="{AC2A6121-5589-44DC-8594-6CC3456C7B3A}" name="Column13581"/>
    <tableColumn id="13582" xr3:uid="{0E95D30A-C94A-45D4-8040-C0CFC143753F}" name="Column13582"/>
    <tableColumn id="13583" xr3:uid="{CA539855-9802-4053-88BF-CB27DEC23329}" name="Column13583"/>
    <tableColumn id="13584" xr3:uid="{83D25449-EC20-4BB6-8548-E88886BDCF6C}" name="Column13584"/>
    <tableColumn id="13585" xr3:uid="{1396319A-A6E9-4B5A-A817-ED0BC21A8990}" name="Column13585"/>
    <tableColumn id="13586" xr3:uid="{A8A3D421-CDE2-42CF-80A9-BA3F9C390631}" name="Column13586"/>
    <tableColumn id="13587" xr3:uid="{D1D97A1A-0685-45A0-AACE-91F07A09BA2B}" name="Column13587"/>
    <tableColumn id="13588" xr3:uid="{CD33EA44-736C-4D6C-927E-85DF0C70FB4F}" name="Column13588"/>
    <tableColumn id="13589" xr3:uid="{5DA2732E-F42B-44AC-A2C6-E294E917C92E}" name="Column13589"/>
    <tableColumn id="13590" xr3:uid="{D3A40946-BEBB-49B3-94D8-D2F96C857169}" name="Column13590"/>
    <tableColumn id="13591" xr3:uid="{DE004984-BD52-4855-A79B-3C2B4BB11EEC}" name="Column13591"/>
    <tableColumn id="13592" xr3:uid="{62BFD3D6-1D61-4931-8791-1249010C15A8}" name="Column13592"/>
    <tableColumn id="13593" xr3:uid="{D1B9B328-219F-4184-84BB-FC71B81BDE0B}" name="Column13593"/>
    <tableColumn id="13594" xr3:uid="{939A665E-8BEB-46AC-845B-44034ED595BD}" name="Column13594"/>
    <tableColumn id="13595" xr3:uid="{B20525B5-7EBD-4F03-A245-9C25FC3FE9E7}" name="Column13595"/>
    <tableColumn id="13596" xr3:uid="{F41AC7CF-D810-432D-BACB-241CB05D8624}" name="Column13596"/>
    <tableColumn id="13597" xr3:uid="{395DD03C-54EA-450A-920F-C77B0AC07178}" name="Column13597"/>
    <tableColumn id="13598" xr3:uid="{0BE493A8-E2BF-4B0D-AA54-07D6A94CE296}" name="Column13598"/>
    <tableColumn id="13599" xr3:uid="{6C598C2A-DE6E-4DDF-97EC-04FDE0667192}" name="Column13599"/>
    <tableColumn id="13600" xr3:uid="{3CB3D098-3C66-46FB-A91B-44D867101B31}" name="Column13600"/>
    <tableColumn id="13601" xr3:uid="{FEC3622D-B4A3-4AEA-A0B3-4BD56D68ABE1}" name="Column13601"/>
    <tableColumn id="13602" xr3:uid="{51BC6D11-28D5-4221-AF2E-26F08DEBE903}" name="Column13602"/>
    <tableColumn id="13603" xr3:uid="{E90413A6-87A3-4315-9BF8-8F8486E7AED9}" name="Column13603"/>
    <tableColumn id="13604" xr3:uid="{440D7A54-0947-42B7-A9DF-EE7DB9300CD5}" name="Column13604"/>
    <tableColumn id="13605" xr3:uid="{B2BE27DB-861B-46E7-B74B-B394AD5CBC81}" name="Column13605"/>
    <tableColumn id="13606" xr3:uid="{1A586196-0248-4B79-BEC0-259E856D7FCB}" name="Column13606"/>
    <tableColumn id="13607" xr3:uid="{464B03B8-2FA6-402F-888C-D26C298BCB09}" name="Column13607"/>
    <tableColumn id="13608" xr3:uid="{FDCF6589-0980-40B7-BD94-316A4E54845C}" name="Column13608"/>
    <tableColumn id="13609" xr3:uid="{B70A4EA9-C4D0-434C-B07C-9467ED46EC24}" name="Column13609"/>
    <tableColumn id="13610" xr3:uid="{5ED33059-FECA-499E-A493-864A7FED8009}" name="Column13610"/>
    <tableColumn id="13611" xr3:uid="{7EFFBE95-3FDE-429A-926C-A0FF22658E64}" name="Column13611"/>
    <tableColumn id="13612" xr3:uid="{C2D24F9C-DBF3-434A-BD07-80467C227AD8}" name="Column13612"/>
    <tableColumn id="13613" xr3:uid="{E0476A1B-76ED-4750-9CF1-2DEE132E0180}" name="Column13613"/>
    <tableColumn id="13614" xr3:uid="{99620793-5B51-480F-8F31-740994C2790C}" name="Column13614"/>
    <tableColumn id="13615" xr3:uid="{D1BF348A-F41D-4D87-8837-2D8164CA0128}" name="Column13615"/>
    <tableColumn id="13616" xr3:uid="{DFCB63D6-483E-4E34-B9B7-FBF6811EF58C}" name="Column13616"/>
    <tableColumn id="13617" xr3:uid="{5265788C-2FAD-42E6-BF91-932FB08F8C5E}" name="Column13617"/>
    <tableColumn id="13618" xr3:uid="{18E792FB-8EE5-4A62-BCC9-AF1FC002603C}" name="Column13618"/>
    <tableColumn id="13619" xr3:uid="{9EE72D38-1ECC-42D7-89ED-C4236814CBF7}" name="Column13619"/>
    <tableColumn id="13620" xr3:uid="{8F5AD400-62E8-4C39-94E6-7DA657D7681E}" name="Column13620"/>
    <tableColumn id="13621" xr3:uid="{F0880BB0-9ED7-4963-8086-2207D835414E}" name="Column13621"/>
    <tableColumn id="13622" xr3:uid="{747D1F7B-AEBA-4EBA-83EC-36BDE8E99CF5}" name="Column13622"/>
    <tableColumn id="13623" xr3:uid="{14115D82-7A90-4904-8961-9045EC0AA9A5}" name="Column13623"/>
    <tableColumn id="13624" xr3:uid="{90795C28-7E74-4B9D-BEA5-5980BC4E8991}" name="Column13624"/>
    <tableColumn id="13625" xr3:uid="{C6CFC1E4-F228-4427-AC0F-79F2BC19A939}" name="Column13625"/>
    <tableColumn id="13626" xr3:uid="{E8250BED-0490-4146-ADDC-F18C2798F954}" name="Column13626"/>
    <tableColumn id="13627" xr3:uid="{548E0F74-1222-482C-9682-8E7CBC2A5ED1}" name="Column13627"/>
    <tableColumn id="13628" xr3:uid="{4B7737A5-BB94-4B67-9F8D-84DAFF1AE30B}" name="Column13628"/>
    <tableColumn id="13629" xr3:uid="{DB17647E-5831-4EDA-AE47-C65BDE76169B}" name="Column13629"/>
    <tableColumn id="13630" xr3:uid="{0D07D524-EA36-4AE5-8B61-BC831107BCFE}" name="Column13630"/>
    <tableColumn id="13631" xr3:uid="{4688CADD-0C45-4C70-9A86-8A177EDDC508}" name="Column13631"/>
    <tableColumn id="13632" xr3:uid="{67B31589-5FAF-4BF7-81BC-537CFC34AE5E}" name="Column13632"/>
    <tableColumn id="13633" xr3:uid="{5CE77A13-1288-4672-8946-6A09CC0E659D}" name="Column13633"/>
    <tableColumn id="13634" xr3:uid="{5FCFFA1F-1960-4AAD-A79C-1C34E609C87E}" name="Column13634"/>
    <tableColumn id="13635" xr3:uid="{5FA121C8-C428-4569-A842-CDD28F038FC0}" name="Column13635"/>
    <tableColumn id="13636" xr3:uid="{B030869A-1BD2-4EFB-8862-CB0B7EBB8026}" name="Column13636"/>
    <tableColumn id="13637" xr3:uid="{CC95FB9A-CA97-4C60-8D64-67C88636530E}" name="Column13637"/>
    <tableColumn id="13638" xr3:uid="{61380C42-5FCB-4116-B92E-91B9E7D6D5E6}" name="Column13638"/>
    <tableColumn id="13639" xr3:uid="{F9E21D5D-D891-46CA-BC4D-3A5D85B96C7B}" name="Column13639"/>
    <tableColumn id="13640" xr3:uid="{4AAF3D35-B863-4A6D-B127-BCC1F524A6D9}" name="Column13640"/>
    <tableColumn id="13641" xr3:uid="{83A824AA-660C-435E-9A1F-06B0DBAB4BB5}" name="Column13641"/>
    <tableColumn id="13642" xr3:uid="{DF635A66-0E3A-4D27-8346-628C8EA84F20}" name="Column13642"/>
    <tableColumn id="13643" xr3:uid="{716B7B17-A58A-488B-8787-C8E8F85C1F4F}" name="Column13643"/>
    <tableColumn id="13644" xr3:uid="{DCF4B5B6-AE7C-4D41-B5A5-CAD529A9F775}" name="Column13644"/>
    <tableColumn id="13645" xr3:uid="{BE1E4279-C436-4EC7-9BA3-2CE254AEFAB3}" name="Column13645"/>
    <tableColumn id="13646" xr3:uid="{462DA416-B4DA-4004-A33C-91B53983FFAC}" name="Column13646"/>
    <tableColumn id="13647" xr3:uid="{A86330BC-00B8-411D-B5BD-F8541C8A3B84}" name="Column13647"/>
    <tableColumn id="13648" xr3:uid="{A1A81025-DB5A-4590-976F-D1853E9A5593}" name="Column13648"/>
    <tableColumn id="13649" xr3:uid="{0ABFEE05-E560-4BC3-898C-684B2AEB2350}" name="Column13649"/>
    <tableColumn id="13650" xr3:uid="{E0DE3637-B1AB-4F66-8D41-6042F09BF94F}" name="Column13650"/>
    <tableColumn id="13651" xr3:uid="{323A54F6-2AE0-4133-9ABE-FF1DF369054B}" name="Column13651"/>
    <tableColumn id="13652" xr3:uid="{4E2B7289-4B1F-4029-96F3-AB0EB0EE2684}" name="Column13652"/>
    <tableColumn id="13653" xr3:uid="{E1774083-009E-47C8-A955-616EDAD323AB}" name="Column13653"/>
    <tableColumn id="13654" xr3:uid="{E933E90A-7F00-4828-90F7-CEF9F7F48BBD}" name="Column13654"/>
    <tableColumn id="13655" xr3:uid="{50DB053B-BB24-456B-822D-4202357CFC40}" name="Column13655"/>
    <tableColumn id="13656" xr3:uid="{D1D80D1F-E3FF-4C93-88BE-59055D45BD64}" name="Column13656"/>
    <tableColumn id="13657" xr3:uid="{8AE05CC7-06DD-4A97-AD41-D2800657672B}" name="Column13657"/>
    <tableColumn id="13658" xr3:uid="{8517218E-C841-4368-B406-29ACC5C54DF7}" name="Column13658"/>
    <tableColumn id="13659" xr3:uid="{23AEBDFC-D896-455A-BC11-FD3C8CB26C36}" name="Column13659"/>
    <tableColumn id="13660" xr3:uid="{45CD885F-6FED-4C52-94D7-E88F4D46620A}" name="Column13660"/>
    <tableColumn id="13661" xr3:uid="{9B8DFC00-44A6-4E93-8997-7C180CB28A3B}" name="Column13661"/>
    <tableColumn id="13662" xr3:uid="{BEDFD85E-368D-4E4C-A384-043CAB12D703}" name="Column13662"/>
    <tableColumn id="13663" xr3:uid="{69A96AEC-0F2D-4696-83C8-DD8DAD0628A4}" name="Column13663"/>
    <tableColumn id="13664" xr3:uid="{045F686E-5B5C-4434-9DC2-7368E071DE4F}" name="Column13664"/>
    <tableColumn id="13665" xr3:uid="{5A9C6E86-7075-42EF-9F2D-7E1A36905AAE}" name="Column13665"/>
    <tableColumn id="13666" xr3:uid="{624426ED-BC5A-4849-8C29-A40EF4D46D9E}" name="Column13666"/>
    <tableColumn id="13667" xr3:uid="{7C660DC5-5C97-4692-963F-D1CE729254CC}" name="Column13667"/>
    <tableColumn id="13668" xr3:uid="{EBEEC3FC-185D-4DA2-88C3-40494046FE37}" name="Column13668"/>
    <tableColumn id="13669" xr3:uid="{4E2A2938-DC5D-4B6B-82F4-D940787E9CD0}" name="Column13669"/>
    <tableColumn id="13670" xr3:uid="{5D3914E4-C412-4294-80B8-D14958821199}" name="Column13670"/>
    <tableColumn id="13671" xr3:uid="{5A5BCB55-A1D8-4369-97A6-FCF5ABAE62E6}" name="Column13671"/>
    <tableColumn id="13672" xr3:uid="{052E1D0B-5AF7-4360-9B01-0E4705E3692D}" name="Column13672"/>
    <tableColumn id="13673" xr3:uid="{F967B356-3A59-4080-B8FB-E7B1285313CA}" name="Column13673"/>
    <tableColumn id="13674" xr3:uid="{32244D51-D787-4069-8242-04B5BC6530B4}" name="Column13674"/>
    <tableColumn id="13675" xr3:uid="{6949D4BC-F088-42B0-AAFA-CFCAC0DF6CD0}" name="Column13675"/>
    <tableColumn id="13676" xr3:uid="{F985FEAF-57D7-462E-90C3-1124212C179B}" name="Column13676"/>
    <tableColumn id="13677" xr3:uid="{C58A8710-AC23-4CC1-881E-9D28B84CB000}" name="Column13677"/>
    <tableColumn id="13678" xr3:uid="{8EA8FD30-846A-4A33-95BB-EE2AC5E37CDC}" name="Column13678"/>
    <tableColumn id="13679" xr3:uid="{616967DE-F957-4B78-8438-AAF51B3C3425}" name="Column13679"/>
    <tableColumn id="13680" xr3:uid="{C4B3430C-720C-48FA-A6BB-293650DDA6D1}" name="Column13680"/>
    <tableColumn id="13681" xr3:uid="{21FC2ADB-B828-4594-9768-A5D7E2EBA034}" name="Column13681"/>
    <tableColumn id="13682" xr3:uid="{A92C67C1-84DD-443F-A831-9E31EFD2FFED}" name="Column13682"/>
    <tableColumn id="13683" xr3:uid="{4067FD59-D98D-41A3-8FF8-97F06ADED0AF}" name="Column13683"/>
    <tableColumn id="13684" xr3:uid="{D72624BA-9034-4EE4-830E-82E276A53371}" name="Column13684"/>
    <tableColumn id="13685" xr3:uid="{48E38018-5D04-4B7C-BF63-A26A36F69989}" name="Column13685"/>
    <tableColumn id="13686" xr3:uid="{3998B342-C399-48D6-972D-9833BBAD3C9C}" name="Column13686"/>
    <tableColumn id="13687" xr3:uid="{4958BB21-C68F-4F85-AD73-A328B962C482}" name="Column13687"/>
    <tableColumn id="13688" xr3:uid="{313CBAB1-2271-40D9-A574-D6E53C5B4E29}" name="Column13688"/>
    <tableColumn id="13689" xr3:uid="{A8F21FF6-E835-4C1E-8FA8-A33921AFFDE5}" name="Column13689"/>
    <tableColumn id="13690" xr3:uid="{28BC690B-0907-49C1-9C85-ABE176568C41}" name="Column13690"/>
    <tableColumn id="13691" xr3:uid="{37274048-BA47-47C8-BE95-9523F83A4CD6}" name="Column13691"/>
    <tableColumn id="13692" xr3:uid="{7C21F184-FA3B-4FDC-9A4B-3231008F3C3C}" name="Column13692"/>
    <tableColumn id="13693" xr3:uid="{DCB53CB1-04CA-48D3-A05E-3AA6A7C98011}" name="Column13693"/>
    <tableColumn id="13694" xr3:uid="{27CEEB55-0AE8-46E2-B970-6E2AE621D940}" name="Column13694"/>
    <tableColumn id="13695" xr3:uid="{2796AF6F-44C9-4ED3-ACF8-50B59B6B2085}" name="Column13695"/>
    <tableColumn id="13696" xr3:uid="{17CD093F-EC8D-4CC8-A237-B99315AED784}" name="Column13696"/>
    <tableColumn id="13697" xr3:uid="{16253D80-A8AE-431D-8D66-3BEDEBB6C755}" name="Column13697"/>
    <tableColumn id="13698" xr3:uid="{7438EFE7-D489-433D-A507-14BCDC872880}" name="Column13698"/>
    <tableColumn id="13699" xr3:uid="{7BD434EB-B1F2-467D-9A6E-710D1D6BED4C}" name="Column13699"/>
    <tableColumn id="13700" xr3:uid="{653EEAF3-DC20-49C7-881A-E15684A87F6A}" name="Column13700"/>
    <tableColumn id="13701" xr3:uid="{275EE42E-8133-439F-BC16-CE548AD9C0F3}" name="Column13701"/>
    <tableColumn id="13702" xr3:uid="{8F1DF6B2-BC67-48C1-910A-32F7B0BE0D3F}" name="Column13702"/>
    <tableColumn id="13703" xr3:uid="{B837EA97-861A-438F-B660-8CD8BC2EBC37}" name="Column13703"/>
    <tableColumn id="13704" xr3:uid="{054C2DBA-4A9A-49DC-8C61-BA6EF620D46D}" name="Column13704"/>
    <tableColumn id="13705" xr3:uid="{EF721DA9-33BF-45B2-9902-1B87F7B69386}" name="Column13705"/>
    <tableColumn id="13706" xr3:uid="{FAE2A592-DE95-42EA-85FB-D105BD3EC3C9}" name="Column13706"/>
    <tableColumn id="13707" xr3:uid="{A85225AF-B578-47B6-80ED-59E1ECB88E3F}" name="Column13707"/>
    <tableColumn id="13708" xr3:uid="{02FA5A70-B4B9-42C1-9EFB-3F811F56BD7C}" name="Column13708"/>
    <tableColumn id="13709" xr3:uid="{C409762F-7858-4E72-9BE8-31C503EA063B}" name="Column13709"/>
    <tableColumn id="13710" xr3:uid="{0F05921C-59BA-464C-945D-1C8FE7E71478}" name="Column13710"/>
    <tableColumn id="13711" xr3:uid="{A995959A-9046-4CD3-8023-1A4A45BDAF31}" name="Column13711"/>
    <tableColumn id="13712" xr3:uid="{5C2BEA5D-0A4D-4777-BE19-7FDC3F0AAB8B}" name="Column13712"/>
    <tableColumn id="13713" xr3:uid="{856F3B67-17E9-4D3E-B4C1-C618C85402D0}" name="Column13713"/>
    <tableColumn id="13714" xr3:uid="{E3789D67-67AB-4F78-A629-7A90F615048C}" name="Column13714"/>
    <tableColumn id="13715" xr3:uid="{4F592777-205F-4273-BE17-21E067DAFD36}" name="Column13715"/>
    <tableColumn id="13716" xr3:uid="{FC227CB9-D0E8-4050-A0AD-14EEB7C28000}" name="Column13716"/>
    <tableColumn id="13717" xr3:uid="{9A624B4D-119C-4A16-995C-5FB821FC9436}" name="Column13717"/>
    <tableColumn id="13718" xr3:uid="{CAA924FC-CB73-4813-9DFE-093BC8059FA0}" name="Column13718"/>
    <tableColumn id="13719" xr3:uid="{B704345F-9E17-4C39-925C-9C4AF670D9CE}" name="Column13719"/>
    <tableColumn id="13720" xr3:uid="{5749D0DC-FEE5-4BC3-AA7F-FCBE884C1024}" name="Column13720"/>
    <tableColumn id="13721" xr3:uid="{8A4B1377-AB50-45B8-9A51-00196D6BB123}" name="Column13721"/>
    <tableColumn id="13722" xr3:uid="{A6773759-E143-4A72-9E20-6E1D2D35BADA}" name="Column13722"/>
    <tableColumn id="13723" xr3:uid="{B846B4A2-2EDF-4321-84F9-C26397435936}" name="Column13723"/>
    <tableColumn id="13724" xr3:uid="{38BE63FE-7F18-425B-BE83-A26E77DFE19B}" name="Column13724"/>
    <tableColumn id="13725" xr3:uid="{4B7C4E3F-B43B-4AB5-AA44-1C6CA9748433}" name="Column13725"/>
    <tableColumn id="13726" xr3:uid="{55BD1C5F-8747-4B04-9604-AEF5B7AE80ED}" name="Column13726"/>
    <tableColumn id="13727" xr3:uid="{E9E49DDB-D5CB-48DF-A8EC-AF7C68FFE938}" name="Column13727"/>
    <tableColumn id="13728" xr3:uid="{90941B7B-214C-4AAD-BDCD-A12FB02FDECC}" name="Column13728"/>
    <tableColumn id="13729" xr3:uid="{C9E4B9DD-FFD8-4258-BBC2-97626835EE20}" name="Column13729"/>
    <tableColumn id="13730" xr3:uid="{FA2B5602-4AE2-4FDD-BA65-2538E58040B7}" name="Column13730"/>
    <tableColumn id="13731" xr3:uid="{0BBE6DE8-B2AC-4723-99A7-DA3965C3BE1E}" name="Column13731"/>
    <tableColumn id="13732" xr3:uid="{B4EC06AC-91E7-4D07-89C1-75F5E713CF2E}" name="Column13732"/>
    <tableColumn id="13733" xr3:uid="{7E6EDDFA-0C47-4F20-ACC0-C2C4A428DB6F}" name="Column13733"/>
    <tableColumn id="13734" xr3:uid="{0F124FBF-3B9E-4FFF-9DA5-759A57D6E74C}" name="Column13734"/>
    <tableColumn id="13735" xr3:uid="{1F949045-01DF-406A-8713-9C99EE980A99}" name="Column13735"/>
    <tableColumn id="13736" xr3:uid="{79870A94-2B12-468D-B024-C70C93F02063}" name="Column13736"/>
    <tableColumn id="13737" xr3:uid="{9F9EE5CF-0E41-41A5-A066-17044AE246CF}" name="Column13737"/>
    <tableColumn id="13738" xr3:uid="{4B9F1E7E-1F25-4A2E-9229-FCF35F690707}" name="Column13738"/>
    <tableColumn id="13739" xr3:uid="{65A831D5-F7F7-461E-8BDA-41EE5DA80F11}" name="Column13739"/>
    <tableColumn id="13740" xr3:uid="{FFF993FE-E95C-4D64-9845-F6CA197E965E}" name="Column13740"/>
    <tableColumn id="13741" xr3:uid="{6C76E270-18E5-4D3F-AC3F-0AE7BCCA7931}" name="Column13741"/>
    <tableColumn id="13742" xr3:uid="{708ECD58-9924-467F-B13A-77D399DAEB5A}" name="Column13742"/>
    <tableColumn id="13743" xr3:uid="{77F57C08-484E-4AD2-B26F-AF40F7AED270}" name="Column13743"/>
    <tableColumn id="13744" xr3:uid="{218DEBB0-3457-4576-8A7B-0FA0AA4817DF}" name="Column13744"/>
    <tableColumn id="13745" xr3:uid="{D68EB201-1D13-4302-9B8C-0315B10C7EE3}" name="Column13745"/>
    <tableColumn id="13746" xr3:uid="{6D5F9A9B-07D1-41A1-98F0-FF1947A671B9}" name="Column13746"/>
    <tableColumn id="13747" xr3:uid="{C6F2D3C1-5153-4A8D-A714-869A39A5A478}" name="Column13747"/>
    <tableColumn id="13748" xr3:uid="{9A81284A-5607-453B-8D80-BB7F04028AC1}" name="Column13748"/>
    <tableColumn id="13749" xr3:uid="{D5748B42-A707-44A9-B03E-C303534273FC}" name="Column13749"/>
    <tableColumn id="13750" xr3:uid="{0D3837C1-6CDA-4967-997E-450ED9229B40}" name="Column13750"/>
    <tableColumn id="13751" xr3:uid="{ECBDA652-5211-4477-AC23-148302BE89B9}" name="Column13751"/>
    <tableColumn id="13752" xr3:uid="{A3C2E9AA-463D-4FD5-9DB7-754D8BD6016E}" name="Column13752"/>
    <tableColumn id="13753" xr3:uid="{F33C0E30-EB86-4F6A-8B53-FDBA81129E9A}" name="Column13753"/>
    <tableColumn id="13754" xr3:uid="{28E88A00-35DF-416F-85ED-B587E15C49D8}" name="Column13754"/>
    <tableColumn id="13755" xr3:uid="{20C208F4-25F1-4A9F-9285-9D0B446464F3}" name="Column13755"/>
    <tableColumn id="13756" xr3:uid="{A99D8A03-C583-4D5F-950D-EEB5B78680D9}" name="Column13756"/>
    <tableColumn id="13757" xr3:uid="{ADB5062A-224E-45CB-8649-EAD261438450}" name="Column13757"/>
    <tableColumn id="13758" xr3:uid="{1F34981A-4195-47CF-B466-7AC01C1867B3}" name="Column13758"/>
    <tableColumn id="13759" xr3:uid="{24515EE3-D0EA-4135-B334-3CF2B6DDC460}" name="Column13759"/>
    <tableColumn id="13760" xr3:uid="{156587F1-F286-43AC-A649-3DE0A78FE7E5}" name="Column13760"/>
    <tableColumn id="13761" xr3:uid="{5BFCA725-3708-476B-9D45-41D984D0A406}" name="Column13761"/>
    <tableColumn id="13762" xr3:uid="{62ED8A5D-B8BA-40DC-9400-14D4AFE64F04}" name="Column13762"/>
    <tableColumn id="13763" xr3:uid="{E76004E7-CD57-4460-9D5A-70C38E57A82C}" name="Column13763"/>
    <tableColumn id="13764" xr3:uid="{87505106-2115-4903-9AA7-C62454EA4B9F}" name="Column13764"/>
    <tableColumn id="13765" xr3:uid="{6BEA5755-4542-4C8C-923D-D70346E58E00}" name="Column13765"/>
    <tableColumn id="13766" xr3:uid="{0332043E-785E-401F-B1EE-4E5C86FAF54D}" name="Column13766"/>
    <tableColumn id="13767" xr3:uid="{BA35B8F9-D46E-4BFD-AE12-ED9ECDDD5612}" name="Column13767"/>
    <tableColumn id="13768" xr3:uid="{BCC986E2-8331-493E-8088-A3F4D344A9B2}" name="Column13768"/>
    <tableColumn id="13769" xr3:uid="{7540190D-0C9D-4FA5-A4D2-497B3C9F6A85}" name="Column13769"/>
    <tableColumn id="13770" xr3:uid="{55F6D75B-D545-4AC4-9DFD-96414A88EC04}" name="Column13770"/>
    <tableColumn id="13771" xr3:uid="{1D65F039-A21A-471C-BAAD-6F89815BAEEF}" name="Column13771"/>
    <tableColumn id="13772" xr3:uid="{166F512B-15E3-4F2F-AE84-ECEB20C2F672}" name="Column13772"/>
    <tableColumn id="13773" xr3:uid="{FF21F241-9634-4B7B-8504-250F3C4E4CAA}" name="Column13773"/>
    <tableColumn id="13774" xr3:uid="{1E30AFEC-CC86-4210-8EFD-EF5B65DD1C09}" name="Column13774"/>
    <tableColumn id="13775" xr3:uid="{B9D09A79-7E58-4B12-A910-AC99F768EE66}" name="Column13775"/>
    <tableColumn id="13776" xr3:uid="{F516AE71-656E-4627-BB84-7EF4D3ADB03D}" name="Column13776"/>
    <tableColumn id="13777" xr3:uid="{75FCF4A1-807C-4E02-9CD0-131A92977EAA}" name="Column13777"/>
    <tableColumn id="13778" xr3:uid="{4E318E45-CFE9-4F3C-9FB0-DC42392A531E}" name="Column13778"/>
    <tableColumn id="13779" xr3:uid="{7AF12591-9290-47CA-A7BF-D06BB1B22F66}" name="Column13779"/>
    <tableColumn id="13780" xr3:uid="{AF39FBAA-C90F-4CB7-A24F-8338C5CB1767}" name="Column13780"/>
    <tableColumn id="13781" xr3:uid="{A677BFDF-B333-495A-8AC6-05742511059C}" name="Column13781"/>
    <tableColumn id="13782" xr3:uid="{9614A6D7-2ABA-404D-952B-64D787AC71F8}" name="Column13782"/>
    <tableColumn id="13783" xr3:uid="{34771EDB-716F-4CEB-BB7B-D14896E9CC45}" name="Column13783"/>
    <tableColumn id="13784" xr3:uid="{DC6D60F5-6B92-4449-8611-D6A8ACA531E7}" name="Column13784"/>
    <tableColumn id="13785" xr3:uid="{16FD040E-E832-44B2-A2F0-62E1553149F7}" name="Column13785"/>
    <tableColumn id="13786" xr3:uid="{C04407B8-9B7C-4027-821B-209A15E3077B}" name="Column13786"/>
    <tableColumn id="13787" xr3:uid="{393644A2-8AF2-4F36-9A90-6FD6CB2716CD}" name="Column13787"/>
    <tableColumn id="13788" xr3:uid="{2909C97E-8E1B-41B9-8409-8997FAFCAA7A}" name="Column13788"/>
    <tableColumn id="13789" xr3:uid="{D2CDA830-AD69-442F-A64E-C5683684BCDC}" name="Column13789"/>
    <tableColumn id="13790" xr3:uid="{0EB7999F-CB6D-4458-A630-395D57A7023A}" name="Column13790"/>
    <tableColumn id="13791" xr3:uid="{8CBEDAC3-A334-4B9F-AED4-3BC52C0633DE}" name="Column13791"/>
    <tableColumn id="13792" xr3:uid="{9F6C0AC8-33EB-48FE-B4EC-04E8B34A7998}" name="Column13792"/>
    <tableColumn id="13793" xr3:uid="{7859FDC6-2962-4EFB-A51F-C05630A9C8FF}" name="Column13793"/>
    <tableColumn id="13794" xr3:uid="{A69E896E-6CD6-4720-B113-B316EBDB0E70}" name="Column13794"/>
    <tableColumn id="13795" xr3:uid="{A70F7D13-8329-4FB5-B0C7-1AACEE38ABD1}" name="Column13795"/>
    <tableColumn id="13796" xr3:uid="{72A02CE2-CD6C-4C0F-AC32-A926B93734C1}" name="Column13796"/>
    <tableColumn id="13797" xr3:uid="{10B570E7-BEB7-4603-8205-6CAC1B711C8B}" name="Column13797"/>
    <tableColumn id="13798" xr3:uid="{290A5B5E-3DDE-4F2C-A711-1F838B9E8944}" name="Column13798"/>
    <tableColumn id="13799" xr3:uid="{445564EB-D3F1-4BFE-9A6C-441D1A69694E}" name="Column13799"/>
    <tableColumn id="13800" xr3:uid="{F66F35D3-4CA8-428B-80FD-1EEE556AE9A7}" name="Column13800"/>
    <tableColumn id="13801" xr3:uid="{22618122-8405-4596-AE4D-8BA315ED4F80}" name="Column13801"/>
    <tableColumn id="13802" xr3:uid="{24BFF7F3-C8FC-44AC-865B-7D4806BDA599}" name="Column13802"/>
    <tableColumn id="13803" xr3:uid="{DCDE9326-A727-47E5-A341-A6F1ED2EF3D7}" name="Column13803"/>
    <tableColumn id="13804" xr3:uid="{44840EC3-F51A-4DD1-90EA-A03AD0573192}" name="Column13804"/>
    <tableColumn id="13805" xr3:uid="{FAC9EB7C-210E-41E8-9943-B630E2487337}" name="Column13805"/>
    <tableColumn id="13806" xr3:uid="{1C84EF0D-6FAA-4DCC-8211-251646D6F7E0}" name="Column13806"/>
    <tableColumn id="13807" xr3:uid="{921745A4-7EA4-4834-9C15-DB02708C86BC}" name="Column13807"/>
    <tableColumn id="13808" xr3:uid="{78796F5B-9859-42D6-B218-5E0EF126A141}" name="Column13808"/>
    <tableColumn id="13809" xr3:uid="{E2A76B71-DBA9-4778-8C4B-DB2B8A09BEE5}" name="Column13809"/>
    <tableColumn id="13810" xr3:uid="{D8085DFC-0887-4DEF-99AB-CC472D55BD54}" name="Column13810"/>
    <tableColumn id="13811" xr3:uid="{B2B414F5-1894-49E4-A306-B8DE0128C85F}" name="Column13811"/>
    <tableColumn id="13812" xr3:uid="{AD7CCB3D-4129-4249-A25E-3C691EE1BE67}" name="Column13812"/>
    <tableColumn id="13813" xr3:uid="{DF97F31E-B455-41AD-B127-F835ED91BCF5}" name="Column13813"/>
    <tableColumn id="13814" xr3:uid="{2F7DB905-DB85-49BF-83BF-8F9BF49B7923}" name="Column13814"/>
    <tableColumn id="13815" xr3:uid="{CB4E0296-E0CA-48F9-B411-D3C6ECF78BCC}" name="Column13815"/>
    <tableColumn id="13816" xr3:uid="{D92AF889-4B09-441B-801A-AD6261110A59}" name="Column13816"/>
    <tableColumn id="13817" xr3:uid="{D7D31C74-DDDD-43D1-BCBD-7277B77A604D}" name="Column13817"/>
    <tableColumn id="13818" xr3:uid="{6A34DCDC-F2F9-4335-BA70-52966EFD245F}" name="Column13818"/>
    <tableColumn id="13819" xr3:uid="{3A117AB8-396A-4395-9FAE-EF885FBBF912}" name="Column13819"/>
    <tableColumn id="13820" xr3:uid="{0144516D-6D09-4F66-8153-23E586DA740E}" name="Column13820"/>
    <tableColumn id="13821" xr3:uid="{B48026E8-542A-49F6-926E-98EA74CF350C}" name="Column13821"/>
    <tableColumn id="13822" xr3:uid="{FF898AE3-E58D-43E8-8D5D-02C8039493A0}" name="Column13822"/>
    <tableColumn id="13823" xr3:uid="{4B01FC75-46B6-4FA7-AAEC-F8923141B8B7}" name="Column13823"/>
    <tableColumn id="13824" xr3:uid="{58E6E96A-AFAD-498E-AC46-9DBA2A9972EE}" name="Column13824"/>
    <tableColumn id="13825" xr3:uid="{0D210508-B4DB-4E30-BC46-CAA40DE1FB5A}" name="Column13825"/>
    <tableColumn id="13826" xr3:uid="{B136C833-DB6B-41A0-B124-F8950849B1DC}" name="Column13826"/>
    <tableColumn id="13827" xr3:uid="{2F16517D-AEAC-4EAE-80ED-3008339602DA}" name="Column13827"/>
    <tableColumn id="13828" xr3:uid="{0FFB6D4A-5EBD-49FF-BDD2-045F0D8ACC02}" name="Column13828"/>
    <tableColumn id="13829" xr3:uid="{660852ED-44C4-4A9C-9C97-2C5F7A8E143C}" name="Column13829"/>
    <tableColumn id="13830" xr3:uid="{B43808E3-4FF3-4F05-B0D7-DC5083D6DC4F}" name="Column13830"/>
    <tableColumn id="13831" xr3:uid="{010560A5-5C7E-44F3-A7A5-E2B845958849}" name="Column13831"/>
    <tableColumn id="13832" xr3:uid="{96AD77D9-D499-4FB8-B752-8546AB8F59DB}" name="Column13832"/>
    <tableColumn id="13833" xr3:uid="{9D201549-3218-49CF-B4EF-7DEBC52FDE2B}" name="Column13833"/>
    <tableColumn id="13834" xr3:uid="{1E4A9B20-FB3F-4839-9412-5FBF7D8D4DA9}" name="Column13834"/>
    <tableColumn id="13835" xr3:uid="{E27D091B-B41E-4693-98DA-12314DD33EDA}" name="Column13835"/>
    <tableColumn id="13836" xr3:uid="{C5BEF0D4-E74D-40C1-9D84-DFE7D37E0CB1}" name="Column13836"/>
    <tableColumn id="13837" xr3:uid="{5FA4D5DB-9F82-4E4F-B3E9-5857C533EA88}" name="Column13837"/>
    <tableColumn id="13838" xr3:uid="{C6AA580A-5057-40D1-9A91-DF542CCD49C2}" name="Column13838"/>
    <tableColumn id="13839" xr3:uid="{28F0426C-9119-437B-9B3B-77070667305C}" name="Column13839"/>
    <tableColumn id="13840" xr3:uid="{47CEE580-0E9D-4675-B64C-CD7123080650}" name="Column13840"/>
    <tableColumn id="13841" xr3:uid="{5927C44B-799F-4BE9-A8CA-A4EF347473E5}" name="Column13841"/>
    <tableColumn id="13842" xr3:uid="{E1974302-51A9-4282-A9DF-BD1EC93092F4}" name="Column13842"/>
    <tableColumn id="13843" xr3:uid="{B6AAD106-7989-4917-B24F-470EBA4CF07B}" name="Column13843"/>
    <tableColumn id="13844" xr3:uid="{D5C59166-CA5A-4E2E-8221-5B730F9B95FE}" name="Column13844"/>
    <tableColumn id="13845" xr3:uid="{3E50FA19-5B01-4932-B4DC-E279331175DB}" name="Column13845"/>
    <tableColumn id="13846" xr3:uid="{6E280F62-AF1E-410F-B33A-6A35913E10F0}" name="Column13846"/>
    <tableColumn id="13847" xr3:uid="{554DCBDD-2D97-49F2-9094-AFC7D3F940C7}" name="Column13847"/>
    <tableColumn id="13848" xr3:uid="{9F694C81-24B0-44C7-9BC1-EC278A3F606D}" name="Column13848"/>
    <tableColumn id="13849" xr3:uid="{45F19B4C-7FFA-4664-B55E-8339CD87BBC9}" name="Column13849"/>
    <tableColumn id="13850" xr3:uid="{322E3FE4-2356-43D6-BE74-E700A9CE689C}" name="Column13850"/>
    <tableColumn id="13851" xr3:uid="{ACD8DEC2-4A3E-4E9E-8197-7DEB6BFEA657}" name="Column13851"/>
    <tableColumn id="13852" xr3:uid="{F54DB19C-871C-4F9E-A8AA-F31CC886F364}" name="Column13852"/>
    <tableColumn id="13853" xr3:uid="{DA7FA953-872E-44B3-8691-9259E3601143}" name="Column13853"/>
    <tableColumn id="13854" xr3:uid="{B3B3284E-0F18-4E72-8587-7C9E1F82F1D6}" name="Column13854"/>
    <tableColumn id="13855" xr3:uid="{360FC857-A42E-43A7-B030-09AAD6019FEF}" name="Column13855"/>
    <tableColumn id="13856" xr3:uid="{B2A4F07A-1D51-4FDD-8C1F-9848A20DE909}" name="Column13856"/>
    <tableColumn id="13857" xr3:uid="{1DB5E0DC-5EC9-46EB-A38B-2C3FC6BE1572}" name="Column13857"/>
    <tableColumn id="13858" xr3:uid="{05DE0E9B-FD66-48A4-B89C-23973C1001DF}" name="Column13858"/>
    <tableColumn id="13859" xr3:uid="{D538600F-63A4-47A2-A193-0FDC02EE9139}" name="Column13859"/>
    <tableColumn id="13860" xr3:uid="{EAFBFCD8-C7B1-40E4-B5C7-2C7E139905C5}" name="Column13860"/>
    <tableColumn id="13861" xr3:uid="{210B2D79-12DE-4717-A09E-CD48817C1FC9}" name="Column13861"/>
    <tableColumn id="13862" xr3:uid="{C15F9457-DCF7-4874-B7D5-C9B934D3B5FC}" name="Column13862"/>
    <tableColumn id="13863" xr3:uid="{41C58250-D4BA-4115-9B8F-A72ED0BEA1E1}" name="Column13863"/>
    <tableColumn id="13864" xr3:uid="{CAFD4162-44C4-4CF5-B018-FDFC604E55A4}" name="Column13864"/>
    <tableColumn id="13865" xr3:uid="{FFE5F720-D84B-48B7-A36E-EFA04DCE18AD}" name="Column13865"/>
    <tableColumn id="13866" xr3:uid="{82F35487-84DF-45AE-9632-8150211C15F2}" name="Column13866"/>
    <tableColumn id="13867" xr3:uid="{4D151F8E-91AD-4E60-AC88-303842768578}" name="Column13867"/>
    <tableColumn id="13868" xr3:uid="{B04B6729-01E6-4496-BBE6-10BB8EFA91DE}" name="Column13868"/>
    <tableColumn id="13869" xr3:uid="{21A98D2B-3040-4AF7-BFD2-0C26BA5B62F3}" name="Column13869"/>
    <tableColumn id="13870" xr3:uid="{6F702763-A9C5-4BD2-8B1D-3831893BEFB4}" name="Column13870"/>
    <tableColumn id="13871" xr3:uid="{7C30F275-0CC3-465F-B085-454ABE1F4A08}" name="Column13871"/>
    <tableColumn id="13872" xr3:uid="{D2E00649-8BF9-4C9F-A6C6-1ED1F167FA0F}" name="Column13872"/>
    <tableColumn id="13873" xr3:uid="{BA35E6E0-53F3-4965-A1DD-7C8288176E8E}" name="Column13873"/>
    <tableColumn id="13874" xr3:uid="{18AD148C-4071-45C0-84A1-0CD6980C3F8D}" name="Column13874"/>
    <tableColumn id="13875" xr3:uid="{8A876557-6FFB-4508-9A0D-08FF08343D84}" name="Column13875"/>
    <tableColumn id="13876" xr3:uid="{6ACB3FD2-2107-4F88-B388-64428B20E7E3}" name="Column13876"/>
    <tableColumn id="13877" xr3:uid="{2693E2CD-2969-48E6-B7FF-1A83021670DF}" name="Column13877"/>
    <tableColumn id="13878" xr3:uid="{7C253E30-4E61-4D49-B645-2E79BD79B509}" name="Column13878"/>
    <tableColumn id="13879" xr3:uid="{C32608F5-9B08-48FC-A7B3-A0CF08A4A3FC}" name="Column13879"/>
    <tableColumn id="13880" xr3:uid="{9073EB67-E617-499C-9F72-6E4CA745C913}" name="Column13880"/>
    <tableColumn id="13881" xr3:uid="{4BE8D718-7311-4D0A-9C0E-8D6E6D93EC29}" name="Column13881"/>
    <tableColumn id="13882" xr3:uid="{106700FC-C734-4D29-BEBC-3FA21AB45264}" name="Column13882"/>
    <tableColumn id="13883" xr3:uid="{5F745578-6374-466D-B3CA-FF5B13A42E2C}" name="Column13883"/>
    <tableColumn id="13884" xr3:uid="{2632DAE7-ABDF-4186-AB8B-6FFE665B17F4}" name="Column13884"/>
    <tableColumn id="13885" xr3:uid="{EADDEC2F-B6AC-4DB6-834D-BEB29DF510FB}" name="Column13885"/>
    <tableColumn id="13886" xr3:uid="{8094710B-B358-4594-9E3E-5EF69118A85D}" name="Column13886"/>
    <tableColumn id="13887" xr3:uid="{B6419783-7E3E-43EE-ADA4-6372AF6A09EC}" name="Column13887"/>
    <tableColumn id="13888" xr3:uid="{2110AA99-2E9A-48A1-957D-C7A4FB426D8D}" name="Column13888"/>
    <tableColumn id="13889" xr3:uid="{8E5A1588-F9D8-47AB-9D40-561957785A0D}" name="Column13889"/>
    <tableColumn id="13890" xr3:uid="{E5A11913-6668-4D84-89F1-EA7C4311E291}" name="Column13890"/>
    <tableColumn id="13891" xr3:uid="{C00E54B9-5303-48EA-B4CC-A00EFA006E1C}" name="Column13891"/>
    <tableColumn id="13892" xr3:uid="{5BD2BAA0-F89E-48DB-A312-A220B0C83F49}" name="Column13892"/>
    <tableColumn id="13893" xr3:uid="{8B1794B5-2FAD-4B68-A50C-50F681959131}" name="Column13893"/>
    <tableColumn id="13894" xr3:uid="{C9624AF3-CF23-4420-B6D8-512560B5DCBE}" name="Column13894"/>
    <tableColumn id="13895" xr3:uid="{878D512B-CF77-42DC-9527-9E2C857DE237}" name="Column13895"/>
    <tableColumn id="13896" xr3:uid="{DA0163ED-4B36-48F7-B08B-D5A8F942BC2D}" name="Column13896"/>
    <tableColumn id="13897" xr3:uid="{5E43BDF7-6CDF-4CFC-A62F-745289F59217}" name="Column13897"/>
    <tableColumn id="13898" xr3:uid="{C47ADD1E-8FE7-48C3-9883-0D7E3FC9CDCB}" name="Column13898"/>
    <tableColumn id="13899" xr3:uid="{CE4F5FA9-3509-4EA3-A4F6-AA3EFB76C878}" name="Column13899"/>
    <tableColumn id="13900" xr3:uid="{62B1DBE7-4339-4403-9D30-131D85021CC7}" name="Column13900"/>
    <tableColumn id="13901" xr3:uid="{8B77D4BD-5B30-4776-9EB5-C1837DBAEF44}" name="Column13901"/>
    <tableColumn id="13902" xr3:uid="{57D0D300-CA82-46D0-9E5F-33E81D48553D}" name="Column13902"/>
    <tableColumn id="13903" xr3:uid="{395E4D06-4BAE-4A9E-877F-3BC779C87121}" name="Column13903"/>
    <tableColumn id="13904" xr3:uid="{2700F867-DEB8-41A9-B3CD-CF4CAA562F10}" name="Column13904"/>
    <tableColumn id="13905" xr3:uid="{6D91E441-C508-4A75-B62D-36F596AFFAE8}" name="Column13905"/>
    <tableColumn id="13906" xr3:uid="{AE41D041-F588-41C8-AC00-3537784AFAEA}" name="Column13906"/>
    <tableColumn id="13907" xr3:uid="{3095A1DB-F6B9-458B-B279-CDAFF11CF878}" name="Column13907"/>
    <tableColumn id="13908" xr3:uid="{152F6238-2620-44F6-8A85-F45B5736389A}" name="Column13908"/>
    <tableColumn id="13909" xr3:uid="{A390CE3B-AE58-4554-B0D5-2D5639BE89B5}" name="Column13909"/>
    <tableColumn id="13910" xr3:uid="{4E44C432-A259-40E4-BC3A-5A39643C6C0A}" name="Column13910"/>
    <tableColumn id="13911" xr3:uid="{F8802B26-EC20-4914-9C17-7B4178E05754}" name="Column13911"/>
    <tableColumn id="13912" xr3:uid="{027A339F-5078-45F7-A421-A51A4BE26999}" name="Column13912"/>
    <tableColumn id="13913" xr3:uid="{72443616-C8AB-447D-937F-EC157FA218EF}" name="Column13913"/>
    <tableColumn id="13914" xr3:uid="{37A79963-FDDB-49EF-BCD2-58D934C90DF9}" name="Column13914"/>
    <tableColumn id="13915" xr3:uid="{CA3BA93A-E44B-4234-9FE6-EAB491DD0AF3}" name="Column13915"/>
    <tableColumn id="13916" xr3:uid="{22BE8909-A041-4D26-8468-DE434CEE2EA5}" name="Column13916"/>
    <tableColumn id="13917" xr3:uid="{0FC43B8D-CFFF-40B2-A467-49FADFC4B39B}" name="Column13917"/>
    <tableColumn id="13918" xr3:uid="{AF0C9039-A6BD-4923-A3E9-BB3EDBAFDA40}" name="Column13918"/>
    <tableColumn id="13919" xr3:uid="{43427A4B-A9E8-4EE9-B936-D4E9E55C0689}" name="Column13919"/>
    <tableColumn id="13920" xr3:uid="{33537342-CA4D-4465-B9C4-390FAFD32B42}" name="Column13920"/>
    <tableColumn id="13921" xr3:uid="{22B0DF5F-F0D5-419F-B373-5AB4D14FEC77}" name="Column13921"/>
    <tableColumn id="13922" xr3:uid="{511C05B5-29B0-4B1D-8EF1-9757800F908A}" name="Column13922"/>
    <tableColumn id="13923" xr3:uid="{26EE3B3E-0210-442C-AC56-B704D49FC5F0}" name="Column13923"/>
    <tableColumn id="13924" xr3:uid="{912D5282-551E-4465-B718-88E580D14C4F}" name="Column13924"/>
    <tableColumn id="13925" xr3:uid="{00B41DE3-E6C7-4468-92F1-66AF933C92A1}" name="Column13925"/>
    <tableColumn id="13926" xr3:uid="{53A39745-20F0-420C-A207-15AB03875594}" name="Column13926"/>
    <tableColumn id="13927" xr3:uid="{E73ED79A-5530-45DF-B6EA-5AE93EE6AB2C}" name="Column13927"/>
    <tableColumn id="13928" xr3:uid="{5A463640-3DC9-44BC-A6D6-6600CCF7FAD7}" name="Column13928"/>
    <tableColumn id="13929" xr3:uid="{E0F60F1E-AA59-402F-AF00-57E087B112E8}" name="Column13929"/>
    <tableColumn id="13930" xr3:uid="{316B3A19-FD27-4A7C-9A16-3D90D47C70D9}" name="Column13930"/>
    <tableColumn id="13931" xr3:uid="{5958F77D-2A90-478A-A036-84E3688A0AD3}" name="Column13931"/>
    <tableColumn id="13932" xr3:uid="{B7EF45AC-1265-44F0-A0D6-338C910E096B}" name="Column13932"/>
    <tableColumn id="13933" xr3:uid="{3FBD213A-24DE-4EFA-AAB5-1E12DFC108A8}" name="Column13933"/>
    <tableColumn id="13934" xr3:uid="{A100AB2A-C66A-4325-9C7B-4121B3E72138}" name="Column13934"/>
    <tableColumn id="13935" xr3:uid="{123284F0-2F64-4043-9293-46CB285C0011}" name="Column13935"/>
    <tableColumn id="13936" xr3:uid="{27E70D53-93C4-4B43-8F1F-7679B4A0A1C2}" name="Column13936"/>
    <tableColumn id="13937" xr3:uid="{E263A39A-9084-49BE-B11C-724630071FE1}" name="Column13937"/>
    <tableColumn id="13938" xr3:uid="{03614055-615C-47D1-AAE2-78E88E7361FA}" name="Column13938"/>
    <tableColumn id="13939" xr3:uid="{38899DA8-0CB0-409A-8701-13BEBB9ABE6B}" name="Column13939"/>
    <tableColumn id="13940" xr3:uid="{C8B451D5-3BC1-4180-A022-91AE82004926}" name="Column13940"/>
    <tableColumn id="13941" xr3:uid="{B82D1030-E01B-4601-8CEB-BD4F8E398C88}" name="Column13941"/>
    <tableColumn id="13942" xr3:uid="{A4B56CCE-CB79-4A54-BFA6-935C10534E3F}" name="Column13942"/>
    <tableColumn id="13943" xr3:uid="{2B88B85A-3F86-4838-AA3B-FE3C4F16C9D5}" name="Column13943"/>
    <tableColumn id="13944" xr3:uid="{15693FB4-E301-4862-A25F-6034553524C1}" name="Column13944"/>
    <tableColumn id="13945" xr3:uid="{0D316085-C5F0-4D76-84A8-2CB77EA1FDDA}" name="Column13945"/>
    <tableColumn id="13946" xr3:uid="{73B34205-DCDE-4045-AB6B-AE842B1AF630}" name="Column13946"/>
    <tableColumn id="13947" xr3:uid="{8E590664-ACEF-4B83-9E1C-E971066D40E4}" name="Column13947"/>
    <tableColumn id="13948" xr3:uid="{FEFADDBB-C39A-417E-8A61-E5A002A90F4F}" name="Column13948"/>
    <tableColumn id="13949" xr3:uid="{57CD316F-A772-4E4D-AB8B-6B3121896E3B}" name="Column13949"/>
    <tableColumn id="13950" xr3:uid="{B839BC28-8955-45F1-812A-0B007E121439}" name="Column13950"/>
    <tableColumn id="13951" xr3:uid="{BA29E3F8-680E-40A2-98EC-A9F8BCDB34BD}" name="Column13951"/>
    <tableColumn id="13952" xr3:uid="{3DA5F9A7-3AF5-443E-91D0-6DA809662A86}" name="Column13952"/>
    <tableColumn id="13953" xr3:uid="{FF06E644-622C-4F34-B732-F8F11C76DE40}" name="Column13953"/>
    <tableColumn id="13954" xr3:uid="{D6453548-9821-4F05-85D1-1DB4F6404249}" name="Column13954"/>
    <tableColumn id="13955" xr3:uid="{8E343BD6-EB90-48EE-A9D3-2D84C2B0D3F7}" name="Column13955"/>
    <tableColumn id="13956" xr3:uid="{F7349741-5729-42C6-85C2-42360C0AA19C}" name="Column13956"/>
    <tableColumn id="13957" xr3:uid="{B3CA13C4-9042-4DC9-B152-673414A76464}" name="Column13957"/>
    <tableColumn id="13958" xr3:uid="{37A90020-2A26-4A8B-B089-FF43B37A09A1}" name="Column13958"/>
    <tableColumn id="13959" xr3:uid="{DAA416E5-C899-43E8-91FC-996D5633D932}" name="Column13959"/>
    <tableColumn id="13960" xr3:uid="{E08FF4FE-E67F-4BD6-A6D8-C33EE256A93D}" name="Column13960"/>
    <tableColumn id="13961" xr3:uid="{A3EAEA64-AB76-4550-98E1-F54430F9F970}" name="Column13961"/>
    <tableColumn id="13962" xr3:uid="{5D10D026-B0C4-4909-9C6F-1D69AE8C55BB}" name="Column13962"/>
    <tableColumn id="13963" xr3:uid="{F35852A7-1AE8-4F67-B073-7E3B9C56C300}" name="Column13963"/>
    <tableColumn id="13964" xr3:uid="{5E33B2D2-C928-415F-B953-54055527BC4B}" name="Column13964"/>
    <tableColumn id="13965" xr3:uid="{6D2B3827-7714-4F01-8B35-63770CB5A7E0}" name="Column13965"/>
    <tableColumn id="13966" xr3:uid="{D7E94C0E-3657-4A3E-AA10-DF9CBC1B7D15}" name="Column13966"/>
    <tableColumn id="13967" xr3:uid="{30FA5743-2508-419F-9A3E-A28409610CF0}" name="Column13967"/>
    <tableColumn id="13968" xr3:uid="{01D03725-30EB-4864-B5D7-67978A8A1E62}" name="Column13968"/>
    <tableColumn id="13969" xr3:uid="{FABA1D15-CD2D-4926-ACD7-D31C821DA06D}" name="Column13969"/>
    <tableColumn id="13970" xr3:uid="{B2066047-0AD0-4239-81C7-E34B614B43CD}" name="Column13970"/>
    <tableColumn id="13971" xr3:uid="{44E32FC2-E784-476C-AFCB-2BEAF7702849}" name="Column13971"/>
    <tableColumn id="13972" xr3:uid="{55078355-BE5B-4617-8EF1-9A95AA33F974}" name="Column13972"/>
    <tableColumn id="13973" xr3:uid="{A64D2D95-2BD3-40FD-9F28-8FF4CE452BF4}" name="Column13973"/>
    <tableColumn id="13974" xr3:uid="{0ACD62E0-D2EC-49FB-BDA2-871912E81773}" name="Column13974"/>
    <tableColumn id="13975" xr3:uid="{357E6C2C-5F09-403D-9C5A-D7EABB427886}" name="Column13975"/>
    <tableColumn id="13976" xr3:uid="{5123344D-6291-49F9-8A65-37219F15C951}" name="Column13976"/>
    <tableColumn id="13977" xr3:uid="{E9D62621-37A9-455F-9A69-99431E836532}" name="Column13977"/>
    <tableColumn id="13978" xr3:uid="{99817A80-5DD4-432D-8D68-4845894BD97C}" name="Column13978"/>
    <tableColumn id="13979" xr3:uid="{A7F5FAE4-4A36-484E-87ED-1E7AEA0EAAF2}" name="Column13979"/>
    <tableColumn id="13980" xr3:uid="{F2199EB0-ED5B-4128-BF5C-5E5571DDEAEE}" name="Column13980"/>
    <tableColumn id="13981" xr3:uid="{E913C916-822D-4015-B73C-10AD71CFE369}" name="Column13981"/>
    <tableColumn id="13982" xr3:uid="{24747478-9FF5-4EC4-B4EA-003089ABD4D5}" name="Column13982"/>
    <tableColumn id="13983" xr3:uid="{D03F5EBF-B7AE-49C6-B6E0-23ED0B855004}" name="Column13983"/>
    <tableColumn id="13984" xr3:uid="{74131255-2B33-40CC-91AA-6AA30765CCAF}" name="Column13984"/>
    <tableColumn id="13985" xr3:uid="{0E11E5F3-A936-419D-86C5-D708158E5A12}" name="Column13985"/>
    <tableColumn id="13986" xr3:uid="{48F8F1D8-EEA0-471C-8218-F2812CE809CF}" name="Column13986"/>
    <tableColumn id="13987" xr3:uid="{BA99B53D-ACA4-431D-A32C-13A985B5F3D6}" name="Column13987"/>
    <tableColumn id="13988" xr3:uid="{4ABB489A-09E6-4665-A2D9-ABF61FF9C187}" name="Column13988"/>
    <tableColumn id="13989" xr3:uid="{C835F9C8-D2E9-4664-BBF2-DBB5A3A3DE84}" name="Column13989"/>
    <tableColumn id="13990" xr3:uid="{0F790B49-B40D-401B-B754-B2F42C809CEE}" name="Column13990"/>
    <tableColumn id="13991" xr3:uid="{3819F0B1-6F13-45A9-890E-400871686A98}" name="Column13991"/>
    <tableColumn id="13992" xr3:uid="{DD01F214-F1CA-4901-8915-D438B1DB7219}" name="Column13992"/>
    <tableColumn id="13993" xr3:uid="{F28DA929-40AF-42FD-89AC-98616C276FA3}" name="Column13993"/>
    <tableColumn id="13994" xr3:uid="{C9F2EF1E-75F0-4948-8664-958B9654AA9B}" name="Column13994"/>
    <tableColumn id="13995" xr3:uid="{16DEB6CB-6DB8-4E11-A585-8ADC1CB08199}" name="Column13995"/>
    <tableColumn id="13996" xr3:uid="{22D1EC8D-81E7-4175-9628-C0C9BE92996A}" name="Column13996"/>
    <tableColumn id="13997" xr3:uid="{230A029A-DBB8-453F-8B8D-2181A1E11C83}" name="Column13997"/>
    <tableColumn id="13998" xr3:uid="{B914A984-7582-4BA5-9BEC-9C3CD1E4E361}" name="Column13998"/>
    <tableColumn id="13999" xr3:uid="{13D7AD73-1F19-4A89-B3F2-C39EC0FC1BBE}" name="Column13999"/>
    <tableColumn id="14000" xr3:uid="{A4E8F63C-8E8D-42C6-BA9E-C1716DF9A705}" name="Column14000"/>
    <tableColumn id="14001" xr3:uid="{C279332C-2750-4B49-AE8B-4208EA12A9C5}" name="Column14001"/>
    <tableColumn id="14002" xr3:uid="{DF17325A-380D-4EE6-8B93-025F7281CDDE}" name="Column14002"/>
    <tableColumn id="14003" xr3:uid="{82B90E63-37E2-4353-A7BF-B78C62B92CB4}" name="Column14003"/>
    <tableColumn id="14004" xr3:uid="{FEB14880-E028-4330-8EB2-4EB64E80DA80}" name="Column14004"/>
    <tableColumn id="14005" xr3:uid="{E1CA05CF-9144-44C4-BF40-44F073D20310}" name="Column14005"/>
    <tableColumn id="14006" xr3:uid="{25A05BAD-660A-4546-9D39-A2AF985B09FE}" name="Column14006"/>
    <tableColumn id="14007" xr3:uid="{3116DF8C-F417-4544-9A91-14BE3FAB1F4A}" name="Column14007"/>
    <tableColumn id="14008" xr3:uid="{C98B39C1-A62F-460C-AFAE-EA1CD519F34A}" name="Column14008"/>
    <tableColumn id="14009" xr3:uid="{8FD8DD35-5BBD-42F8-A8E0-BDF793AF31FF}" name="Column14009"/>
    <tableColumn id="14010" xr3:uid="{F87822C9-CBEC-4E98-8D72-F1605722ED67}" name="Column14010"/>
    <tableColumn id="14011" xr3:uid="{D3EC5E4B-B2DB-42B1-B32F-208827E6531F}" name="Column14011"/>
    <tableColumn id="14012" xr3:uid="{CF7A3248-8DE0-482C-9C63-DB2AFE817ED7}" name="Column14012"/>
    <tableColumn id="14013" xr3:uid="{1202E426-9BAE-4799-8FFF-1B8407250446}" name="Column14013"/>
    <tableColumn id="14014" xr3:uid="{EFEE9365-7C46-4D97-8232-879F6CE7E538}" name="Column14014"/>
    <tableColumn id="14015" xr3:uid="{4C971063-2299-47DF-8A1D-D59D9B9C67BD}" name="Column14015"/>
    <tableColumn id="14016" xr3:uid="{B15EE0FE-DB8C-4969-89DA-304088112478}" name="Column14016"/>
    <tableColumn id="14017" xr3:uid="{10FEB284-65EB-4015-B1F1-3247350F7486}" name="Column14017"/>
    <tableColumn id="14018" xr3:uid="{38530AC7-39D0-4FD8-9403-79BF412F923E}" name="Column14018"/>
    <tableColumn id="14019" xr3:uid="{3105FDD7-C432-49DD-8848-DE50386B20EC}" name="Column14019"/>
    <tableColumn id="14020" xr3:uid="{523B8196-C268-4442-8FBC-16769DCA9F68}" name="Column14020"/>
    <tableColumn id="14021" xr3:uid="{BE08DFB0-3D9E-497C-B6CF-3C786145D3D9}" name="Column14021"/>
    <tableColumn id="14022" xr3:uid="{7B0E5C86-09AE-42E3-92D0-92FBCB63285A}" name="Column14022"/>
    <tableColumn id="14023" xr3:uid="{8336AAD4-C7C4-415D-9B90-6367B6631AC4}" name="Column14023"/>
    <tableColumn id="14024" xr3:uid="{ACD77C73-3BB3-4A05-8624-84575E30D515}" name="Column14024"/>
    <tableColumn id="14025" xr3:uid="{9A0A6754-6A9C-46AC-A838-868E6CDD66D4}" name="Column14025"/>
    <tableColumn id="14026" xr3:uid="{A1BCA3B4-9319-4424-B0A1-05B99BC14BD6}" name="Column14026"/>
    <tableColumn id="14027" xr3:uid="{8C767966-4D48-4D81-B852-9AE5B85A0E20}" name="Column14027"/>
    <tableColumn id="14028" xr3:uid="{CB725BE2-BC24-4101-90F4-59946F9DC95F}" name="Column14028"/>
    <tableColumn id="14029" xr3:uid="{5ADD2996-7AC9-425E-8D87-B2F31C3F9607}" name="Column14029"/>
    <tableColumn id="14030" xr3:uid="{59974949-8751-4A33-8CC5-7921C9F18CF9}" name="Column14030"/>
    <tableColumn id="14031" xr3:uid="{3C6AD4F0-AC74-480F-A6CE-C5F49FC16037}" name="Column14031"/>
    <tableColumn id="14032" xr3:uid="{D6E33E63-B1A4-4A4E-B051-31E81F4D7E83}" name="Column14032"/>
    <tableColumn id="14033" xr3:uid="{985D0A12-E3E9-4DD9-A136-2C0656F26D16}" name="Column14033"/>
    <tableColumn id="14034" xr3:uid="{E4798F30-93F3-4D64-AB3A-F6EAA460CCB7}" name="Column14034"/>
    <tableColumn id="14035" xr3:uid="{94B0499F-01D0-48EF-B9EE-BF14CAC73313}" name="Column14035"/>
    <tableColumn id="14036" xr3:uid="{FBF152B0-1BE7-4D5D-93FD-F2B3C2DD9C0A}" name="Column14036"/>
    <tableColumn id="14037" xr3:uid="{40155D92-8075-4A0D-A907-C6084A39F1B1}" name="Column14037"/>
    <tableColumn id="14038" xr3:uid="{39751639-D027-41DE-B1A9-1229ED80AA85}" name="Column14038"/>
    <tableColumn id="14039" xr3:uid="{B66B6790-53A7-4295-A1CE-2E8863FE9503}" name="Column14039"/>
    <tableColumn id="14040" xr3:uid="{E4B0BBAA-6207-4FB5-93FC-548B09575A5D}" name="Column14040"/>
    <tableColumn id="14041" xr3:uid="{8935A630-8AF7-44A2-9713-AE82FBA4D7E9}" name="Column14041"/>
    <tableColumn id="14042" xr3:uid="{59E501E5-2963-4DEC-9CAB-D20473E55530}" name="Column14042"/>
    <tableColumn id="14043" xr3:uid="{C447D14F-ABD7-491F-9F33-19665203AACE}" name="Column14043"/>
    <tableColumn id="14044" xr3:uid="{0817DB4F-5346-4FEF-AB97-7F319B27052C}" name="Column14044"/>
    <tableColumn id="14045" xr3:uid="{00B88D6C-AEFB-4EC2-9421-0E25FC5FACD2}" name="Column14045"/>
    <tableColumn id="14046" xr3:uid="{D1DA90BD-2565-4AD2-8450-669E40BB07D5}" name="Column14046"/>
    <tableColumn id="14047" xr3:uid="{52747F9F-5984-4A49-96A1-AB7D164B77B5}" name="Column14047"/>
    <tableColumn id="14048" xr3:uid="{24A6FD1B-EB48-4A03-B74D-9EC57D1AA6D4}" name="Column14048"/>
    <tableColumn id="14049" xr3:uid="{8E062070-E4B8-4359-8D6D-DFDD3EF19848}" name="Column14049"/>
    <tableColumn id="14050" xr3:uid="{D5E706F4-A4A1-4253-B8EB-49D9920290F7}" name="Column14050"/>
    <tableColumn id="14051" xr3:uid="{93A6756A-F04D-4930-9115-85E8C80157FD}" name="Column14051"/>
    <tableColumn id="14052" xr3:uid="{19CA329E-FAFE-4A85-8A86-62BADE460104}" name="Column14052"/>
    <tableColumn id="14053" xr3:uid="{8907CCAA-A5D4-45FA-A7C1-9A3E8B470980}" name="Column14053"/>
    <tableColumn id="14054" xr3:uid="{150B1A7E-F041-41AD-929A-43CBFEF2D4AB}" name="Column14054"/>
    <tableColumn id="14055" xr3:uid="{BA2A8974-C80B-42FF-882A-179CEB7DEC2A}" name="Column14055"/>
    <tableColumn id="14056" xr3:uid="{E43DFBCC-C89F-45DE-9C2C-8B40438A582E}" name="Column14056"/>
    <tableColumn id="14057" xr3:uid="{22EA6A78-15FC-4FB2-BF1A-348DD42AB914}" name="Column14057"/>
    <tableColumn id="14058" xr3:uid="{437A4792-1A79-4F2E-A344-B085009DF5F2}" name="Column14058"/>
    <tableColumn id="14059" xr3:uid="{1DFCDFA4-8F7A-4F4A-8466-7AD2E04F2EFD}" name="Column14059"/>
    <tableColumn id="14060" xr3:uid="{BC9DDA16-C079-4C12-A01B-A2844CC015F4}" name="Column14060"/>
    <tableColumn id="14061" xr3:uid="{8EF2F46E-3646-4131-987E-3483BC0ED399}" name="Column14061"/>
    <tableColumn id="14062" xr3:uid="{5C10FDF7-E61E-430C-A7E6-9E52658B6F48}" name="Column14062"/>
    <tableColumn id="14063" xr3:uid="{51D459B8-464E-434B-8B16-B58AD3864B68}" name="Column14063"/>
    <tableColumn id="14064" xr3:uid="{35D10D2C-D1DC-4F5B-A30B-14534F22EA71}" name="Column14064"/>
    <tableColumn id="14065" xr3:uid="{DA559D68-C721-4050-9CE0-774216538D16}" name="Column14065"/>
    <tableColumn id="14066" xr3:uid="{93F9B9BA-E20E-4D79-B449-24F19CC234F0}" name="Column14066"/>
    <tableColumn id="14067" xr3:uid="{ACF6606A-F049-4FB7-BB5B-53721ABC6C4E}" name="Column14067"/>
    <tableColumn id="14068" xr3:uid="{CB4503FF-AC44-4128-BBBF-E815DE50F5C2}" name="Column14068"/>
    <tableColumn id="14069" xr3:uid="{E09693EC-7E2A-4DD3-8C61-8789A44F836E}" name="Column14069"/>
    <tableColumn id="14070" xr3:uid="{0331B986-27BD-4E60-99C8-589E911A9461}" name="Column14070"/>
    <tableColumn id="14071" xr3:uid="{8077ED9B-9483-4B36-B355-BFA7773F40DD}" name="Column14071"/>
    <tableColumn id="14072" xr3:uid="{CF8EB092-F2E4-45C3-9EA6-C7BE8AB8F9F4}" name="Column14072"/>
    <tableColumn id="14073" xr3:uid="{14CD9D18-C174-4032-83F4-C8B54FD0AF1E}" name="Column14073"/>
    <tableColumn id="14074" xr3:uid="{22C0657F-ECF9-4E5E-B707-423ED7FD3B79}" name="Column14074"/>
    <tableColumn id="14075" xr3:uid="{45F5F88A-FCB7-4F5D-B0A6-15A87504D7B2}" name="Column14075"/>
    <tableColumn id="14076" xr3:uid="{A6522CAE-8EF0-445C-9E12-ACB01F741A0C}" name="Column14076"/>
    <tableColumn id="14077" xr3:uid="{67CC11C6-D61B-47B5-B570-DCEFF2E91083}" name="Column14077"/>
    <tableColumn id="14078" xr3:uid="{26F18E18-BCB3-4861-B769-0F4E014B4831}" name="Column14078"/>
    <tableColumn id="14079" xr3:uid="{571D33D3-46C2-438F-8BD8-FE857E191B4A}" name="Column14079"/>
    <tableColumn id="14080" xr3:uid="{B68CE580-D372-48EE-8B76-DDE02AE33231}" name="Column14080"/>
    <tableColumn id="14081" xr3:uid="{8067B5BA-E30B-4642-BD0D-657526818474}" name="Column14081"/>
    <tableColumn id="14082" xr3:uid="{2007155E-AA3C-45FB-BFDF-19C6EC6467ED}" name="Column14082"/>
    <tableColumn id="14083" xr3:uid="{67507177-F5E8-49EF-B291-E172EC801F2C}" name="Column14083"/>
    <tableColumn id="14084" xr3:uid="{D50A39DD-6408-47D2-9C48-404070FC0EF1}" name="Column14084"/>
    <tableColumn id="14085" xr3:uid="{8026FCB0-20A6-4D65-90CE-FF7A5EEB3666}" name="Column14085"/>
    <tableColumn id="14086" xr3:uid="{323858C7-F071-4EA5-9672-7F55FA533949}" name="Column14086"/>
    <tableColumn id="14087" xr3:uid="{52104418-ED71-43F6-8DA5-82E5EAAE3A23}" name="Column14087"/>
    <tableColumn id="14088" xr3:uid="{7F8F312A-5AA3-4319-AF73-0DB72C07AE71}" name="Column14088"/>
    <tableColumn id="14089" xr3:uid="{4F7173D2-01C6-48FD-B473-0D04C43C9D13}" name="Column14089"/>
    <tableColumn id="14090" xr3:uid="{2BAFEC0B-4E26-4729-98E1-B8133A372965}" name="Column14090"/>
    <tableColumn id="14091" xr3:uid="{72AD999B-530C-4BA1-AE20-82113BBF10C0}" name="Column14091"/>
    <tableColumn id="14092" xr3:uid="{40F4DF43-C86E-4763-81E2-1AB6A18B5937}" name="Column14092"/>
    <tableColumn id="14093" xr3:uid="{614C473D-8998-4564-8C07-010F84636D51}" name="Column14093"/>
    <tableColumn id="14094" xr3:uid="{3E1270C6-E0CB-4E56-821A-2DD6B1D334D6}" name="Column14094"/>
    <tableColumn id="14095" xr3:uid="{9359B3C6-8307-440F-8546-2E383127A908}" name="Column14095"/>
    <tableColumn id="14096" xr3:uid="{49F6BD71-0B3D-456F-9AEC-988C690D0D18}" name="Column14096"/>
    <tableColumn id="14097" xr3:uid="{3162CB80-E6A6-4EDC-A8F4-9F22F6D701F3}" name="Column14097"/>
    <tableColumn id="14098" xr3:uid="{BDBB31D8-F3A7-41E6-A8C5-B36EB2595991}" name="Column14098"/>
    <tableColumn id="14099" xr3:uid="{4B75FEDF-5BFD-42AE-A9EC-1ECE2468E742}" name="Column14099"/>
    <tableColumn id="14100" xr3:uid="{50B3EF75-865B-4431-B523-26014F930D83}" name="Column14100"/>
    <tableColumn id="14101" xr3:uid="{7767B7D8-F934-434C-A800-F2A202664D76}" name="Column14101"/>
    <tableColumn id="14102" xr3:uid="{E27E5DBB-19CA-432D-9A9D-180B9341F09A}" name="Column14102"/>
    <tableColumn id="14103" xr3:uid="{3284FE48-2B23-4398-B787-1E7EFE4B789F}" name="Column14103"/>
    <tableColumn id="14104" xr3:uid="{43CAB41C-203A-4E74-B7D0-4D01FE98A5AF}" name="Column14104"/>
    <tableColumn id="14105" xr3:uid="{D5DE125E-EA36-415B-9955-C8FCA7C688A5}" name="Column14105"/>
    <tableColumn id="14106" xr3:uid="{504F8BD8-02D0-42D5-A375-4A173522501F}" name="Column14106"/>
    <tableColumn id="14107" xr3:uid="{C958E469-36B6-4BFB-8BF9-363E72DC9F20}" name="Column14107"/>
    <tableColumn id="14108" xr3:uid="{2FEFD795-A36B-4514-A698-102E33A457C5}" name="Column14108"/>
    <tableColumn id="14109" xr3:uid="{E9C93D78-BDB2-4126-A680-F2C50CF2CA4C}" name="Column14109"/>
    <tableColumn id="14110" xr3:uid="{EA3A9C21-F862-4A4F-A4D3-99266069AD20}" name="Column14110"/>
    <tableColumn id="14111" xr3:uid="{1A28D219-4E08-4F30-8EC3-D3929C436F7D}" name="Column14111"/>
    <tableColumn id="14112" xr3:uid="{37256E02-6672-4F9B-9237-F8326CADD8E9}" name="Column14112"/>
    <tableColumn id="14113" xr3:uid="{E966D91B-3E83-4E77-88F7-7A31876C342A}" name="Column14113"/>
    <tableColumn id="14114" xr3:uid="{5287B332-144E-4515-9D94-58EEF1E23E90}" name="Column14114"/>
    <tableColumn id="14115" xr3:uid="{7B7688B5-21DB-46BF-9DDF-E0EFA399A3DB}" name="Column14115"/>
    <tableColumn id="14116" xr3:uid="{7AEA9EBA-C921-45D0-BAA8-020366FD0F16}" name="Column14116"/>
    <tableColumn id="14117" xr3:uid="{C5C83059-4770-4448-9C91-2373D7020BF9}" name="Column14117"/>
    <tableColumn id="14118" xr3:uid="{C1537C19-4E07-479A-A26B-72A3A190F54D}" name="Column14118"/>
    <tableColumn id="14119" xr3:uid="{86ED580B-C8C1-4409-B9F3-F19F965EC4D5}" name="Column14119"/>
    <tableColumn id="14120" xr3:uid="{C7138646-0D43-44C2-8A5B-DDAC36AEE30E}" name="Column14120"/>
    <tableColumn id="14121" xr3:uid="{B2C484D9-3E96-4637-B52C-5AA3D6345161}" name="Column14121"/>
    <tableColumn id="14122" xr3:uid="{96021A7C-74CE-4D08-9821-34AC2BAC1872}" name="Column14122"/>
    <tableColumn id="14123" xr3:uid="{8AD0F85B-844D-491E-B033-A42536D744DA}" name="Column14123"/>
    <tableColumn id="14124" xr3:uid="{17D41346-A9B4-4C08-99FF-896568FABBDF}" name="Column14124"/>
    <tableColumn id="14125" xr3:uid="{FB6F8571-4F9F-4BC6-BBC4-DCD896017562}" name="Column14125"/>
    <tableColumn id="14126" xr3:uid="{820D3B1C-D96F-48A1-B3DB-9379F9AD95CA}" name="Column14126"/>
    <tableColumn id="14127" xr3:uid="{3E8A6C47-0DE2-41D6-B535-FD40319CBDD6}" name="Column14127"/>
    <tableColumn id="14128" xr3:uid="{3C6CF683-3289-4527-AB81-25E14A612B28}" name="Column14128"/>
    <tableColumn id="14129" xr3:uid="{1F21551B-84B1-4067-B182-068900BD010E}" name="Column14129"/>
    <tableColumn id="14130" xr3:uid="{D81ED4C5-42B2-4DF6-9FDF-652B1D640186}" name="Column14130"/>
    <tableColumn id="14131" xr3:uid="{9A817595-20BC-4998-85D8-A3F981CDB49F}" name="Column14131"/>
    <tableColumn id="14132" xr3:uid="{E6B8954C-4BA2-4118-8E70-2ABB4E6F4FB2}" name="Column14132"/>
    <tableColumn id="14133" xr3:uid="{5391FFD3-5970-4D95-93BD-EEBCA720DF9D}" name="Column14133"/>
    <tableColumn id="14134" xr3:uid="{9A0046EB-4E85-4A27-951B-E85E89F6BB82}" name="Column14134"/>
    <tableColumn id="14135" xr3:uid="{9BEF8B1D-0F26-4E1F-9A18-D41214D2556E}" name="Column14135"/>
    <tableColumn id="14136" xr3:uid="{B5D2513F-A462-4A6A-8B04-14F514A6D720}" name="Column14136"/>
    <tableColumn id="14137" xr3:uid="{B9E1BA85-BCB5-4DC6-B261-99A07656CCB6}" name="Column14137"/>
    <tableColumn id="14138" xr3:uid="{80C10679-A797-4B0E-8817-1D69C893040C}" name="Column14138"/>
    <tableColumn id="14139" xr3:uid="{099F0E49-5894-48C0-A707-C145D5083B3D}" name="Column14139"/>
    <tableColumn id="14140" xr3:uid="{FF9260A9-188C-46D7-92D2-C87B6486247D}" name="Column14140"/>
    <tableColumn id="14141" xr3:uid="{A47FE23F-3467-4312-8CAD-00789838E866}" name="Column14141"/>
    <tableColumn id="14142" xr3:uid="{729FEFA4-35C2-4799-B45F-9F18493F0926}" name="Column14142"/>
    <tableColumn id="14143" xr3:uid="{8ABD1F30-E7CF-44F0-A151-FF2FFA4C5798}" name="Column14143"/>
    <tableColumn id="14144" xr3:uid="{EE6A69F2-C089-4539-9100-EE2309D1DAB0}" name="Column14144"/>
    <tableColumn id="14145" xr3:uid="{45F7A756-C907-431B-AC62-394ACCD6DEF0}" name="Column14145"/>
    <tableColumn id="14146" xr3:uid="{00011E14-9EA4-4F3D-BA42-67A60655F89E}" name="Column14146"/>
    <tableColumn id="14147" xr3:uid="{C524507A-7102-47AD-B776-37EBDA76B3E7}" name="Column14147"/>
    <tableColumn id="14148" xr3:uid="{3C6D41A1-A21E-4784-BC83-701AF76C8CC3}" name="Column14148"/>
    <tableColumn id="14149" xr3:uid="{5E459876-5AB9-4DF6-AE44-D0DCAEE0D3BE}" name="Column14149"/>
    <tableColumn id="14150" xr3:uid="{76CE6FE0-41C7-44D0-B0AB-72CDC9E05E87}" name="Column14150"/>
    <tableColumn id="14151" xr3:uid="{B2EC65E8-4340-4FFA-920B-6BF1A30AFD5B}" name="Column14151"/>
    <tableColumn id="14152" xr3:uid="{19FE1537-B5F8-4248-B082-0827E4AD9BEE}" name="Column14152"/>
    <tableColumn id="14153" xr3:uid="{21B2C984-3A26-46B4-9038-AA98F75BF65F}" name="Column14153"/>
    <tableColumn id="14154" xr3:uid="{856878B7-9DC4-4C92-A5E8-AD3923AAFA1A}" name="Column14154"/>
    <tableColumn id="14155" xr3:uid="{AF8EE6D1-39B3-479A-8BA3-0A07E3404FC0}" name="Column14155"/>
    <tableColumn id="14156" xr3:uid="{EF8D42AF-B38F-4654-86BA-4930B6EFF2AB}" name="Column14156"/>
    <tableColumn id="14157" xr3:uid="{B4C9AA0D-9847-4B5B-96C2-B7F2E5F873AE}" name="Column14157"/>
    <tableColumn id="14158" xr3:uid="{CB70CA20-5A1E-4E31-BD11-F824AF10B643}" name="Column14158"/>
    <tableColumn id="14159" xr3:uid="{FD079B28-55FB-40EA-99FF-DAC088991847}" name="Column14159"/>
    <tableColumn id="14160" xr3:uid="{0FD687BE-19B8-43D8-921E-2AFDDFC69EE1}" name="Column14160"/>
    <tableColumn id="14161" xr3:uid="{1CE6B3DE-3A71-43A4-937F-28DF8C0E7172}" name="Column14161"/>
    <tableColumn id="14162" xr3:uid="{CAA50919-EF3B-4C63-AA2D-4CF008DFA9F0}" name="Column14162"/>
    <tableColumn id="14163" xr3:uid="{D768CA8E-C517-41EF-A487-DDDD77A2747E}" name="Column14163"/>
    <tableColumn id="14164" xr3:uid="{57260C5A-7184-4AB5-AFCB-B8F78CCEDE6D}" name="Column14164"/>
    <tableColumn id="14165" xr3:uid="{36572205-C147-4221-830B-6B827430C49B}" name="Column14165"/>
    <tableColumn id="14166" xr3:uid="{A5D4306F-396E-4230-928C-614F65B027D2}" name="Column14166"/>
    <tableColumn id="14167" xr3:uid="{9E0B21FC-1DDA-4EA7-B5D9-406F14A1C6A4}" name="Column14167"/>
    <tableColumn id="14168" xr3:uid="{BBBF6C0A-8378-49D6-9B7C-A4C6C3397E15}" name="Column14168"/>
    <tableColumn id="14169" xr3:uid="{EDEE1563-0A1A-4ED6-B2B0-12A003D35D47}" name="Column14169"/>
    <tableColumn id="14170" xr3:uid="{99120AB0-755B-46A0-954B-1822E89664B8}" name="Column14170"/>
    <tableColumn id="14171" xr3:uid="{9ED153F8-CD3A-4281-9FAE-FEDC82E6EFBA}" name="Column14171"/>
    <tableColumn id="14172" xr3:uid="{70A21D62-41D9-46F7-924F-43E02B8CFC5A}" name="Column14172"/>
    <tableColumn id="14173" xr3:uid="{3106CFA2-5267-4FE0-85FC-060D14628BD9}" name="Column14173"/>
    <tableColumn id="14174" xr3:uid="{1658123B-D811-41B7-A3FD-C596C490A787}" name="Column14174"/>
    <tableColumn id="14175" xr3:uid="{33EB0812-B97C-4493-BEDC-2D7D95B8076C}" name="Column14175"/>
    <tableColumn id="14176" xr3:uid="{9AE3CA92-9FA5-4708-B40C-96A3B0FC96E4}" name="Column14176"/>
    <tableColumn id="14177" xr3:uid="{F5F2DFEC-790C-4364-80D9-795C3B5779E6}" name="Column14177"/>
    <tableColumn id="14178" xr3:uid="{2946DF06-C11A-4A52-83B4-BC2DFD1B6291}" name="Column14178"/>
    <tableColumn id="14179" xr3:uid="{B08CFD17-844D-4876-95EF-EE53C90CB862}" name="Column14179"/>
    <tableColumn id="14180" xr3:uid="{0488BA8E-4EE3-4690-A1DA-898066542FD0}" name="Column14180"/>
    <tableColumn id="14181" xr3:uid="{D4D1503B-7C56-411F-8178-1561DA49B029}" name="Column14181"/>
    <tableColumn id="14182" xr3:uid="{2761321E-DA2D-4172-9486-833311F9FD5C}" name="Column14182"/>
    <tableColumn id="14183" xr3:uid="{F4C49D02-7EFC-4D7C-BF22-54C05116266D}" name="Column14183"/>
    <tableColumn id="14184" xr3:uid="{E05D1233-6BAF-4F4E-A2F6-A299A7F74197}" name="Column14184"/>
    <tableColumn id="14185" xr3:uid="{F1965AA3-22BE-4DC7-9B07-15FB0871D834}" name="Column14185"/>
    <tableColumn id="14186" xr3:uid="{05A7F615-F868-4EF0-A61D-550255C46088}" name="Column14186"/>
    <tableColumn id="14187" xr3:uid="{64E57664-AA58-462A-8482-2922CDB47E50}" name="Column14187"/>
    <tableColumn id="14188" xr3:uid="{6B430CEB-F74D-4271-AAED-65224F5D1AFF}" name="Column14188"/>
    <tableColumn id="14189" xr3:uid="{B0605489-CBA5-47FE-97D5-91DFB0998204}" name="Column14189"/>
    <tableColumn id="14190" xr3:uid="{50E3E758-0672-4D45-878F-E66103648379}" name="Column14190"/>
    <tableColumn id="14191" xr3:uid="{CB04E62B-444C-4948-932C-7B3F49480608}" name="Column14191"/>
    <tableColumn id="14192" xr3:uid="{7821FDD2-BEA6-4082-9C4E-9012775AFE76}" name="Column14192"/>
    <tableColumn id="14193" xr3:uid="{3AE66550-550B-4C7C-86F9-F6582FEF202A}" name="Column14193"/>
    <tableColumn id="14194" xr3:uid="{48D66AB6-898F-4F0B-9018-4AC6FDCC4CAD}" name="Column14194"/>
    <tableColumn id="14195" xr3:uid="{F0C0A411-F5A4-4EE6-A67F-8B49FB70844C}" name="Column14195"/>
    <tableColumn id="14196" xr3:uid="{DDF9707B-0422-4CD4-AB90-6B8D57206E9B}" name="Column14196"/>
    <tableColumn id="14197" xr3:uid="{3652D1EA-26FE-4666-829E-7522B5D262B0}" name="Column14197"/>
    <tableColumn id="14198" xr3:uid="{4B99DF5F-38A1-4127-9D56-5131034FD888}" name="Column14198"/>
    <tableColumn id="14199" xr3:uid="{12F2ACE0-9CFC-4C5C-A3BE-9A47B5B5859D}" name="Column14199"/>
    <tableColumn id="14200" xr3:uid="{D79695FA-6867-4D04-BD7A-2B5B417088C4}" name="Column14200"/>
    <tableColumn id="14201" xr3:uid="{8F7D1BBC-1BB4-455C-94EC-7DF26679741E}" name="Column14201"/>
    <tableColumn id="14202" xr3:uid="{8AE5E679-6F12-45AC-80ED-FC7ACC179D6F}" name="Column14202"/>
    <tableColumn id="14203" xr3:uid="{585EA069-12FF-4C94-93C0-1C84A55299C8}" name="Column14203"/>
    <tableColumn id="14204" xr3:uid="{6761D596-1DBC-4917-BC2F-D6BCF763813E}" name="Column14204"/>
    <tableColumn id="14205" xr3:uid="{A9E23468-CCE9-4972-AF97-2BBA2160212E}" name="Column14205"/>
    <tableColumn id="14206" xr3:uid="{D5ED6FE3-88D0-43AD-8D4E-571FDCD05BAD}" name="Column14206"/>
    <tableColumn id="14207" xr3:uid="{FEACE59A-CCD8-4F2E-913D-4040B1F0FD13}" name="Column14207"/>
    <tableColumn id="14208" xr3:uid="{41689F2C-2FBA-4813-9771-3C0FFBAABFB7}" name="Column14208"/>
    <tableColumn id="14209" xr3:uid="{65307705-71B4-4FC4-8FE3-8841E7429A38}" name="Column14209"/>
    <tableColumn id="14210" xr3:uid="{11F7906F-B109-4CB2-BF44-B79DCEB9D560}" name="Column14210"/>
    <tableColumn id="14211" xr3:uid="{6715D31F-7D92-469E-A8E6-2D85EFAD8615}" name="Column14211"/>
    <tableColumn id="14212" xr3:uid="{9DACB3B7-2894-42A4-A8CE-F629C2535A46}" name="Column14212"/>
    <tableColumn id="14213" xr3:uid="{55598D69-F069-4A2A-9FC5-EC83159811CD}" name="Column14213"/>
    <tableColumn id="14214" xr3:uid="{CC3B63E5-6D6F-4A54-80B0-5A98287402BB}" name="Column14214"/>
    <tableColumn id="14215" xr3:uid="{67FAD5E6-D9CB-47DA-9F88-A4D473811ABC}" name="Column14215"/>
    <tableColumn id="14216" xr3:uid="{4A62F5D4-FE00-40B1-9852-83E3635BD695}" name="Column14216"/>
    <tableColumn id="14217" xr3:uid="{07E99D61-E302-4AE7-A16C-8537BB1ACBC5}" name="Column14217"/>
    <tableColumn id="14218" xr3:uid="{1B3B2975-E142-4962-83C3-BB04CCB4FC18}" name="Column14218"/>
    <tableColumn id="14219" xr3:uid="{9D17C9AF-D9CB-4C5B-9942-AC58D34A9BD1}" name="Column14219"/>
    <tableColumn id="14220" xr3:uid="{2CF6A823-4164-49F8-B24F-197BCA8DDDBA}" name="Column14220"/>
    <tableColumn id="14221" xr3:uid="{814BBCEA-A25D-41D6-B188-5F58281053CE}" name="Column14221"/>
    <tableColumn id="14222" xr3:uid="{4328E470-FC59-4C5A-B9B0-25F606E57FBE}" name="Column14222"/>
    <tableColumn id="14223" xr3:uid="{8A77394B-5EF4-4275-B5FD-A925C66B1D8A}" name="Column14223"/>
    <tableColumn id="14224" xr3:uid="{2FC55D23-1EAC-4414-B038-7BDBF67FF235}" name="Column14224"/>
    <tableColumn id="14225" xr3:uid="{47C827DA-A5A1-45F8-B7EF-8C2E530F1BB0}" name="Column14225"/>
    <tableColumn id="14226" xr3:uid="{57072A3D-02DD-446C-ACBB-026075F74938}" name="Column14226"/>
    <tableColumn id="14227" xr3:uid="{29686D75-FB76-4118-A729-5A5725F30CC0}" name="Column14227"/>
    <tableColumn id="14228" xr3:uid="{2E85179D-3EE7-4CA2-A4BB-A3D461D0F039}" name="Column14228"/>
    <tableColumn id="14229" xr3:uid="{576811BE-F41C-416A-8E68-74B391BC105C}" name="Column14229"/>
    <tableColumn id="14230" xr3:uid="{B7AFC9FF-4AAE-4DCB-BA7F-6D755DBD11FC}" name="Column14230"/>
    <tableColumn id="14231" xr3:uid="{1104CAD6-9B40-41CF-B317-601EB23DB1F4}" name="Column14231"/>
    <tableColumn id="14232" xr3:uid="{427DCE87-8714-4948-B425-51D969EB891F}" name="Column14232"/>
    <tableColumn id="14233" xr3:uid="{1F2FBCE9-28C9-4EF1-B844-1E96161FC2FC}" name="Column14233"/>
    <tableColumn id="14234" xr3:uid="{826B4D66-26F2-480E-8608-A016E6546FE9}" name="Column14234"/>
    <tableColumn id="14235" xr3:uid="{45B93BD2-381D-4224-8B26-846276CB282D}" name="Column14235"/>
    <tableColumn id="14236" xr3:uid="{C671DC55-1EE2-44D6-A2B1-D50A084F404B}" name="Column14236"/>
    <tableColumn id="14237" xr3:uid="{A078AF23-0B38-404C-AA4F-DC4A3E0BF303}" name="Column14237"/>
    <tableColumn id="14238" xr3:uid="{A87E10C3-D251-4CEC-AA44-ABA1C9DEC17B}" name="Column14238"/>
    <tableColumn id="14239" xr3:uid="{D46DF083-5CE4-45A6-AC15-FD456FD0ECCB}" name="Column14239"/>
    <tableColumn id="14240" xr3:uid="{DA163577-79D7-41DD-AC40-49470618E70C}" name="Column14240"/>
    <tableColumn id="14241" xr3:uid="{5E9AE03F-603A-48BC-A1CC-2EC144136AB6}" name="Column14241"/>
    <tableColumn id="14242" xr3:uid="{A98EAF1F-D85E-4DFA-99E3-3018E2886A8F}" name="Column14242"/>
    <tableColumn id="14243" xr3:uid="{035688AB-7E45-4389-BA21-7BAA81763352}" name="Column14243"/>
    <tableColumn id="14244" xr3:uid="{E26A599A-B27C-4F8B-8B92-05552A5634FA}" name="Column14244"/>
    <tableColumn id="14245" xr3:uid="{8D38352E-BAA7-4259-8C1F-EA2EAA58DF24}" name="Column14245"/>
    <tableColumn id="14246" xr3:uid="{3297EE8F-EF4B-4E99-8E3B-A291828C49BA}" name="Column14246"/>
    <tableColumn id="14247" xr3:uid="{02E867C9-64B9-4A60-B548-A7C0A4DD37AB}" name="Column14247"/>
    <tableColumn id="14248" xr3:uid="{9080F3A2-DD44-49B3-8892-6713263B079C}" name="Column14248"/>
    <tableColumn id="14249" xr3:uid="{9917A1DF-F0F3-4A7B-9AB3-F30C10875520}" name="Column14249"/>
    <tableColumn id="14250" xr3:uid="{FA15DEB9-EDC4-44D1-B49E-AAB89452731E}" name="Column14250"/>
    <tableColumn id="14251" xr3:uid="{FE4A186F-CB31-45BE-9A41-4D297FA59683}" name="Column14251"/>
    <tableColumn id="14252" xr3:uid="{44914B17-AF51-47D4-AF8D-BAA70456AD58}" name="Column14252"/>
    <tableColumn id="14253" xr3:uid="{8B59FE6B-689D-43E6-84DB-B106F37B3EBA}" name="Column14253"/>
    <tableColumn id="14254" xr3:uid="{A80F0A06-5B55-4EC5-ABDB-4219ACDEDF15}" name="Column14254"/>
    <tableColumn id="14255" xr3:uid="{2F3726B0-B072-42FD-983B-C618454FA27C}" name="Column14255"/>
    <tableColumn id="14256" xr3:uid="{D20CF951-B8FF-4327-BB71-A79C3B7D6551}" name="Column14256"/>
    <tableColumn id="14257" xr3:uid="{D9FEE645-C676-4358-84C5-D7F6BD0EAB05}" name="Column14257"/>
    <tableColumn id="14258" xr3:uid="{5C3705C2-866B-4474-BA85-0C29F6534376}" name="Column14258"/>
    <tableColumn id="14259" xr3:uid="{BE8CE60E-C4CE-4385-9CE6-1A886DB558A2}" name="Column14259"/>
    <tableColumn id="14260" xr3:uid="{76512AB3-DE09-481B-BA77-43B9D086D491}" name="Column14260"/>
    <tableColumn id="14261" xr3:uid="{7F017453-1195-486C-B3CF-F5740F0AA638}" name="Column14261"/>
    <tableColumn id="14262" xr3:uid="{56BE6249-6E8B-4ECF-AC38-5CF148570EA2}" name="Column14262"/>
    <tableColumn id="14263" xr3:uid="{7D47BDF2-CBBD-48DC-8B04-31CD95F47436}" name="Column14263"/>
    <tableColumn id="14264" xr3:uid="{1D716339-2DA7-42A5-A7AB-1B184CED9EBA}" name="Column14264"/>
    <tableColumn id="14265" xr3:uid="{D6C68420-25C1-4E2F-8037-609B1E13B623}" name="Column14265"/>
    <tableColumn id="14266" xr3:uid="{D6E47C14-AD6A-48E5-83EA-1172D93D1157}" name="Column14266"/>
    <tableColumn id="14267" xr3:uid="{A0B2F14A-9729-4D8D-AAF6-182C11C922F4}" name="Column14267"/>
    <tableColumn id="14268" xr3:uid="{0696CFDE-25A1-47FE-A565-64CDF8E72B24}" name="Column14268"/>
    <tableColumn id="14269" xr3:uid="{F93FBEBE-16A5-46A6-937E-7A25E34F09A6}" name="Column14269"/>
    <tableColumn id="14270" xr3:uid="{FE79C244-A2AE-40DC-AB5D-C6D908A40045}" name="Column14270"/>
    <tableColumn id="14271" xr3:uid="{3BEF60E8-104D-495D-BB12-671DE5EE041D}" name="Column14271"/>
    <tableColumn id="14272" xr3:uid="{738EBBE5-B1C4-4B6D-9752-FF0C16C7E4CD}" name="Column14272"/>
    <tableColumn id="14273" xr3:uid="{F304E8F6-627C-4F82-8787-0A6B5FD809F3}" name="Column14273"/>
    <tableColumn id="14274" xr3:uid="{81E5F29C-8C3E-4277-801A-9799F2A841E4}" name="Column14274"/>
    <tableColumn id="14275" xr3:uid="{0A514D26-818B-49CF-9C57-4B1F49C75E88}" name="Column14275"/>
    <tableColumn id="14276" xr3:uid="{2403D0D7-DE12-4C26-BC49-AA8E431B9336}" name="Column14276"/>
    <tableColumn id="14277" xr3:uid="{3FEAD8E6-D408-4BAD-9E40-F84730C5E2A3}" name="Column14277"/>
    <tableColumn id="14278" xr3:uid="{CC216497-2D2E-4377-9F6B-27FC19C71751}" name="Column14278"/>
    <tableColumn id="14279" xr3:uid="{8BE6AFF3-CFA3-4FF4-88ED-B42CA839CAF4}" name="Column14279"/>
    <tableColumn id="14280" xr3:uid="{FA7D28F9-9032-431B-AC0B-CADCDD435A6F}" name="Column14280"/>
    <tableColumn id="14281" xr3:uid="{CBE64053-7DEF-417F-B441-039E267479EE}" name="Column14281"/>
    <tableColumn id="14282" xr3:uid="{C14ED3E5-D2F7-4A10-8031-73371BD97125}" name="Column14282"/>
    <tableColumn id="14283" xr3:uid="{E195FE55-6168-4408-91FE-A0E6E753C705}" name="Column14283"/>
    <tableColumn id="14284" xr3:uid="{5DAE43F8-10B5-45FA-8C5A-12AD3D379DAB}" name="Column14284"/>
    <tableColumn id="14285" xr3:uid="{DDBB80AE-FFE6-463F-8BDF-34FBD22F096C}" name="Column14285"/>
    <tableColumn id="14286" xr3:uid="{66FB4CE6-61C6-4A1A-B9AA-2A1BBB9D0731}" name="Column14286"/>
    <tableColumn id="14287" xr3:uid="{ED30B0AC-AF98-45FF-876F-EA26A5EC660E}" name="Column14287"/>
    <tableColumn id="14288" xr3:uid="{C7B0770C-88A4-4604-9AE9-9D6C46BA8CC1}" name="Column14288"/>
    <tableColumn id="14289" xr3:uid="{2C0BFB64-03EC-455D-B3D6-E7422F1F402B}" name="Column14289"/>
    <tableColumn id="14290" xr3:uid="{F8BD4D81-B302-46BD-9449-97FECE6FC3BA}" name="Column14290"/>
    <tableColumn id="14291" xr3:uid="{772BAD34-4EB0-4FA3-82EB-48CEA6D575E1}" name="Column14291"/>
    <tableColumn id="14292" xr3:uid="{222108B6-137B-493C-82DA-BE0A3EE59ACE}" name="Column14292"/>
    <tableColumn id="14293" xr3:uid="{EA8C1011-F104-4960-BE03-10C89ABD3F9C}" name="Column14293"/>
    <tableColumn id="14294" xr3:uid="{6E6EB756-071A-4BF6-8BC8-D312520ADAB9}" name="Column14294"/>
    <tableColumn id="14295" xr3:uid="{CE047388-3988-4D87-8BB3-204066B325FE}" name="Column14295"/>
    <tableColumn id="14296" xr3:uid="{5FC53471-873A-427E-BB56-728CEC5ACFFD}" name="Column14296"/>
    <tableColumn id="14297" xr3:uid="{E6D1ACE8-7F63-4D7B-B3FE-694B8B322802}" name="Column14297"/>
    <tableColumn id="14298" xr3:uid="{38D93D4D-D878-4216-969E-7A6EECD6F0C4}" name="Column14298"/>
    <tableColumn id="14299" xr3:uid="{7BF13CD5-A41F-4D76-A3B1-0C3944736EA8}" name="Column14299"/>
    <tableColumn id="14300" xr3:uid="{FCFE0FD1-6C08-45C5-801D-2B6590F611E4}" name="Column14300"/>
    <tableColumn id="14301" xr3:uid="{9A8AB971-17FA-48BA-ABD2-4040C3CD3EC4}" name="Column14301"/>
    <tableColumn id="14302" xr3:uid="{2DD2A3D7-862A-4042-9050-2B58FE4D648C}" name="Column14302"/>
    <tableColumn id="14303" xr3:uid="{579248FD-0F6C-461D-BDFF-FD3B89794756}" name="Column14303"/>
    <tableColumn id="14304" xr3:uid="{8F71B745-9464-420C-BCA8-B325ECD14168}" name="Column14304"/>
    <tableColumn id="14305" xr3:uid="{F794727E-232C-41FB-A307-1937DECE0CE5}" name="Column14305"/>
    <tableColumn id="14306" xr3:uid="{1B0F3679-6B7A-422A-9811-8E1455430B99}" name="Column14306"/>
    <tableColumn id="14307" xr3:uid="{84347C91-392A-4222-A1C6-3BE795C59FE4}" name="Column14307"/>
    <tableColumn id="14308" xr3:uid="{4CC6BE87-DE56-4A67-B4DC-61A922176361}" name="Column14308"/>
    <tableColumn id="14309" xr3:uid="{30842347-B9F0-4174-A5EE-207C53A50632}" name="Column14309"/>
    <tableColumn id="14310" xr3:uid="{FB3E08C0-1751-40AF-A0A1-8A2FD132494D}" name="Column14310"/>
    <tableColumn id="14311" xr3:uid="{06231BF0-E5F3-4D96-AE45-74CD00119653}" name="Column14311"/>
    <tableColumn id="14312" xr3:uid="{0F7B8A7F-8F81-489A-B7EC-3B4D49284820}" name="Column14312"/>
    <tableColumn id="14313" xr3:uid="{F015FDFD-E84A-495B-A278-8B9381D9F5E0}" name="Column14313"/>
    <tableColumn id="14314" xr3:uid="{DB33EB89-B4DA-408E-9589-A8E309BB873C}" name="Column14314"/>
    <tableColumn id="14315" xr3:uid="{9F9AC6DA-A8EF-4AB1-A120-86F1D84BA51F}" name="Column14315"/>
    <tableColumn id="14316" xr3:uid="{AA959D20-D8E9-4985-B4C0-34F03B6D0048}" name="Column14316"/>
    <tableColumn id="14317" xr3:uid="{BD24B954-4B5D-4045-A95F-D35DFC43CDCE}" name="Column14317"/>
    <tableColumn id="14318" xr3:uid="{FD6898C9-2F13-4698-A8B1-D1211B0AFAF2}" name="Column14318"/>
    <tableColumn id="14319" xr3:uid="{DA4449F3-28C2-4CC5-9501-6E9A39E035CD}" name="Column14319"/>
    <tableColumn id="14320" xr3:uid="{3076CA0D-BBC9-49A4-88FB-1B02AD69346C}" name="Column14320"/>
    <tableColumn id="14321" xr3:uid="{8BD60BDE-865A-4E12-82C0-434CA66AC45E}" name="Column14321"/>
    <tableColumn id="14322" xr3:uid="{1AFE31A4-5435-449C-9652-1376C2831DBB}" name="Column14322"/>
    <tableColumn id="14323" xr3:uid="{B09087FC-E71A-40D0-888A-A65DCA1BB063}" name="Column14323"/>
    <tableColumn id="14324" xr3:uid="{52055F71-BC57-4F7B-A567-4C430BF057EE}" name="Column14324"/>
    <tableColumn id="14325" xr3:uid="{C3CF5118-624E-49A4-A291-9EF2FF82ACB5}" name="Column14325"/>
    <tableColumn id="14326" xr3:uid="{2064C119-1A64-4956-859B-BA3FDB86BB40}" name="Column14326"/>
    <tableColumn id="14327" xr3:uid="{995DE63A-C74C-40D7-AB39-52617741B1CD}" name="Column14327"/>
    <tableColumn id="14328" xr3:uid="{96B29B4B-47C3-41A9-A1D0-3F87B0B59EEA}" name="Column14328"/>
    <tableColumn id="14329" xr3:uid="{E56DC1D1-0D26-42EC-AC69-ACB6BD4168B7}" name="Column14329"/>
    <tableColumn id="14330" xr3:uid="{6D42D457-70D7-4DEB-BD9B-1BA2BF8ABB4A}" name="Column14330"/>
    <tableColumn id="14331" xr3:uid="{5A9CFECB-1C75-4610-9485-C55B09F83330}" name="Column14331"/>
    <tableColumn id="14332" xr3:uid="{E0582206-9D18-4365-8CB3-B73712B6962C}" name="Column14332"/>
    <tableColumn id="14333" xr3:uid="{715AD322-9B5D-469D-B8FC-1C4E6CA2E0C8}" name="Column14333"/>
    <tableColumn id="14334" xr3:uid="{60C58E2F-EAEB-4ED2-A3C3-179E09CB0E9D}" name="Column14334"/>
    <tableColumn id="14335" xr3:uid="{7E544380-F25D-4D23-8869-54D010A35606}" name="Column14335"/>
    <tableColumn id="14336" xr3:uid="{57ABC214-5D70-4438-9953-C3521249E99C}" name="Column14336"/>
    <tableColumn id="14337" xr3:uid="{E2AF7329-2C8F-48F2-ABCF-4449939EB5A6}" name="Column14337"/>
    <tableColumn id="14338" xr3:uid="{CD9AF550-37FF-4701-89D1-115D8B1DBF82}" name="Column14338"/>
    <tableColumn id="14339" xr3:uid="{49DF18A4-D471-4819-98C8-0EEB95ACBA30}" name="Column14339"/>
    <tableColumn id="14340" xr3:uid="{4115D920-AB10-4E71-906E-3834FD800760}" name="Column14340"/>
    <tableColumn id="14341" xr3:uid="{DB96CB38-89E7-49C0-8324-CD24DA787B5F}" name="Column14341"/>
    <tableColumn id="14342" xr3:uid="{AC5ACD9A-77BD-499F-8B58-DAF6E802ABE3}" name="Column14342"/>
    <tableColumn id="14343" xr3:uid="{938AB470-391F-4AEC-8A5E-FE502B891327}" name="Column14343"/>
    <tableColumn id="14344" xr3:uid="{5B0497A9-1ED4-4F62-94BE-CA2F834E4F20}" name="Column14344"/>
    <tableColumn id="14345" xr3:uid="{968180FA-699F-4F63-81F1-70D9B9B89387}" name="Column14345"/>
    <tableColumn id="14346" xr3:uid="{071E90C9-12FF-40F7-8FD6-E03BD6F531BF}" name="Column14346"/>
    <tableColumn id="14347" xr3:uid="{A81C5187-FC96-451E-BEE3-CE74ADB0843B}" name="Column14347"/>
    <tableColumn id="14348" xr3:uid="{E76E345E-F95F-497E-A940-CE482EA1CB34}" name="Column14348"/>
    <tableColumn id="14349" xr3:uid="{21785DC3-CB2E-4A22-86CD-1A2DBB95A781}" name="Column14349"/>
    <tableColumn id="14350" xr3:uid="{0A88438C-88E2-4A54-8887-75B0C083DC8C}" name="Column14350"/>
    <tableColumn id="14351" xr3:uid="{8B8E4F29-F0E9-4146-A4A7-958912D13BA3}" name="Column14351"/>
    <tableColumn id="14352" xr3:uid="{AA4A069F-8E1E-41D0-8836-22D7842AB87E}" name="Column14352"/>
    <tableColumn id="14353" xr3:uid="{BA8B115F-021A-45BC-AA86-16D1A1180569}" name="Column14353"/>
    <tableColumn id="14354" xr3:uid="{915ABC21-9BBE-4E03-A427-B07BAA8E09BD}" name="Column14354"/>
    <tableColumn id="14355" xr3:uid="{9DA0C216-0D38-4C58-87AD-780072941ABB}" name="Column14355"/>
    <tableColumn id="14356" xr3:uid="{08266E15-6BE2-4953-AE65-B5C5399E7FD2}" name="Column14356"/>
    <tableColumn id="14357" xr3:uid="{F51733FB-86FD-4766-A211-61F9D0315AD2}" name="Column14357"/>
    <tableColumn id="14358" xr3:uid="{8DAD34E2-BBDD-4A62-8FCA-5CF19283328C}" name="Column14358"/>
    <tableColumn id="14359" xr3:uid="{1B73DD3A-3BBB-468D-A899-53C0DE33F183}" name="Column14359"/>
    <tableColumn id="14360" xr3:uid="{24CC5CEA-AE98-41C2-8D18-007C0FC19B7F}" name="Column14360"/>
    <tableColumn id="14361" xr3:uid="{E4F9F677-12CF-4933-8862-7AC8AF8ABAF0}" name="Column14361"/>
    <tableColumn id="14362" xr3:uid="{97901AD1-1DBE-4677-B943-1FB809D07FB4}" name="Column14362"/>
    <tableColumn id="14363" xr3:uid="{450F43FF-9CA7-4324-89A3-D7FC1CD9CB8E}" name="Column14363"/>
    <tableColumn id="14364" xr3:uid="{01F91BFE-4727-4CAD-BA44-AFCB46A4B6DF}" name="Column14364"/>
    <tableColumn id="14365" xr3:uid="{8EFBB7F8-F58D-4682-8679-53CFD9DF9698}" name="Column14365"/>
    <tableColumn id="14366" xr3:uid="{9E234345-AFE1-4A5D-A1BB-AC2E96E6B980}" name="Column14366"/>
    <tableColumn id="14367" xr3:uid="{732439AE-3BB8-4E60-8E13-2B257D7DA019}" name="Column14367"/>
    <tableColumn id="14368" xr3:uid="{5346A767-A1F1-404E-8071-5E6906258176}" name="Column14368"/>
    <tableColumn id="14369" xr3:uid="{7BFB04D6-A53E-40F8-99EA-C459F9B64AD0}" name="Column14369"/>
    <tableColumn id="14370" xr3:uid="{54D02A41-074E-4ED8-B630-F4EF6982151B}" name="Column14370"/>
    <tableColumn id="14371" xr3:uid="{C2C8B505-75BF-489F-8974-00C5209F97CD}" name="Column14371"/>
    <tableColumn id="14372" xr3:uid="{1605AC65-7671-42A9-BB9F-A5DF72EAED2E}" name="Column14372"/>
    <tableColumn id="14373" xr3:uid="{28BAF5D5-5DA5-4698-8184-08CA9D6060D0}" name="Column14373"/>
    <tableColumn id="14374" xr3:uid="{884B5199-5DF8-48F1-8EEF-A405A412228B}" name="Column14374"/>
    <tableColumn id="14375" xr3:uid="{3B90248B-73D1-4A04-9E61-AEA4366DD88C}" name="Column14375"/>
    <tableColumn id="14376" xr3:uid="{07DCAFCE-0ECB-4097-82DA-C518863D48AD}" name="Column14376"/>
    <tableColumn id="14377" xr3:uid="{84C7B76A-1B28-47BC-821F-CF4F052AA8E5}" name="Column14377"/>
    <tableColumn id="14378" xr3:uid="{E4D492CE-164F-4C12-8842-9D7621745C4C}" name="Column14378"/>
    <tableColumn id="14379" xr3:uid="{09E79A5C-D742-4AB2-9FF8-B22206953D50}" name="Column14379"/>
    <tableColumn id="14380" xr3:uid="{438FD783-0B8C-4BB4-A08E-DC74BC4CE307}" name="Column14380"/>
    <tableColumn id="14381" xr3:uid="{720B7751-8B5D-4885-B3CB-3CBFC66337E2}" name="Column14381"/>
    <tableColumn id="14382" xr3:uid="{1A1DFF57-EA51-470D-9872-F51707E94A3B}" name="Column14382"/>
    <tableColumn id="14383" xr3:uid="{6DC69061-4D79-435D-A052-D99C795D70C5}" name="Column14383"/>
    <tableColumn id="14384" xr3:uid="{DFB251FD-419B-4233-9742-A6A59A26E087}" name="Column14384"/>
    <tableColumn id="14385" xr3:uid="{3634D557-6852-4BE9-A073-DFC74F5C26A6}" name="Column14385"/>
    <tableColumn id="14386" xr3:uid="{69F3EFA9-36F1-49EC-86B9-7E757A9952BD}" name="Column14386"/>
    <tableColumn id="14387" xr3:uid="{B973BD36-6240-4970-A39C-35A9E3C6E31C}" name="Column14387"/>
    <tableColumn id="14388" xr3:uid="{D4DDAB6D-A6A0-48BC-A787-E1B24149B777}" name="Column14388"/>
    <tableColumn id="14389" xr3:uid="{8D8744E1-EFB5-4711-941E-6EAC9DA5778A}" name="Column14389"/>
    <tableColumn id="14390" xr3:uid="{04214F14-26FE-4189-A0C7-C0A1EBC3C748}" name="Column14390"/>
    <tableColumn id="14391" xr3:uid="{6019DCD1-ED6C-4D42-8D32-C312895937CF}" name="Column14391"/>
    <tableColumn id="14392" xr3:uid="{3D61D3ED-6590-43A4-A7AC-2D50262E2081}" name="Column14392"/>
    <tableColumn id="14393" xr3:uid="{84E3B771-43C7-4D74-80EE-2083B72CA1A8}" name="Column14393"/>
    <tableColumn id="14394" xr3:uid="{FBE81D5B-2E53-4710-9FC6-B996D2D73B16}" name="Column14394"/>
    <tableColumn id="14395" xr3:uid="{42CA1FC2-5AFF-4543-BBF9-031830A5DB8D}" name="Column14395"/>
    <tableColumn id="14396" xr3:uid="{6408DDA1-24F8-45B4-8AEE-8BEEE1D7CF02}" name="Column14396"/>
    <tableColumn id="14397" xr3:uid="{D7A57BD2-F6B9-4868-B6A4-64598DB6E6D0}" name="Column14397"/>
    <tableColumn id="14398" xr3:uid="{149C42FB-480C-4B8A-9309-14CFCCA9F0C4}" name="Column14398"/>
    <tableColumn id="14399" xr3:uid="{92EC948D-5826-49A4-87D1-B868F8FD84EF}" name="Column14399"/>
    <tableColumn id="14400" xr3:uid="{631B9842-BB15-4C2C-999E-7A308B935FDE}" name="Column14400"/>
    <tableColumn id="14401" xr3:uid="{85E5B7F6-99D8-425D-ADAC-FF9CB14F1CC9}" name="Column14401"/>
    <tableColumn id="14402" xr3:uid="{667BF880-0550-4570-B201-71BDBF89C032}" name="Column14402"/>
    <tableColumn id="14403" xr3:uid="{8C76666E-BB28-46BE-9753-8F00D78BC58C}" name="Column14403"/>
    <tableColumn id="14404" xr3:uid="{FA0DD9F3-6A43-4152-8560-A5BA07AD2E45}" name="Column14404"/>
    <tableColumn id="14405" xr3:uid="{1E7046CE-FCC6-4925-901A-94762E848867}" name="Column14405"/>
    <tableColumn id="14406" xr3:uid="{96E507B5-5634-4EA1-8A5E-C316BCF5A8B9}" name="Column14406"/>
    <tableColumn id="14407" xr3:uid="{399B739D-322A-4DF3-96E7-C92087CB830B}" name="Column14407"/>
    <tableColumn id="14408" xr3:uid="{DBF79263-C196-4310-9C75-C810B3FE0FC0}" name="Column14408"/>
    <tableColumn id="14409" xr3:uid="{DA947B51-96E7-460E-97E0-AAE973576FFC}" name="Column14409"/>
    <tableColumn id="14410" xr3:uid="{6C4ADAFE-8081-4540-8838-AEC6B2DD4C52}" name="Column14410"/>
    <tableColumn id="14411" xr3:uid="{81CCF629-B3E4-4D50-B35E-472DA1C47538}" name="Column14411"/>
    <tableColumn id="14412" xr3:uid="{56800D5B-F014-4CC7-9189-3460B928BC4A}" name="Column14412"/>
    <tableColumn id="14413" xr3:uid="{BEDA1B0C-0AEF-4949-802F-6C168CDB491F}" name="Column14413"/>
    <tableColumn id="14414" xr3:uid="{39C03668-F0AA-4117-AE75-415FEBF8970D}" name="Column14414"/>
    <tableColumn id="14415" xr3:uid="{7DC357FB-14DB-4F2D-A016-83DE7FFD10A1}" name="Column14415"/>
    <tableColumn id="14416" xr3:uid="{9AA5D5D3-8884-4577-953E-EC12FEDA4B0E}" name="Column14416"/>
    <tableColumn id="14417" xr3:uid="{25F0FFA0-1266-4E14-BB4F-64ACA63AC971}" name="Column14417"/>
    <tableColumn id="14418" xr3:uid="{537C3D84-7217-4F73-A90A-D223C2401F6D}" name="Column14418"/>
    <tableColumn id="14419" xr3:uid="{71CCFFF7-0253-4325-860A-F73D9F607B47}" name="Column14419"/>
    <tableColumn id="14420" xr3:uid="{B808C1F3-1D3E-4F06-9379-F1BBAFE899B8}" name="Column14420"/>
    <tableColumn id="14421" xr3:uid="{FD106DCB-F4D7-44E1-AE0C-0E163F6BB6B6}" name="Column14421"/>
    <tableColumn id="14422" xr3:uid="{6FA4C508-D295-400D-8B43-4499F730B7EB}" name="Column14422"/>
    <tableColumn id="14423" xr3:uid="{19E63F5E-936A-4A93-88C9-C210A612DB34}" name="Column14423"/>
    <tableColumn id="14424" xr3:uid="{0D46F2F4-D707-4326-A14F-3B6409A243E5}" name="Column14424"/>
    <tableColumn id="14425" xr3:uid="{B196C282-27EE-46EF-B1A6-EB40F2E51C39}" name="Column14425"/>
    <tableColumn id="14426" xr3:uid="{7725915E-380E-4CC8-B490-98D923C1D9A6}" name="Column14426"/>
    <tableColumn id="14427" xr3:uid="{97E1EC02-A6A7-4EF2-A3AB-3CA6F62D3F2F}" name="Column14427"/>
    <tableColumn id="14428" xr3:uid="{9214ACE0-1F24-472A-84EB-8E10F395D197}" name="Column14428"/>
    <tableColumn id="14429" xr3:uid="{3EE6F6FB-289B-47F5-91FB-A2C62882FD28}" name="Column14429"/>
    <tableColumn id="14430" xr3:uid="{5D15D59F-4F51-4DD7-A633-E3BDA687BF90}" name="Column14430"/>
    <tableColumn id="14431" xr3:uid="{9402DCC5-A898-494B-8FA9-F51B74DEFF0D}" name="Column14431"/>
    <tableColumn id="14432" xr3:uid="{BB460463-EE64-4A55-BC23-EBADC770E3E3}" name="Column14432"/>
    <tableColumn id="14433" xr3:uid="{034E68C4-410B-426B-B40D-464F5D5C534F}" name="Column14433"/>
    <tableColumn id="14434" xr3:uid="{CD4B6746-0F5A-48D3-B8CD-7731E5922ABD}" name="Column14434"/>
    <tableColumn id="14435" xr3:uid="{246C190E-886C-4832-A625-BBBC4CA52038}" name="Column14435"/>
    <tableColumn id="14436" xr3:uid="{B661593C-2233-43E3-855D-EF38CC4FD8FB}" name="Column14436"/>
    <tableColumn id="14437" xr3:uid="{E42A4E21-CA4B-4852-A921-E22746F12454}" name="Column14437"/>
    <tableColumn id="14438" xr3:uid="{8AD1224A-912E-481F-A448-826C42C3A30D}" name="Column14438"/>
    <tableColumn id="14439" xr3:uid="{9C2835FC-BFBB-4C2E-A831-B75295D3E795}" name="Column14439"/>
    <tableColumn id="14440" xr3:uid="{A3EB21D6-6D6E-42A4-96E6-41926859D2CC}" name="Column14440"/>
    <tableColumn id="14441" xr3:uid="{2CF4A5AD-748E-40F0-BAE9-BCEC09521CDD}" name="Column14441"/>
    <tableColumn id="14442" xr3:uid="{D753D229-6F4E-443A-95FF-58E7C79B9797}" name="Column14442"/>
    <tableColumn id="14443" xr3:uid="{0ECAEA14-F14E-45B8-9010-C8C6EBE271C2}" name="Column14443"/>
    <tableColumn id="14444" xr3:uid="{D548F3F5-F034-484B-915B-01036F4D96E2}" name="Column14444"/>
    <tableColumn id="14445" xr3:uid="{FCD667AE-7996-41ED-9599-B86A95E66507}" name="Column14445"/>
    <tableColumn id="14446" xr3:uid="{D4ECF04A-1021-4C23-A508-CCE047FEC75F}" name="Column14446"/>
    <tableColumn id="14447" xr3:uid="{000A87B9-47DB-47EE-A204-CFE4928067C0}" name="Column14447"/>
    <tableColumn id="14448" xr3:uid="{44E28995-B240-40E4-9DC6-A73B4339361E}" name="Column14448"/>
    <tableColumn id="14449" xr3:uid="{194A617A-4574-4D5F-A27F-7D93C80BA6B0}" name="Column14449"/>
    <tableColumn id="14450" xr3:uid="{45F7B686-7566-4AE2-BE34-AC8E7F22A894}" name="Column14450"/>
    <tableColumn id="14451" xr3:uid="{A9476240-6E9D-4705-865C-85965DFA2A32}" name="Column14451"/>
    <tableColumn id="14452" xr3:uid="{78437120-2E3E-4F72-9084-8A29ACC8CE0A}" name="Column14452"/>
    <tableColumn id="14453" xr3:uid="{C2A19761-7A44-47FE-9087-98AD55EA3C44}" name="Column14453"/>
    <tableColumn id="14454" xr3:uid="{EB64D1DF-1BEB-4C69-B3E6-D74784E224ED}" name="Column14454"/>
    <tableColumn id="14455" xr3:uid="{F9F6C19A-BA16-4F4B-A3C9-31B70BEA2C14}" name="Column14455"/>
    <tableColumn id="14456" xr3:uid="{A827E15D-A466-47B8-A034-0AEDBE0D1194}" name="Column14456"/>
    <tableColumn id="14457" xr3:uid="{3CBE225F-C2C1-4E8C-9EAC-F60A61776532}" name="Column14457"/>
    <tableColumn id="14458" xr3:uid="{A85D2269-2463-4F8E-B633-4766CC15F9BC}" name="Column14458"/>
    <tableColumn id="14459" xr3:uid="{FA89C612-904B-4338-803D-D6C9BD5EA0D8}" name="Column14459"/>
    <tableColumn id="14460" xr3:uid="{E24D16CA-D7DC-4A9D-89EA-9B376D4553BE}" name="Column14460"/>
    <tableColumn id="14461" xr3:uid="{F0AEB021-C26D-4E4F-8052-7CC9DA8A4F8A}" name="Column14461"/>
    <tableColumn id="14462" xr3:uid="{C987319F-4D37-4721-9848-39038022A0F5}" name="Column14462"/>
    <tableColumn id="14463" xr3:uid="{9A8957BC-3EB1-4EE4-91AD-24B2C2AD1B94}" name="Column14463"/>
    <tableColumn id="14464" xr3:uid="{93077784-26D6-4518-A216-CE11DFE6C31B}" name="Column14464"/>
    <tableColumn id="14465" xr3:uid="{932890C6-1C16-4FB6-B888-7230AC243315}" name="Column14465"/>
    <tableColumn id="14466" xr3:uid="{1C813C5B-5848-41FD-AD87-025199F8C7FB}" name="Column14466"/>
    <tableColumn id="14467" xr3:uid="{A65B01F1-27C2-4DAF-B02E-5BB628C40431}" name="Column14467"/>
    <tableColumn id="14468" xr3:uid="{F622E20D-B344-4CC4-9F74-AAB959E34963}" name="Column14468"/>
    <tableColumn id="14469" xr3:uid="{3C30D77C-A4BA-47BC-8CEF-C712A3D1B495}" name="Column14469"/>
    <tableColumn id="14470" xr3:uid="{1B5C7F3F-5E86-4E0A-A97F-6FE45EA949AA}" name="Column14470"/>
    <tableColumn id="14471" xr3:uid="{3EEA8D4B-60FA-4329-B2C1-2600786F9EC5}" name="Column14471"/>
    <tableColumn id="14472" xr3:uid="{2D0EA5E6-C46B-4574-9AF1-CD7E5E05F0A6}" name="Column14472"/>
    <tableColumn id="14473" xr3:uid="{6957E2EA-8363-4262-A038-2A6770388FE4}" name="Column14473"/>
    <tableColumn id="14474" xr3:uid="{FFEBF952-D423-4526-A366-3E4ACFFB4AFA}" name="Column14474"/>
    <tableColumn id="14475" xr3:uid="{23B405CC-BFEA-47BA-A8C6-D840AD913BC6}" name="Column14475"/>
    <tableColumn id="14476" xr3:uid="{46D63454-33EF-4421-9498-0E1DCADE9E39}" name="Column14476"/>
    <tableColumn id="14477" xr3:uid="{0B75605F-A9F0-4B04-BC01-4DDB50C671AB}" name="Column14477"/>
    <tableColumn id="14478" xr3:uid="{26AE19F8-C2F3-4B9A-9739-3EB927057E2D}" name="Column14478"/>
    <tableColumn id="14479" xr3:uid="{C8011134-F3FE-4445-8DB1-F064770FC8C7}" name="Column14479"/>
    <tableColumn id="14480" xr3:uid="{5F3FC6FD-9F13-46C7-9840-1A38E1CD862F}" name="Column14480"/>
    <tableColumn id="14481" xr3:uid="{9EF3DF33-4939-4FD7-9B13-FB9AAF3C89B1}" name="Column14481"/>
    <tableColumn id="14482" xr3:uid="{ABBB210D-937D-4975-89D5-2AF33D9FEB6C}" name="Column14482"/>
    <tableColumn id="14483" xr3:uid="{CE93217D-4C0C-478C-A0DB-94A3CFD2CB2D}" name="Column14483"/>
    <tableColumn id="14484" xr3:uid="{40084D15-6765-4EFC-B2BD-7238A42365C7}" name="Column14484"/>
    <tableColumn id="14485" xr3:uid="{0D86B592-F086-40C9-A61B-8E1B95DEBB88}" name="Column14485"/>
    <tableColumn id="14486" xr3:uid="{07B50ACE-5357-4A52-968B-506B6DFD053E}" name="Column14486"/>
    <tableColumn id="14487" xr3:uid="{3217EED4-B89C-4320-A119-A3D17A8D24DC}" name="Column14487"/>
    <tableColumn id="14488" xr3:uid="{A443FDFB-D8ED-4A0F-BEF8-9194AA5BD377}" name="Column14488"/>
    <tableColumn id="14489" xr3:uid="{3CDCAFE6-AD78-4B8D-9CE2-18F37A6EFFB3}" name="Column14489"/>
    <tableColumn id="14490" xr3:uid="{E1C63BBB-694B-432E-A327-A63BD032A267}" name="Column14490"/>
    <tableColumn id="14491" xr3:uid="{A86A4098-D259-44C8-8407-AE8A82BCA7DA}" name="Column14491"/>
    <tableColumn id="14492" xr3:uid="{85BA2ADF-8490-4EB3-9175-25685A23B5D1}" name="Column14492"/>
    <tableColumn id="14493" xr3:uid="{146B9292-901D-4796-AB12-03A7978B7E3C}" name="Column14493"/>
    <tableColumn id="14494" xr3:uid="{84A1E452-37CB-4EA4-AAC0-7FFAB958DA9E}" name="Column14494"/>
    <tableColumn id="14495" xr3:uid="{92C4E8A4-222B-46CA-8A85-806CEAEA0F2F}" name="Column14495"/>
    <tableColumn id="14496" xr3:uid="{1C9644A4-5AB1-4304-8F46-CF09D3FAFF32}" name="Column14496"/>
    <tableColumn id="14497" xr3:uid="{80F6BFC8-CF05-4E98-84D0-1E1EC2702E41}" name="Column14497"/>
    <tableColumn id="14498" xr3:uid="{C1095A28-A2F5-4C04-8E8A-3FA1F7C0A4EF}" name="Column14498"/>
    <tableColumn id="14499" xr3:uid="{D4CF29B1-C989-4345-B80A-3B4798921F33}" name="Column14499"/>
    <tableColumn id="14500" xr3:uid="{1AB08DC0-79DA-4106-9F2C-736BFF9E971E}" name="Column14500"/>
    <tableColumn id="14501" xr3:uid="{908C5DB8-B4FD-44A7-B957-CC776D958487}" name="Column14501"/>
    <tableColumn id="14502" xr3:uid="{9C769C16-F769-4EC5-ABD0-D792D30F4834}" name="Column14502"/>
    <tableColumn id="14503" xr3:uid="{D6A4F8E4-9E55-485E-89CA-FBD8BE3AC5D4}" name="Column14503"/>
    <tableColumn id="14504" xr3:uid="{03AB82C0-9FC1-4F91-95B4-29D154CA8FBA}" name="Column14504"/>
    <tableColumn id="14505" xr3:uid="{18F2A0ED-825E-4193-95CF-3CA435E07D4E}" name="Column14505"/>
    <tableColumn id="14506" xr3:uid="{05B4BDAF-61DC-4F11-A41E-BCCB659AC08D}" name="Column14506"/>
    <tableColumn id="14507" xr3:uid="{6318B505-6050-4D24-9E93-A0ED8A7BC1C0}" name="Column14507"/>
    <tableColumn id="14508" xr3:uid="{DEFC3BA6-A882-4DEA-B7CC-284F161F3FA0}" name="Column14508"/>
    <tableColumn id="14509" xr3:uid="{D15BF74B-2DBD-47A0-BCE4-FBFD08ED06AF}" name="Column14509"/>
    <tableColumn id="14510" xr3:uid="{942B71D8-59DE-4E99-BA57-544DE07B6716}" name="Column14510"/>
    <tableColumn id="14511" xr3:uid="{88F870D3-E04E-4D35-AEC1-A671D87F35B0}" name="Column14511"/>
    <tableColumn id="14512" xr3:uid="{C062AF52-33E1-4534-A527-CCF373803116}" name="Column14512"/>
    <tableColumn id="14513" xr3:uid="{F3F09F21-E632-41B7-9978-5CBE6BFFB1D2}" name="Column14513"/>
    <tableColumn id="14514" xr3:uid="{4A12F191-6D4C-4CAD-BA05-9358FF5FEBF6}" name="Column14514"/>
    <tableColumn id="14515" xr3:uid="{F06ADC35-8002-41F8-80CC-3E141C4CC997}" name="Column14515"/>
    <tableColumn id="14516" xr3:uid="{70F7CFC1-1B7B-4E23-8773-32520B97ACA9}" name="Column14516"/>
    <tableColumn id="14517" xr3:uid="{983A27DA-D77D-415C-B544-A9AD3B9E9827}" name="Column14517"/>
    <tableColumn id="14518" xr3:uid="{A9EC69FC-48E9-45F8-B0B1-8216FBEE30F7}" name="Column14518"/>
    <tableColumn id="14519" xr3:uid="{CD43A535-BEF8-4831-B70A-94ECD4BECD7E}" name="Column14519"/>
    <tableColumn id="14520" xr3:uid="{A6826646-8DA9-4525-9816-6E8F9B69973B}" name="Column14520"/>
    <tableColumn id="14521" xr3:uid="{112EA290-CC1E-4E26-BC49-EBA173F3682B}" name="Column14521"/>
    <tableColumn id="14522" xr3:uid="{963E1659-D9FF-44C8-BD10-79AD0B863944}" name="Column14522"/>
    <tableColumn id="14523" xr3:uid="{EC494D0C-0114-4154-B988-B89949BBFEF7}" name="Column14523"/>
    <tableColumn id="14524" xr3:uid="{1345E982-0D57-43E2-97B9-0D58C2631A9D}" name="Column14524"/>
    <tableColumn id="14525" xr3:uid="{BC26D5BB-A361-4B23-A5ED-E34C3186054B}" name="Column14525"/>
    <tableColumn id="14526" xr3:uid="{963C0379-7A18-469E-A0B1-DBBA1287F2C2}" name="Column14526"/>
    <tableColumn id="14527" xr3:uid="{A369313B-A10D-4BBC-BA8B-AF84F35212B2}" name="Column14527"/>
    <tableColumn id="14528" xr3:uid="{CD306827-5B1A-47B8-8EE6-C3618EA98040}" name="Column14528"/>
    <tableColumn id="14529" xr3:uid="{8C0EBAEF-0C1D-430F-9E3E-5610DE483B92}" name="Column14529"/>
    <tableColumn id="14530" xr3:uid="{F3772533-9D70-44DB-8B00-59948F2EEA4D}" name="Column14530"/>
    <tableColumn id="14531" xr3:uid="{57F31A41-F78A-4A9E-9E81-6ECC8AA2CB92}" name="Column14531"/>
    <tableColumn id="14532" xr3:uid="{E0BB8C1F-68EA-4EE7-8280-5113CA71EC8B}" name="Column14532"/>
    <tableColumn id="14533" xr3:uid="{246FD068-57FB-49A1-AE36-699EEC4155C3}" name="Column14533"/>
    <tableColumn id="14534" xr3:uid="{4F381D6C-BBFB-4209-9DE6-DC4E827FC894}" name="Column14534"/>
    <tableColumn id="14535" xr3:uid="{E0ED6A5F-10DF-4288-B967-D17E9F153DA8}" name="Column14535"/>
    <tableColumn id="14536" xr3:uid="{48377204-E28D-4E40-8122-F120F9FDD816}" name="Column14536"/>
    <tableColumn id="14537" xr3:uid="{C13E99EF-CAEF-4305-8F97-49200FC33FD1}" name="Column14537"/>
    <tableColumn id="14538" xr3:uid="{3F4A73FB-CD0C-4A99-9131-AB7628A0524E}" name="Column14538"/>
    <tableColumn id="14539" xr3:uid="{1F0A3E07-0B5A-409B-BF77-CDE66A2108C3}" name="Column14539"/>
    <tableColumn id="14540" xr3:uid="{FE3E2C36-B6FE-4133-B2E5-E634FE9D5DB9}" name="Column14540"/>
    <tableColumn id="14541" xr3:uid="{8797D54B-7A2A-43A4-B1E9-BA598C896204}" name="Column14541"/>
    <tableColumn id="14542" xr3:uid="{31126CA2-007F-45FA-A3DA-537CA471B223}" name="Column14542"/>
    <tableColumn id="14543" xr3:uid="{51ABFC90-BF8A-4AED-A735-39EA2ADE8ACE}" name="Column14543"/>
    <tableColumn id="14544" xr3:uid="{3FAB9659-0EC0-4EC3-8E2E-06AC25764754}" name="Column14544"/>
    <tableColumn id="14545" xr3:uid="{2D4602EF-57F6-474F-9D47-FBBAE6E70AEE}" name="Column14545"/>
    <tableColumn id="14546" xr3:uid="{C3E01F93-7366-461A-BEE2-461F21E6E8AB}" name="Column14546"/>
    <tableColumn id="14547" xr3:uid="{7C5D1262-3BE1-4388-A303-07E0C5B7DCE7}" name="Column14547"/>
    <tableColumn id="14548" xr3:uid="{15EB66DD-15F5-4242-B9BB-A02DDC9A121D}" name="Column14548"/>
    <tableColumn id="14549" xr3:uid="{471AD772-0624-43C5-8146-912AC452CE7C}" name="Column14549"/>
    <tableColumn id="14550" xr3:uid="{FC7AE690-62E5-47AC-8717-89D9CF2E0131}" name="Column14550"/>
    <tableColumn id="14551" xr3:uid="{7A39792B-CA96-476F-830C-E89CA9E92671}" name="Column14551"/>
    <tableColumn id="14552" xr3:uid="{98B75860-4D26-48A0-BE85-A151B6C10419}" name="Column14552"/>
    <tableColumn id="14553" xr3:uid="{F9E090CF-6A88-4762-AD3B-FE0160E8DD4E}" name="Column14553"/>
    <tableColumn id="14554" xr3:uid="{BBBEA75E-1724-4379-87DA-3D30055B5EC1}" name="Column14554"/>
    <tableColumn id="14555" xr3:uid="{E0B18D90-FD64-4F98-B901-B42F64FF4935}" name="Column14555"/>
    <tableColumn id="14556" xr3:uid="{1801BC2D-DAE6-423B-823F-771EAB2B1AB5}" name="Column14556"/>
    <tableColumn id="14557" xr3:uid="{30FD0E36-6113-40E2-A851-2121EF8C2B95}" name="Column14557"/>
    <tableColumn id="14558" xr3:uid="{3A32F32C-C2D5-4946-B414-B375E0A76E10}" name="Column14558"/>
    <tableColumn id="14559" xr3:uid="{71666E39-2FE9-4B32-B51C-B51E17481F60}" name="Column14559"/>
    <tableColumn id="14560" xr3:uid="{0A6C45DC-7763-42AB-8969-02C0B4980D14}" name="Column14560"/>
    <tableColumn id="14561" xr3:uid="{65BFCEFB-37CF-41BD-9FD2-68A3DF49D22A}" name="Column14561"/>
    <tableColumn id="14562" xr3:uid="{A7197414-69BE-42A5-BAFE-F1000D2DDE5C}" name="Column14562"/>
    <tableColumn id="14563" xr3:uid="{D3A03E01-5CB4-4082-9F32-F3E8E55CBCAA}" name="Column14563"/>
    <tableColumn id="14564" xr3:uid="{7460DBFD-E6B3-4F5D-AA6E-8982431BFD7C}" name="Column14564"/>
    <tableColumn id="14565" xr3:uid="{E3C84598-C526-43F0-8366-22DD5D898169}" name="Column14565"/>
    <tableColumn id="14566" xr3:uid="{32525D78-AEF3-415C-BFAB-698C2A0F3FF8}" name="Column14566"/>
    <tableColumn id="14567" xr3:uid="{D744185A-43C3-4CDF-854A-C32417D83F2A}" name="Column14567"/>
    <tableColumn id="14568" xr3:uid="{41E4CB43-6123-4E1A-9927-7A02264F7786}" name="Column14568"/>
    <tableColumn id="14569" xr3:uid="{AE013CAC-7ADC-4F36-968D-F5BB01B1A110}" name="Column14569"/>
    <tableColumn id="14570" xr3:uid="{990E2964-10E4-481E-BB4A-0D9ED6F4B16C}" name="Column14570"/>
    <tableColumn id="14571" xr3:uid="{CC9B1BE1-9359-4CFB-8FAB-673FE9AAEF2F}" name="Column14571"/>
    <tableColumn id="14572" xr3:uid="{61F7C9AF-F30C-41D3-AD97-322D3DBE6A18}" name="Column14572"/>
    <tableColumn id="14573" xr3:uid="{5E1D4A91-C05B-4F75-A8CF-4EC7CE9CAE28}" name="Column14573"/>
    <tableColumn id="14574" xr3:uid="{EB4CB7E8-53C8-48AA-A03A-83F13CF18EC3}" name="Column14574"/>
    <tableColumn id="14575" xr3:uid="{098EE2C0-8C1A-4624-8324-1D7B2C8AEC18}" name="Column14575"/>
    <tableColumn id="14576" xr3:uid="{75322403-2DA2-4D91-A548-66BA92E1278A}" name="Column14576"/>
    <tableColumn id="14577" xr3:uid="{0CC418EF-A9FF-47F3-BAF9-CC9D8C23C7DA}" name="Column14577"/>
    <tableColumn id="14578" xr3:uid="{A15816F2-AE17-4C00-9827-254F32346AD2}" name="Column14578"/>
    <tableColumn id="14579" xr3:uid="{9CEAD6AB-A4E1-4EA6-A320-39912C180E2D}" name="Column14579"/>
    <tableColumn id="14580" xr3:uid="{FDEBBD98-FA93-42CF-92E1-DCA0BFA4F6DB}" name="Column14580"/>
    <tableColumn id="14581" xr3:uid="{D1305AE8-7AE8-4621-9128-EC273620F0BD}" name="Column14581"/>
    <tableColumn id="14582" xr3:uid="{E4A09FBA-4513-47B6-8C8C-191757392E30}" name="Column14582"/>
    <tableColumn id="14583" xr3:uid="{3DC01BDB-6681-40C3-AC12-D21236697ACF}" name="Column14583"/>
    <tableColumn id="14584" xr3:uid="{A31530DA-5A9E-45FB-89C3-6F05A511411D}" name="Column14584"/>
    <tableColumn id="14585" xr3:uid="{C18A89EB-CCE6-4461-8755-51A350CE28EC}" name="Column14585"/>
    <tableColumn id="14586" xr3:uid="{3D56AAE3-189C-456A-87E4-5617B02666E0}" name="Column14586"/>
    <tableColumn id="14587" xr3:uid="{85FA34BB-6C4B-4FC3-B0B1-1578D2E6CA0A}" name="Column14587"/>
    <tableColumn id="14588" xr3:uid="{F99CA805-8F09-41FC-A498-E285E9E7C94C}" name="Column14588"/>
    <tableColumn id="14589" xr3:uid="{901F509C-3E09-42B6-9945-7CFA425B03F6}" name="Column14589"/>
    <tableColumn id="14590" xr3:uid="{2092879F-2514-487E-A5DD-2BC805E3DFC0}" name="Column14590"/>
    <tableColumn id="14591" xr3:uid="{C00824DD-D32B-4F1A-BA27-7E7F61735F91}" name="Column14591"/>
    <tableColumn id="14592" xr3:uid="{BB68E205-D515-42AD-87DE-6ADB66C99B21}" name="Column14592"/>
    <tableColumn id="14593" xr3:uid="{A69E1398-0528-4FD0-8924-F2B1C8AD6781}" name="Column14593"/>
    <tableColumn id="14594" xr3:uid="{F183D31B-B9EE-48E7-B680-4E4D335B8E44}" name="Column14594"/>
    <tableColumn id="14595" xr3:uid="{A344EAFD-536C-4C2D-A963-0C422EA6B012}" name="Column14595"/>
    <tableColumn id="14596" xr3:uid="{679FCD1C-0AFE-4C1D-B537-4A14B0BFB933}" name="Column14596"/>
    <tableColumn id="14597" xr3:uid="{DA291D63-BFD2-4A03-A8BD-7611C5511832}" name="Column14597"/>
    <tableColumn id="14598" xr3:uid="{AC950373-E39A-4671-A221-FBF2E273020F}" name="Column14598"/>
    <tableColumn id="14599" xr3:uid="{F4315A29-8642-4A15-8445-7DAE56163C90}" name="Column14599"/>
    <tableColumn id="14600" xr3:uid="{3E0718C1-2DA7-46F1-9E97-0EB11DE60F65}" name="Column14600"/>
    <tableColumn id="14601" xr3:uid="{4D7C9508-D3E3-4FDE-B1AF-C49A453C05DD}" name="Column14601"/>
    <tableColumn id="14602" xr3:uid="{50843FF3-3A44-46D2-9042-531C7F2CAFA3}" name="Column14602"/>
    <tableColumn id="14603" xr3:uid="{A977FB70-BFCA-4D67-9235-B52A1367678E}" name="Column14603"/>
    <tableColumn id="14604" xr3:uid="{839DD9C4-3053-4740-BDB9-6F4B5652677B}" name="Column14604"/>
    <tableColumn id="14605" xr3:uid="{4F0E19A4-0D99-4BFA-AB21-A6179A2B7C46}" name="Column14605"/>
    <tableColumn id="14606" xr3:uid="{E892906A-0198-441E-8046-00B8C897BC1F}" name="Column14606"/>
    <tableColumn id="14607" xr3:uid="{CD7DC127-69EA-4453-A6EC-AFF5E8835F10}" name="Column14607"/>
    <tableColumn id="14608" xr3:uid="{BFBD8A73-A17A-4BAE-A73E-80C6BF889538}" name="Column14608"/>
    <tableColumn id="14609" xr3:uid="{F3277929-3200-4429-875F-804FCECC6625}" name="Column14609"/>
    <tableColumn id="14610" xr3:uid="{E5C9D0BC-DD39-4983-93BE-630F9AEF521F}" name="Column14610"/>
    <tableColumn id="14611" xr3:uid="{13516558-F88B-40C6-9DE9-9FF4E8857CBC}" name="Column14611"/>
    <tableColumn id="14612" xr3:uid="{C1B68588-E74C-48C6-AEF0-84AD615CBBD0}" name="Column14612"/>
    <tableColumn id="14613" xr3:uid="{48BED9BB-A090-4CEE-A730-E4386B50A1F9}" name="Column14613"/>
    <tableColumn id="14614" xr3:uid="{80BB77A0-EDC4-4356-893C-D16522001827}" name="Column14614"/>
    <tableColumn id="14615" xr3:uid="{9E0F5B9E-3414-4739-9717-13E1E1D96A9B}" name="Column14615"/>
    <tableColumn id="14616" xr3:uid="{A57E8B50-72A1-42E9-97E1-77AB01DE6772}" name="Column14616"/>
    <tableColumn id="14617" xr3:uid="{50450AB1-2B5A-4F71-AEEF-0922435440BB}" name="Column14617"/>
    <tableColumn id="14618" xr3:uid="{B386BFAE-A5FB-4E3D-85EA-D8F841A376B3}" name="Column14618"/>
    <tableColumn id="14619" xr3:uid="{88100624-D592-4144-8F00-B39224E4A6EC}" name="Column14619"/>
    <tableColumn id="14620" xr3:uid="{7AA60F5F-7F57-4D3D-BBB0-8DD0CC56A0FE}" name="Column14620"/>
    <tableColumn id="14621" xr3:uid="{4399060D-7F62-472D-8C87-CC4304E2ACA0}" name="Column14621"/>
    <tableColumn id="14622" xr3:uid="{078B8AAE-76CC-4DE1-922A-1972C8EC3F0F}" name="Column14622"/>
    <tableColumn id="14623" xr3:uid="{5A39460B-6D85-4C82-ACE0-A88CCDA4DA93}" name="Column14623"/>
    <tableColumn id="14624" xr3:uid="{CA1110F8-9D7D-4C80-9F8C-EF52FDDCDD93}" name="Column14624"/>
    <tableColumn id="14625" xr3:uid="{81BEC0A1-3F01-4962-9A43-E41050020A1D}" name="Column14625"/>
    <tableColumn id="14626" xr3:uid="{74FBAB3A-0BFD-4CA2-BF8E-6112A8EC206C}" name="Column14626"/>
    <tableColumn id="14627" xr3:uid="{32432F8B-DA88-4BEF-B1E3-E8F4DDFE83B8}" name="Column14627"/>
    <tableColumn id="14628" xr3:uid="{4231C79A-F19B-4C2D-8F08-9A9E5623567C}" name="Column14628"/>
    <tableColumn id="14629" xr3:uid="{6E5FF3BD-8A23-4D5C-A45E-1F097D6BE2EF}" name="Column14629"/>
    <tableColumn id="14630" xr3:uid="{35A233E8-4143-4ABB-B373-4CCE166023D6}" name="Column14630"/>
    <tableColumn id="14631" xr3:uid="{8FAEBBF3-714B-49DA-80A8-5F2E97B13AAF}" name="Column14631"/>
    <tableColumn id="14632" xr3:uid="{47E97855-8259-415B-95C0-F2514699EC1C}" name="Column14632"/>
    <tableColumn id="14633" xr3:uid="{22D0A293-0342-4F64-B632-0B79EA6C3813}" name="Column14633"/>
    <tableColumn id="14634" xr3:uid="{E5B38C50-840F-40E8-867B-F31212101D1B}" name="Column14634"/>
    <tableColumn id="14635" xr3:uid="{E0AF2713-C028-48BD-B4CD-5F8FDF6F9B9C}" name="Column14635"/>
    <tableColumn id="14636" xr3:uid="{E86174CE-ECBB-491F-896B-1E8DCBA4B580}" name="Column14636"/>
    <tableColumn id="14637" xr3:uid="{92E50618-F335-4A5D-88D4-8A206BEAF03D}" name="Column14637"/>
    <tableColumn id="14638" xr3:uid="{34761214-8A76-47EE-872D-C76211856D8B}" name="Column14638"/>
    <tableColumn id="14639" xr3:uid="{623551BB-7361-463F-A21F-6181F03AF6A5}" name="Column14639"/>
    <tableColumn id="14640" xr3:uid="{4475A430-F141-4610-993E-CC0860EF823A}" name="Column14640"/>
    <tableColumn id="14641" xr3:uid="{75E26B71-7FA8-4D16-B2CD-CB6878082AA2}" name="Column14641"/>
    <tableColumn id="14642" xr3:uid="{1FD65E1A-245D-4BD7-8722-F79C33E5F73C}" name="Column14642"/>
    <tableColumn id="14643" xr3:uid="{426AC184-F47B-42EB-BA58-883F5E93F0B8}" name="Column14643"/>
    <tableColumn id="14644" xr3:uid="{B7534E35-70AF-4653-923A-73A742D0F1A9}" name="Column14644"/>
    <tableColumn id="14645" xr3:uid="{4205342E-AC61-4BCD-B7F7-BAB246B5BBD9}" name="Column14645"/>
    <tableColumn id="14646" xr3:uid="{2E119C09-03F0-4CCC-A77F-83E071D4C659}" name="Column14646"/>
    <tableColumn id="14647" xr3:uid="{04202052-151D-4B73-8698-1171786F9D8D}" name="Column14647"/>
    <tableColumn id="14648" xr3:uid="{938CDA25-0CC7-49A3-9007-BB72359374B1}" name="Column14648"/>
    <tableColumn id="14649" xr3:uid="{66D6FB7E-4448-49BA-8FCF-599D6BB7AFE7}" name="Column14649"/>
    <tableColumn id="14650" xr3:uid="{03E29702-7792-467A-85F3-3AB1E9FF65C7}" name="Column14650"/>
    <tableColumn id="14651" xr3:uid="{7F9147BE-5D8E-4CC6-A768-48FCFFB1073D}" name="Column14651"/>
    <tableColumn id="14652" xr3:uid="{7A300B75-1B35-4A45-9EC2-1871097FB18B}" name="Column14652"/>
    <tableColumn id="14653" xr3:uid="{7D9EFB6F-E5BA-4EDE-A8FB-33705C811A38}" name="Column14653"/>
    <tableColumn id="14654" xr3:uid="{95BAC5F0-DF1C-405C-8A34-6782267502AF}" name="Column14654"/>
    <tableColumn id="14655" xr3:uid="{3E77C936-7D37-45DD-A910-32C88517D20E}" name="Column14655"/>
    <tableColumn id="14656" xr3:uid="{B7989498-9C5D-40DF-84DD-B78A41E0ED34}" name="Column14656"/>
    <tableColumn id="14657" xr3:uid="{C1495703-760E-4925-800C-89A4CA1617D2}" name="Column14657"/>
    <tableColumn id="14658" xr3:uid="{662B4B12-9890-4FF6-98C3-ADC8660FCA35}" name="Column14658"/>
    <tableColumn id="14659" xr3:uid="{1F05129D-E478-459D-91C3-2DDF487F8DD2}" name="Column14659"/>
    <tableColumn id="14660" xr3:uid="{6C523EF5-CBA3-431D-A0B4-94196FBECB73}" name="Column14660"/>
    <tableColumn id="14661" xr3:uid="{E441E0C4-6DAD-49BE-92D9-2AB28F028926}" name="Column14661"/>
    <tableColumn id="14662" xr3:uid="{F3DE9646-83F5-47B6-BFE8-DF20E18AC467}" name="Column14662"/>
    <tableColumn id="14663" xr3:uid="{1304ADBC-8058-433A-B131-920F8288BB33}" name="Column14663"/>
    <tableColumn id="14664" xr3:uid="{295F0E96-6498-4BFA-9151-3F2FF84C70A5}" name="Column14664"/>
    <tableColumn id="14665" xr3:uid="{F7D8DF16-A854-498D-9E34-EBA5DFFED25A}" name="Column14665"/>
    <tableColumn id="14666" xr3:uid="{1004912D-A723-4C84-B9C5-416D59DCB5E1}" name="Column14666"/>
    <tableColumn id="14667" xr3:uid="{F29A82D3-09F7-49BA-A84B-3CABE17C72D1}" name="Column14667"/>
    <tableColumn id="14668" xr3:uid="{0E3F428F-CC79-475C-AF02-9351A4E39003}" name="Column14668"/>
    <tableColumn id="14669" xr3:uid="{6AA37298-B9C4-4ABB-8B89-25E83CDFF8F5}" name="Column14669"/>
    <tableColumn id="14670" xr3:uid="{8AE0D211-2E76-4C1A-990F-848D15ECEA2A}" name="Column14670"/>
    <tableColumn id="14671" xr3:uid="{DBBB9ED3-CB38-4DA6-80E3-5F051FD41E9E}" name="Column14671"/>
    <tableColumn id="14672" xr3:uid="{512BEE9D-CCB5-4A1D-9826-2C862B7392D6}" name="Column14672"/>
    <tableColumn id="14673" xr3:uid="{2431B649-EC5A-4C0B-AE3B-550284EB748B}" name="Column14673"/>
    <tableColumn id="14674" xr3:uid="{35EF2683-74D4-4D0C-9AC1-5D3B4C92AD14}" name="Column14674"/>
    <tableColumn id="14675" xr3:uid="{1D5D1E8F-C2E1-47A5-843B-9EC29F235E7D}" name="Column14675"/>
    <tableColumn id="14676" xr3:uid="{4C7DD73B-9D43-48C3-82AF-AFB6537A8E48}" name="Column14676"/>
    <tableColumn id="14677" xr3:uid="{951251BC-BF45-44B8-AD7D-D2F3B4ADC67B}" name="Column14677"/>
    <tableColumn id="14678" xr3:uid="{3CF93AC7-7A55-4C30-9EF3-696ED02E2AFB}" name="Column14678"/>
    <tableColumn id="14679" xr3:uid="{0542CB14-C826-4211-A776-1ACF92D22A45}" name="Column14679"/>
    <tableColumn id="14680" xr3:uid="{A212165B-F2FE-47B9-A9E5-5E361BDD4585}" name="Column14680"/>
    <tableColumn id="14681" xr3:uid="{C1128198-C812-4854-8991-08265E25D08D}" name="Column14681"/>
    <tableColumn id="14682" xr3:uid="{5AEB3F6A-BEBE-4D9A-B5F7-F81323A5E238}" name="Column14682"/>
    <tableColumn id="14683" xr3:uid="{898A25E3-5FA4-4FEB-963C-D16AE6452BB5}" name="Column14683"/>
    <tableColumn id="14684" xr3:uid="{53CD178E-D930-4B59-A5C9-7372BE6E67AC}" name="Column14684"/>
    <tableColumn id="14685" xr3:uid="{A5CAB61B-8C82-4423-941D-4D50D48E70BA}" name="Column14685"/>
    <tableColumn id="14686" xr3:uid="{5E7C73D7-6A4A-4292-8702-CF10F23DC636}" name="Column14686"/>
    <tableColumn id="14687" xr3:uid="{372ECBBC-5EFC-4909-A83B-F3BE30BE1174}" name="Column14687"/>
    <tableColumn id="14688" xr3:uid="{E6159567-0949-42CA-B0AF-AB4CE5A17E9E}" name="Column14688"/>
    <tableColumn id="14689" xr3:uid="{D9860500-E006-4B2E-98BA-88F584B628B3}" name="Column14689"/>
    <tableColumn id="14690" xr3:uid="{206EE901-4B80-46A8-8188-A804393E4305}" name="Column14690"/>
    <tableColumn id="14691" xr3:uid="{98FB6AAF-99F5-4913-8F4B-4EA3902F4183}" name="Column14691"/>
    <tableColumn id="14692" xr3:uid="{8C0D72B9-B322-404A-9546-75F89DA92E53}" name="Column14692"/>
    <tableColumn id="14693" xr3:uid="{2905EF27-A961-411B-BEBD-A47AF83F36AF}" name="Column14693"/>
    <tableColumn id="14694" xr3:uid="{B8337688-5A47-42E1-A9FE-BF533BC83F91}" name="Column14694"/>
    <tableColumn id="14695" xr3:uid="{E1F8515D-DD8E-4D51-9C4D-14A5F24532FD}" name="Column14695"/>
    <tableColumn id="14696" xr3:uid="{3542A488-D1F4-4D41-A9AA-0FE26EF7F6CF}" name="Column14696"/>
    <tableColumn id="14697" xr3:uid="{E06E9515-5DB0-4F8D-AE22-8810F4533E5B}" name="Column14697"/>
    <tableColumn id="14698" xr3:uid="{480D591A-8934-444D-8B57-726CB788F4D9}" name="Column14698"/>
    <tableColumn id="14699" xr3:uid="{D9A2B5F0-1B27-468F-82F9-51AAB6BF7B14}" name="Column14699"/>
    <tableColumn id="14700" xr3:uid="{8FC3D322-3037-4616-99BE-58CFAC8F40CC}" name="Column14700"/>
    <tableColumn id="14701" xr3:uid="{40EFAD6A-C80D-4E95-BF84-1C10E6A80AED}" name="Column14701"/>
    <tableColumn id="14702" xr3:uid="{998DE5AD-21CC-4083-A0BB-3549E5B096F4}" name="Column14702"/>
    <tableColumn id="14703" xr3:uid="{B6C8DEC7-8E13-4945-8577-0C9860F0ED37}" name="Column14703"/>
    <tableColumn id="14704" xr3:uid="{229F1143-4449-4D45-864D-42B4F56B59A2}" name="Column14704"/>
    <tableColumn id="14705" xr3:uid="{9B107CE1-6FE0-40F5-8D4D-3CC1C6572411}" name="Column14705"/>
    <tableColumn id="14706" xr3:uid="{2C028A3F-CFC2-4A8B-B6CE-80F8A5382428}" name="Column14706"/>
    <tableColumn id="14707" xr3:uid="{6F6A6F72-236B-4BD1-BF77-7ABAFED98189}" name="Column14707"/>
    <tableColumn id="14708" xr3:uid="{E7D88E05-F9F7-4742-A468-AFBCE8FC0C4B}" name="Column14708"/>
    <tableColumn id="14709" xr3:uid="{F17C9388-78C0-400F-8859-EBCA1B5A366D}" name="Column14709"/>
    <tableColumn id="14710" xr3:uid="{5BD2C65C-CCB5-456A-B3F6-82EEA4E194DF}" name="Column14710"/>
    <tableColumn id="14711" xr3:uid="{3A15403A-4868-45B4-91ED-C18291BB0B5E}" name="Column14711"/>
    <tableColumn id="14712" xr3:uid="{2CBD1A46-AA56-4CED-BC43-13FA454FADEB}" name="Column14712"/>
    <tableColumn id="14713" xr3:uid="{DE40E4CA-4C9C-4B22-8541-BB5CBF124F16}" name="Column14713"/>
    <tableColumn id="14714" xr3:uid="{62699A3A-758A-448E-9233-73390B554C1D}" name="Column14714"/>
    <tableColumn id="14715" xr3:uid="{7F0E0B54-801E-40D4-A0DF-865095D33CBD}" name="Column14715"/>
    <tableColumn id="14716" xr3:uid="{E9CF31FF-AD96-4812-A1B5-386A6BE1DE4D}" name="Column14716"/>
    <tableColumn id="14717" xr3:uid="{2B538315-8565-4292-91F9-8C8EB463B516}" name="Column14717"/>
    <tableColumn id="14718" xr3:uid="{36D613B0-4F68-493C-B3D7-F2D416165E7F}" name="Column14718"/>
    <tableColumn id="14719" xr3:uid="{17374A83-4F85-42D1-A098-A0C82DB08F66}" name="Column14719"/>
    <tableColumn id="14720" xr3:uid="{3E6D1F25-08A0-492A-8D3A-D43CFB0CEFF4}" name="Column14720"/>
    <tableColumn id="14721" xr3:uid="{8CA218FC-C2DA-4C94-B374-CEF95F67126B}" name="Column14721"/>
    <tableColumn id="14722" xr3:uid="{0C45E579-80DE-4BF9-AD08-9D11C6F1A521}" name="Column14722"/>
    <tableColumn id="14723" xr3:uid="{624F6D4C-2A43-469D-BD36-463234C559FD}" name="Column14723"/>
    <tableColumn id="14724" xr3:uid="{F274B02A-F5C9-492A-930D-AB99F55A4CF9}" name="Column14724"/>
    <tableColumn id="14725" xr3:uid="{9F75C4D8-547D-4AB8-837A-302ECC9BF187}" name="Column14725"/>
    <tableColumn id="14726" xr3:uid="{98A27A56-80F3-4470-B9A6-694B443A898E}" name="Column14726"/>
    <tableColumn id="14727" xr3:uid="{5CB199CE-9924-4526-B419-B23EE641C159}" name="Column14727"/>
    <tableColumn id="14728" xr3:uid="{5C9F9356-4D60-4DFC-9C70-3CDD16E038A6}" name="Column14728"/>
    <tableColumn id="14729" xr3:uid="{774901A6-1006-4460-90DF-91FAE11A02CC}" name="Column14729"/>
    <tableColumn id="14730" xr3:uid="{B2B63194-3CB1-40D9-9841-F296A966F1BA}" name="Column14730"/>
    <tableColumn id="14731" xr3:uid="{A8C84854-C1D8-4A04-9ECE-8109F27B5B1D}" name="Column14731"/>
    <tableColumn id="14732" xr3:uid="{38761CBE-A611-4B20-9F60-1D1C9375A851}" name="Column14732"/>
    <tableColumn id="14733" xr3:uid="{CA9E7CA6-EDF4-4849-916A-C9F416083A37}" name="Column14733"/>
    <tableColumn id="14734" xr3:uid="{3647FE94-3743-4EE2-981F-4D343781231F}" name="Column14734"/>
    <tableColumn id="14735" xr3:uid="{8DEFFC18-3B46-44F0-8281-3880718676F4}" name="Column14735"/>
    <tableColumn id="14736" xr3:uid="{FF21EE36-1B27-4D45-BAAB-7FD264BC51B9}" name="Column14736"/>
    <tableColumn id="14737" xr3:uid="{CDC29EB0-C813-44AF-8CB2-24B7066B900E}" name="Column14737"/>
    <tableColumn id="14738" xr3:uid="{B2F12A2C-9B4D-4302-9BD7-C7543CC04ADD}" name="Column14738"/>
    <tableColumn id="14739" xr3:uid="{31FE4D15-65FA-4B83-8FDB-62BA70A7B9CD}" name="Column14739"/>
    <tableColumn id="14740" xr3:uid="{68E86CE8-DDDC-478D-B59C-A2EBAA09E90B}" name="Column14740"/>
    <tableColumn id="14741" xr3:uid="{1992F3BD-B394-49FE-B31D-2D4E934E1319}" name="Column14741"/>
    <tableColumn id="14742" xr3:uid="{DE80E1B1-4C2F-4965-ABC3-B9BA44B0869E}" name="Column14742"/>
    <tableColumn id="14743" xr3:uid="{5F87850C-48E5-4D2B-95BE-76B66064B901}" name="Column14743"/>
    <tableColumn id="14744" xr3:uid="{E9C2405D-6E35-4599-96A4-72C4A6B911A9}" name="Column14744"/>
    <tableColumn id="14745" xr3:uid="{ACC91327-22E3-4430-86F6-065DD8015D54}" name="Column14745"/>
    <tableColumn id="14746" xr3:uid="{1E9FE393-CDB2-4585-BB7F-C4445014047D}" name="Column14746"/>
    <tableColumn id="14747" xr3:uid="{0EF4BA86-A60A-419A-9548-345FCB2CC27F}" name="Column14747"/>
    <tableColumn id="14748" xr3:uid="{BBE4A92B-77C8-4EA2-B3B5-CEE30971CEF5}" name="Column14748"/>
    <tableColumn id="14749" xr3:uid="{6F318A83-0116-4EE0-906E-1AA32E5B7BED}" name="Column14749"/>
    <tableColumn id="14750" xr3:uid="{61BD8440-0686-4D23-8C92-5C5A55628E92}" name="Column14750"/>
    <tableColumn id="14751" xr3:uid="{1F6299C2-DBCC-444F-B569-8E9BD9DC26CE}" name="Column14751"/>
    <tableColumn id="14752" xr3:uid="{13F57F3D-9613-4851-9664-4519F6E06931}" name="Column14752"/>
    <tableColumn id="14753" xr3:uid="{4B018B33-EC2E-45C1-A5E2-26C1F54E4BA5}" name="Column14753"/>
    <tableColumn id="14754" xr3:uid="{35AD31A7-A745-4287-8A6F-9BB758CE810D}" name="Column14754"/>
    <tableColumn id="14755" xr3:uid="{416F5324-839E-40BC-AE1A-73B31AAB16A9}" name="Column14755"/>
    <tableColumn id="14756" xr3:uid="{24F6217D-79ED-4726-8755-5FB8DC2DCF7D}" name="Column14756"/>
    <tableColumn id="14757" xr3:uid="{D1A19167-D50F-4203-A572-ECA4C2B5FC4C}" name="Column14757"/>
    <tableColumn id="14758" xr3:uid="{A9E49253-709A-4968-849E-15356E7221D9}" name="Column14758"/>
    <tableColumn id="14759" xr3:uid="{83DB73EF-B451-40BF-973D-C0461654B8AD}" name="Column14759"/>
    <tableColumn id="14760" xr3:uid="{4A996CE0-91A1-499C-B017-6FC2BED8A6ED}" name="Column14760"/>
    <tableColumn id="14761" xr3:uid="{67CD1E16-9C94-435F-9537-0F220C6A958A}" name="Column14761"/>
    <tableColumn id="14762" xr3:uid="{5459798C-452C-4CD9-9131-40C08AB5AF23}" name="Column14762"/>
    <tableColumn id="14763" xr3:uid="{CAAB8605-E297-4E3B-86A8-C354FC1CF553}" name="Column14763"/>
    <tableColumn id="14764" xr3:uid="{2621CA39-57BE-42E8-9969-E93EF49A3A81}" name="Column14764"/>
    <tableColumn id="14765" xr3:uid="{88C6DD1F-4AA1-4984-9421-CC8AC0088AD6}" name="Column14765"/>
    <tableColumn id="14766" xr3:uid="{E2386F87-0270-4280-A575-DA5FCEC7BD2C}" name="Column14766"/>
    <tableColumn id="14767" xr3:uid="{927E6D07-08FB-4B93-81A0-F6B6D3F8ECD7}" name="Column14767"/>
    <tableColumn id="14768" xr3:uid="{A735C96F-D5FF-46F5-AC93-10250725C194}" name="Column14768"/>
    <tableColumn id="14769" xr3:uid="{A427FA73-54FA-474B-96B7-9E8CD337B30E}" name="Column14769"/>
    <tableColumn id="14770" xr3:uid="{22B194FD-7B42-4E2D-BDC5-01862E6A7476}" name="Column14770"/>
    <tableColumn id="14771" xr3:uid="{4F658B10-1D47-453D-88B6-7E5F7ECBFAE1}" name="Column14771"/>
    <tableColumn id="14772" xr3:uid="{FCB8A7B2-7205-44C0-A712-3D44626E7CF5}" name="Column14772"/>
    <tableColumn id="14773" xr3:uid="{6E67D7BF-7FC1-4BD1-BC91-5423EB339E0B}" name="Column14773"/>
    <tableColumn id="14774" xr3:uid="{F7894D3C-F417-4B6F-B321-EDB353DEF9B9}" name="Column14774"/>
    <tableColumn id="14775" xr3:uid="{5AF54EED-7BCD-4BF8-8D97-53C7B6654E86}" name="Column14775"/>
    <tableColumn id="14776" xr3:uid="{04D482B7-E8FC-44B7-B31C-385F3C9F60AE}" name="Column14776"/>
    <tableColumn id="14777" xr3:uid="{BCF16C22-623A-4447-83F2-DD6F56EDBD94}" name="Column14777"/>
    <tableColumn id="14778" xr3:uid="{25CCB95D-84B9-4EE7-9160-BB008D18FED8}" name="Column14778"/>
    <tableColumn id="14779" xr3:uid="{5D96B165-AB95-4767-A0C2-43B196167343}" name="Column14779"/>
    <tableColumn id="14780" xr3:uid="{440C6A36-E00C-4398-BD03-3D92F804EBF4}" name="Column14780"/>
    <tableColumn id="14781" xr3:uid="{4E2BABE9-3854-4C79-A8E3-2AF1B739E9CA}" name="Column14781"/>
    <tableColumn id="14782" xr3:uid="{85C243F7-85B6-44A5-B560-BAEC4F18EF5C}" name="Column14782"/>
    <tableColumn id="14783" xr3:uid="{84156CF9-BAFE-416D-B588-82EB5A8299EA}" name="Column14783"/>
    <tableColumn id="14784" xr3:uid="{79D05D98-24BF-4839-B748-0A4C3C7F1A2D}" name="Column14784"/>
    <tableColumn id="14785" xr3:uid="{A0236380-DA91-4707-A980-9CEAC6E5F719}" name="Column14785"/>
    <tableColumn id="14786" xr3:uid="{2C215FDC-2899-4D8D-9B25-AB9A1C46FEB2}" name="Column14786"/>
    <tableColumn id="14787" xr3:uid="{657FB5BC-7807-4BEA-9F8B-3F3D55FFAD7C}" name="Column14787"/>
    <tableColumn id="14788" xr3:uid="{4F5DD8B7-635E-4216-B08A-6C82ED74A369}" name="Column14788"/>
    <tableColumn id="14789" xr3:uid="{CBD98B53-BBE9-4805-9C12-E5092EACA2E4}" name="Column14789"/>
    <tableColumn id="14790" xr3:uid="{6C0220A0-7084-49C1-82CA-AF1BCA872A27}" name="Column14790"/>
    <tableColumn id="14791" xr3:uid="{900E6810-F4DE-4ED7-8E62-22A459CA3FAE}" name="Column14791"/>
    <tableColumn id="14792" xr3:uid="{4D09F760-8472-485C-A5B1-0DDDBA8A40FA}" name="Column14792"/>
    <tableColumn id="14793" xr3:uid="{BFF0D3D3-2B60-4BAB-B553-72A23AA7C185}" name="Column14793"/>
    <tableColumn id="14794" xr3:uid="{1BEFF171-1A32-49C4-B891-C1223914456D}" name="Column14794"/>
    <tableColumn id="14795" xr3:uid="{2A4FAA67-069C-4FF9-A222-A12946AE10F5}" name="Column14795"/>
    <tableColumn id="14796" xr3:uid="{B5B91CDB-1B0A-4618-B9A5-EA3630EDB42B}" name="Column14796"/>
    <tableColumn id="14797" xr3:uid="{AA8C1F53-926B-4FD4-BF63-FBB19D9CF7D2}" name="Column14797"/>
    <tableColumn id="14798" xr3:uid="{1C7F252E-3119-440C-A84F-CD042458DAB8}" name="Column14798"/>
    <tableColumn id="14799" xr3:uid="{06473F7B-F663-4065-A2A4-9FFEAD14D555}" name="Column14799"/>
    <tableColumn id="14800" xr3:uid="{E0948F6C-ED76-4DA2-8241-7B642B6F847C}" name="Column14800"/>
    <tableColumn id="14801" xr3:uid="{F59352EB-CEB6-4E7C-AC35-6678F99357D1}" name="Column14801"/>
    <tableColumn id="14802" xr3:uid="{6D0903EA-6E56-4FE6-AD5D-B3FF975189F2}" name="Column14802"/>
    <tableColumn id="14803" xr3:uid="{844BFFBA-EEFB-4651-BF9B-811C50FC7856}" name="Column14803"/>
    <tableColumn id="14804" xr3:uid="{9D16944D-C92A-49DC-8718-F77AA0B83EB0}" name="Column14804"/>
    <tableColumn id="14805" xr3:uid="{DAEEC7DA-8467-4FDC-AB9B-9E670A078960}" name="Column14805"/>
    <tableColumn id="14806" xr3:uid="{DA122488-F0C6-49C1-ADEA-B45CD34758B9}" name="Column14806"/>
    <tableColumn id="14807" xr3:uid="{B86D9C36-E996-43E4-9186-7541A4DE36D7}" name="Column14807"/>
    <tableColumn id="14808" xr3:uid="{9DD3C4A5-1770-4938-89E3-0B87CBC262E5}" name="Column14808"/>
    <tableColumn id="14809" xr3:uid="{5D67D2D3-BB7C-47B6-89E3-7954FCA5B20F}" name="Column14809"/>
    <tableColumn id="14810" xr3:uid="{5653FDDD-638D-4ABB-9F0C-023E2F821FB2}" name="Column14810"/>
    <tableColumn id="14811" xr3:uid="{7FB417ED-854D-4FFA-B8CA-5757EFEF86F1}" name="Column14811"/>
    <tableColumn id="14812" xr3:uid="{31F7D470-AFB3-4C70-8C06-1008A32F1389}" name="Column14812"/>
    <tableColumn id="14813" xr3:uid="{3B53A234-5894-4499-922E-A5258595769A}" name="Column14813"/>
    <tableColumn id="14814" xr3:uid="{F5DF7002-2AE9-44C1-B048-3B06A08D9828}" name="Column14814"/>
    <tableColumn id="14815" xr3:uid="{8A2DCAA3-67FC-49A5-A1F1-1756F7389E46}" name="Column14815"/>
    <tableColumn id="14816" xr3:uid="{2EB6A745-940B-4CAC-93B1-F6DD6C469B62}" name="Column14816"/>
    <tableColumn id="14817" xr3:uid="{4929578F-9211-40C0-80B9-3CF6CB92773E}" name="Column14817"/>
    <tableColumn id="14818" xr3:uid="{A65DA69A-BB5A-42DC-8D35-545172F3021C}" name="Column14818"/>
    <tableColumn id="14819" xr3:uid="{971211F3-811F-4813-A7DF-0B8CCE0EAF4B}" name="Column14819"/>
    <tableColumn id="14820" xr3:uid="{D2F8B38F-9B7A-4F56-B19B-B2F89763D579}" name="Column14820"/>
    <tableColumn id="14821" xr3:uid="{05032F5A-4369-4559-9C76-344885C69559}" name="Column14821"/>
    <tableColumn id="14822" xr3:uid="{40B5B69E-7E64-4ECC-8891-12356143E6CE}" name="Column14822"/>
    <tableColumn id="14823" xr3:uid="{E55CDCE4-7DD7-4258-8557-FFF83EAAA3C2}" name="Column14823"/>
    <tableColumn id="14824" xr3:uid="{B2FCDC20-03AA-466D-A0DD-8F4AA3C6B742}" name="Column14824"/>
    <tableColumn id="14825" xr3:uid="{9ECDEF39-5A9D-4C23-A3C6-0935F59EBD18}" name="Column14825"/>
    <tableColumn id="14826" xr3:uid="{9E1D3DBF-DDB6-4C3F-B51A-C745372B7360}" name="Column14826"/>
    <tableColumn id="14827" xr3:uid="{B08CC0F4-00C2-4A24-BEF6-746034AE63A6}" name="Column14827"/>
    <tableColumn id="14828" xr3:uid="{987DDF50-2592-42A1-B7EF-F7AAD431C471}" name="Column14828"/>
    <tableColumn id="14829" xr3:uid="{15B6FD7A-990E-415E-8B84-B5519109D5A9}" name="Column14829"/>
    <tableColumn id="14830" xr3:uid="{F80F6444-AB4B-4D63-A27E-357E10E59D50}" name="Column14830"/>
    <tableColumn id="14831" xr3:uid="{2F4FE494-D79E-4BD5-B1BB-CFB42CAF69F8}" name="Column14831"/>
    <tableColumn id="14832" xr3:uid="{53ACA5CB-1EA2-4339-B63B-6B2ADC72F29C}" name="Column14832"/>
    <tableColumn id="14833" xr3:uid="{EAFADEA3-FF93-43EE-B006-79F781493FF9}" name="Column14833"/>
    <tableColumn id="14834" xr3:uid="{C8F87315-BAD5-4D72-B34F-D4B3C7F30BF5}" name="Column14834"/>
    <tableColumn id="14835" xr3:uid="{E7B9D483-A6D0-47D1-821E-3A787B017A99}" name="Column14835"/>
    <tableColumn id="14836" xr3:uid="{B7074D5F-2DD1-407E-BC30-56825C5EBFA9}" name="Column14836"/>
    <tableColumn id="14837" xr3:uid="{E7E62F22-2931-4E08-AB55-20CE9EDBF118}" name="Column14837"/>
    <tableColumn id="14838" xr3:uid="{80941C12-57C0-42F7-8FEF-8B00BAC591FE}" name="Column14838"/>
    <tableColumn id="14839" xr3:uid="{328E5E65-7768-4D14-8AD4-856AC6CB4BCD}" name="Column14839"/>
    <tableColumn id="14840" xr3:uid="{53B9D446-3AD7-44A2-9144-70080247F731}" name="Column14840"/>
    <tableColumn id="14841" xr3:uid="{5AFF722D-4EEE-42BB-85B7-D128E0786073}" name="Column14841"/>
    <tableColumn id="14842" xr3:uid="{04318CF4-60DF-4E19-87EF-D8C7AE75A030}" name="Column14842"/>
    <tableColumn id="14843" xr3:uid="{4447B4BB-6074-4AA0-954B-81AE91E4EF6D}" name="Column14843"/>
    <tableColumn id="14844" xr3:uid="{299C255F-065E-40C6-B549-1C4A2D1845C7}" name="Column14844"/>
    <tableColumn id="14845" xr3:uid="{1809DC26-9A87-4F8F-885E-E4C80A9840D1}" name="Column14845"/>
    <tableColumn id="14846" xr3:uid="{7CA09560-8043-4D8C-BAFB-8A9007FEF7A7}" name="Column14846"/>
    <tableColumn id="14847" xr3:uid="{6CB3467D-8040-4E7E-97B8-1D4D08CFA33D}" name="Column14847"/>
    <tableColumn id="14848" xr3:uid="{29C8312B-615D-43B5-8F7F-1194CC8026E7}" name="Column14848"/>
    <tableColumn id="14849" xr3:uid="{ACCE92E5-725E-47C8-8ED5-5C17263C111B}" name="Column14849"/>
    <tableColumn id="14850" xr3:uid="{60815A45-3DD6-4B5B-8E87-050FE49561B1}" name="Column14850"/>
    <tableColumn id="14851" xr3:uid="{4F2D8073-59F5-4CC5-AC24-E874F4504761}" name="Column14851"/>
    <tableColumn id="14852" xr3:uid="{137FD132-C402-4559-9182-F53681059EBF}" name="Column14852"/>
    <tableColumn id="14853" xr3:uid="{5D13EB60-FD3F-4A83-BA7B-01FFC062D4C8}" name="Column14853"/>
    <tableColumn id="14854" xr3:uid="{967F4A3A-9B15-4DC1-9C96-EDD31E49D0ED}" name="Column14854"/>
    <tableColumn id="14855" xr3:uid="{C5E76B3E-3C3A-42A5-8DB4-682B30F08B82}" name="Column14855"/>
    <tableColumn id="14856" xr3:uid="{4B43ADF7-4D9B-4655-B9B5-C85DBAE7B1A8}" name="Column14856"/>
    <tableColumn id="14857" xr3:uid="{BE7645FE-DEF0-4A26-8E5A-71DB10DCE06F}" name="Column14857"/>
    <tableColumn id="14858" xr3:uid="{B8D98B8B-E4D2-434C-9A5E-8145B530A9E2}" name="Column14858"/>
    <tableColumn id="14859" xr3:uid="{8A891BFA-E8BE-4606-AD61-B60911608797}" name="Column14859"/>
    <tableColumn id="14860" xr3:uid="{BDC04730-995A-477C-B167-DBC65C11BF9E}" name="Column14860"/>
    <tableColumn id="14861" xr3:uid="{A0F17230-4C2A-4A42-B2F7-B122A47514EC}" name="Column14861"/>
    <tableColumn id="14862" xr3:uid="{F62C078D-9B52-4A8E-A59E-7C1E9CA482B1}" name="Column14862"/>
    <tableColumn id="14863" xr3:uid="{018DB228-AFD5-4003-B1DB-4F14097946BC}" name="Column14863"/>
    <tableColumn id="14864" xr3:uid="{3E390DC5-C216-4D4D-A66D-0E2D91625531}" name="Column14864"/>
    <tableColumn id="14865" xr3:uid="{2A53E3E2-019B-4E83-AD1E-AF3FBDCFADD0}" name="Column14865"/>
    <tableColumn id="14866" xr3:uid="{9EAC3036-1A37-436D-83E1-4C96D8F7F044}" name="Column14866"/>
    <tableColumn id="14867" xr3:uid="{ECBBC403-9619-435F-9271-B12C8553693D}" name="Column14867"/>
    <tableColumn id="14868" xr3:uid="{A351C3D4-4452-4826-9766-01CF6338DF00}" name="Column14868"/>
    <tableColumn id="14869" xr3:uid="{6C178D22-0284-4FD1-A895-81F3392F486C}" name="Column14869"/>
    <tableColumn id="14870" xr3:uid="{5C3F489E-4600-44E1-8886-AC65F51EDCD8}" name="Column14870"/>
    <tableColumn id="14871" xr3:uid="{276653E2-FCCF-4ED2-8D6E-410DA19C9A81}" name="Column14871"/>
    <tableColumn id="14872" xr3:uid="{E7CB0759-04C7-48A3-B225-7A078DE430AB}" name="Column14872"/>
    <tableColumn id="14873" xr3:uid="{65DCC0AA-7D3B-41C4-AC6B-B4084328A3A2}" name="Column14873"/>
    <tableColumn id="14874" xr3:uid="{11C472DA-68B8-4068-BFB7-12980237B3B2}" name="Column14874"/>
    <tableColumn id="14875" xr3:uid="{D6DD6276-7943-4308-8660-7AF1715953E8}" name="Column14875"/>
    <tableColumn id="14876" xr3:uid="{054CFD7E-4691-469F-AE4B-B3E7C9C0F088}" name="Column14876"/>
    <tableColumn id="14877" xr3:uid="{1B810099-FA91-41C6-8C05-4B7735BB3D0E}" name="Column14877"/>
    <tableColumn id="14878" xr3:uid="{CD9A3374-9A38-46DE-B51F-C1C92F783B7B}" name="Column14878"/>
    <tableColumn id="14879" xr3:uid="{4DAD4D94-F670-4F2F-9BE6-C22EE0822C7A}" name="Column14879"/>
    <tableColumn id="14880" xr3:uid="{106F21B6-7B34-4175-8353-04F19B4CEB5D}" name="Column14880"/>
    <tableColumn id="14881" xr3:uid="{5A6A9130-56B5-4183-BE8D-09BCAED55974}" name="Column14881"/>
    <tableColumn id="14882" xr3:uid="{9F9F1DC0-EC1D-4D23-98DC-BB36498A78D0}" name="Column14882"/>
    <tableColumn id="14883" xr3:uid="{2820F421-B49D-4AEC-B2A7-C23C4965C63B}" name="Column14883"/>
    <tableColumn id="14884" xr3:uid="{B9DFF85F-941A-4DA6-BF2D-C5AA0D3381BB}" name="Column14884"/>
    <tableColumn id="14885" xr3:uid="{FB1C7195-1536-4861-A1FD-4972691683D1}" name="Column14885"/>
    <tableColumn id="14886" xr3:uid="{6CFC38D7-3110-47F0-BC36-4126D06DFF8B}" name="Column14886"/>
    <tableColumn id="14887" xr3:uid="{C54772F0-4C46-4D35-B61B-D0B1CB33FC54}" name="Column14887"/>
    <tableColumn id="14888" xr3:uid="{61EF5B56-5020-4375-9F45-7D957C1B1DCA}" name="Column14888"/>
    <tableColumn id="14889" xr3:uid="{11E35258-616F-4EE7-B48B-4D47B71D0C88}" name="Column14889"/>
    <tableColumn id="14890" xr3:uid="{8673AC58-7B39-4112-831A-9F6BE2B29268}" name="Column14890"/>
    <tableColumn id="14891" xr3:uid="{86566450-856B-4E37-8E1B-E735C88053A2}" name="Column14891"/>
    <tableColumn id="14892" xr3:uid="{EA6E6822-5A4D-4ECB-BBAA-CB3BEA40EFBD}" name="Column14892"/>
    <tableColumn id="14893" xr3:uid="{A5F9B198-1273-4BCE-9372-F92B110EB260}" name="Column14893"/>
    <tableColumn id="14894" xr3:uid="{DBE3D506-E7E2-43C0-8E69-47FE9DA7768D}" name="Column14894"/>
    <tableColumn id="14895" xr3:uid="{80518F25-159A-4D77-B29B-CE39048F29E7}" name="Column14895"/>
    <tableColumn id="14896" xr3:uid="{3F181263-30A3-4991-8799-B8CBF151EA1B}" name="Column14896"/>
    <tableColumn id="14897" xr3:uid="{F9AEDC9C-9082-465E-AB72-011D3833DF7F}" name="Column14897"/>
    <tableColumn id="14898" xr3:uid="{D8C37339-5FD1-4F76-BAE7-B4F774103546}" name="Column14898"/>
    <tableColumn id="14899" xr3:uid="{54EDCCEC-ED01-4276-80A7-F00E74C5A02E}" name="Column14899"/>
    <tableColumn id="14900" xr3:uid="{46B390CA-4326-475C-BCB8-B01D858EA7A7}" name="Column14900"/>
    <tableColumn id="14901" xr3:uid="{BDC6F18B-7DC1-4895-8752-B0CDC83B03A4}" name="Column14901"/>
    <tableColumn id="14902" xr3:uid="{B83F5A3E-505B-47ED-B827-713FAA825423}" name="Column14902"/>
    <tableColumn id="14903" xr3:uid="{AC7064F9-C6EA-43AA-8768-225DABFEB3A9}" name="Column14903"/>
    <tableColumn id="14904" xr3:uid="{0565CAE0-8A4B-4B05-BB57-57C5A43F950C}" name="Column14904"/>
    <tableColumn id="14905" xr3:uid="{91F414EA-9F37-4AEA-8691-83F8F988AAD1}" name="Column14905"/>
    <tableColumn id="14906" xr3:uid="{E3811C9B-441D-47A2-8A05-E69A72BF71A1}" name="Column14906"/>
    <tableColumn id="14907" xr3:uid="{74360ADD-95B1-43E5-AA7D-FB54E5A47D44}" name="Column14907"/>
    <tableColumn id="14908" xr3:uid="{B8C50C99-53C0-4077-AFAC-275F4F45564F}" name="Column14908"/>
    <tableColumn id="14909" xr3:uid="{7E92ABF6-1E45-4909-86F5-2CDFC4FB6AFC}" name="Column14909"/>
    <tableColumn id="14910" xr3:uid="{BB47E9A1-7B75-4B6E-A7F8-BEEBA34B99A1}" name="Column14910"/>
    <tableColumn id="14911" xr3:uid="{EC29AA22-3152-4814-84CC-26A53D7789C7}" name="Column14911"/>
    <tableColumn id="14912" xr3:uid="{5332FF21-DE46-4FF9-A4CE-43ABE13324AA}" name="Column14912"/>
    <tableColumn id="14913" xr3:uid="{896FE313-A218-4B42-A7D1-538443E31A46}" name="Column14913"/>
    <tableColumn id="14914" xr3:uid="{3685F6C4-4FCE-4F93-9400-F21F884714AA}" name="Column14914"/>
    <tableColumn id="14915" xr3:uid="{1D9F66B5-2155-4EBE-8D13-BC74AF5126C4}" name="Column14915"/>
    <tableColumn id="14916" xr3:uid="{27849399-8CE5-4AD8-9AC9-33628FF5ABE2}" name="Column14916"/>
    <tableColumn id="14917" xr3:uid="{AC626750-3B74-4B28-AC86-E43001D0918F}" name="Column14917"/>
    <tableColumn id="14918" xr3:uid="{DBD7AAC1-014B-4F8D-8D99-B762C1396650}" name="Column14918"/>
    <tableColumn id="14919" xr3:uid="{A3422A0C-7610-484F-8331-2817272D0652}" name="Column14919"/>
    <tableColumn id="14920" xr3:uid="{F5EB0876-9897-46B9-B0E5-7031C13A3287}" name="Column14920"/>
    <tableColumn id="14921" xr3:uid="{A25EA0A2-9DAE-4A51-876B-CFB0C7A61B1F}" name="Column14921"/>
    <tableColumn id="14922" xr3:uid="{6A435784-22AA-4AF9-827F-DBB04B902294}" name="Column14922"/>
    <tableColumn id="14923" xr3:uid="{23EC6F35-4945-4609-BCA1-C59DC0FD63A5}" name="Column14923"/>
    <tableColumn id="14924" xr3:uid="{3401064A-7FBD-494E-A3D8-DBC357C86062}" name="Column14924"/>
    <tableColumn id="14925" xr3:uid="{88D5B9F7-CF0B-4D9C-BD42-8E353A08D9CC}" name="Column14925"/>
    <tableColumn id="14926" xr3:uid="{D6E4B738-5140-4838-A602-DC96F4478D60}" name="Column14926"/>
    <tableColumn id="14927" xr3:uid="{7FB7EA3A-0E7E-4A5B-BB90-BC112CE51FB9}" name="Column14927"/>
    <tableColumn id="14928" xr3:uid="{819ABC07-9D54-4598-B169-11702B948013}" name="Column14928"/>
    <tableColumn id="14929" xr3:uid="{039C152A-BF18-467A-9D04-70D1E28BC691}" name="Column14929"/>
    <tableColumn id="14930" xr3:uid="{1CC51BD5-AFF3-42D9-B736-A27DAB9EDFC1}" name="Column14930"/>
    <tableColumn id="14931" xr3:uid="{9D47B6D5-CF67-4EEC-82F9-E1015DA19D96}" name="Column14931"/>
    <tableColumn id="14932" xr3:uid="{9EBA07B8-FA8F-40E4-AE37-945034A51431}" name="Column14932"/>
    <tableColumn id="14933" xr3:uid="{7BDD8CA6-A782-4C01-A518-FD9E5C76E0E8}" name="Column14933"/>
    <tableColumn id="14934" xr3:uid="{2BB9F8DB-0A12-4DE7-8D20-B0396A8488B3}" name="Column14934"/>
    <tableColumn id="14935" xr3:uid="{74337454-38A1-4ADD-8009-9CEDEB70A336}" name="Column14935"/>
    <tableColumn id="14936" xr3:uid="{42A9B170-1B3D-4041-BCA6-DBB10B577BB6}" name="Column14936"/>
    <tableColumn id="14937" xr3:uid="{AAFC1D96-6445-4D99-841A-F1F1F0E065B3}" name="Column14937"/>
    <tableColumn id="14938" xr3:uid="{F8613A16-6FCA-410A-A27F-CA82059F2BDC}" name="Column14938"/>
    <tableColumn id="14939" xr3:uid="{0AC13E7E-A45A-4A1D-A86E-A4E6DBAAF868}" name="Column14939"/>
    <tableColumn id="14940" xr3:uid="{C31AFC09-A530-4B68-96F5-82585B50BAD7}" name="Column14940"/>
    <tableColumn id="14941" xr3:uid="{575886A0-EBB7-483E-BE08-29E208060269}" name="Column14941"/>
    <tableColumn id="14942" xr3:uid="{19058B03-A77F-4349-9467-2D7DC09DD2AE}" name="Column14942"/>
    <tableColumn id="14943" xr3:uid="{5D27262E-28DC-451F-876A-8409E60247BC}" name="Column14943"/>
    <tableColumn id="14944" xr3:uid="{9C806807-2A76-490D-8DAC-16A7440092AE}" name="Column14944"/>
    <tableColumn id="14945" xr3:uid="{964C2AE8-F65A-40FF-988D-C0C36FE633DA}" name="Column14945"/>
    <tableColumn id="14946" xr3:uid="{23425350-0304-4D9C-B637-596DB7A9B2D5}" name="Column14946"/>
    <tableColumn id="14947" xr3:uid="{D5474860-C71C-4A12-8405-4233622F8393}" name="Column14947"/>
    <tableColumn id="14948" xr3:uid="{7C5E19A9-CA4A-4BE6-9EA4-72C6136601DB}" name="Column14948"/>
    <tableColumn id="14949" xr3:uid="{E686C67A-0505-4F7B-AD47-603F7447EF30}" name="Column14949"/>
    <tableColumn id="14950" xr3:uid="{2985B038-7F29-43D1-B23B-4299BAE9AACF}" name="Column14950"/>
    <tableColumn id="14951" xr3:uid="{D37789A7-CEBE-4C2A-ABFB-ADDA434F1D21}" name="Column14951"/>
    <tableColumn id="14952" xr3:uid="{57E849AB-ACFA-4A8B-9AC0-913F40524A7D}" name="Column14952"/>
    <tableColumn id="14953" xr3:uid="{5F24BCF3-B73F-4E32-90B1-0A56846C1778}" name="Column14953"/>
    <tableColumn id="14954" xr3:uid="{C9DE07B3-A95F-4ACE-AA4D-02EB4FABFFFE}" name="Column14954"/>
    <tableColumn id="14955" xr3:uid="{9501741D-772F-4DFD-BB85-6D9FDB5A64B7}" name="Column14955"/>
    <tableColumn id="14956" xr3:uid="{D6144919-5CFF-4E11-AA04-B27E069F9C15}" name="Column14956"/>
    <tableColumn id="14957" xr3:uid="{F51A5719-5494-4F0A-A584-9CCC60032882}" name="Column14957"/>
    <tableColumn id="14958" xr3:uid="{3297F45A-57C1-4075-875C-2EAA3917931F}" name="Column14958"/>
    <tableColumn id="14959" xr3:uid="{48DC7880-2AA1-47D9-B20E-25A0737A3039}" name="Column14959"/>
    <tableColumn id="14960" xr3:uid="{6ABBDA0A-E2D7-40E1-8674-39E74E2F7B06}" name="Column14960"/>
    <tableColumn id="14961" xr3:uid="{A90053F6-C111-4907-8AF9-709E32298A90}" name="Column14961"/>
    <tableColumn id="14962" xr3:uid="{03FA9B94-E7C8-4C21-98BC-8675BDAD0834}" name="Column14962"/>
    <tableColumn id="14963" xr3:uid="{98DACCCF-7C17-490C-B3FC-BC9D9AC34E40}" name="Column14963"/>
    <tableColumn id="14964" xr3:uid="{7B57C898-BC7D-49AE-AB7A-E0EB1C91D647}" name="Column14964"/>
    <tableColumn id="14965" xr3:uid="{BE4DA1CE-4B3D-473C-8480-B282D3FEEC61}" name="Column14965"/>
    <tableColumn id="14966" xr3:uid="{DCE06B34-2A15-4FA8-B24B-E1FEE7CE8DE6}" name="Column14966"/>
    <tableColumn id="14967" xr3:uid="{5B006091-02E2-4BF6-A589-FAFF480062FA}" name="Column14967"/>
    <tableColumn id="14968" xr3:uid="{FF76E99A-E184-41A3-ABDC-B80857F727FD}" name="Column14968"/>
    <tableColumn id="14969" xr3:uid="{3D14846F-6205-4F35-BFEE-D3F2609A0144}" name="Column14969"/>
    <tableColumn id="14970" xr3:uid="{1AC5EFAF-6B38-4909-B83A-339F3E9F1F2C}" name="Column14970"/>
    <tableColumn id="14971" xr3:uid="{21B2B16F-C301-4C98-B79C-0C5893303ED2}" name="Column14971"/>
    <tableColumn id="14972" xr3:uid="{70F579E7-379D-4318-A4C4-6F107D4545E3}" name="Column14972"/>
    <tableColumn id="14973" xr3:uid="{FCBB1B45-CA91-4654-8226-FC07E0A4CC15}" name="Column14973"/>
    <tableColumn id="14974" xr3:uid="{BE5449D2-2EC5-4960-8BAF-40477CE7F739}" name="Column14974"/>
    <tableColumn id="14975" xr3:uid="{5962F350-7DE5-4F13-BCDC-183D0553F459}" name="Column14975"/>
    <tableColumn id="14976" xr3:uid="{C39F932A-6386-4B3F-B313-D6EDA21469CD}" name="Column14976"/>
    <tableColumn id="14977" xr3:uid="{DA621DC2-1F79-4F96-B9EF-31A9731EF03C}" name="Column14977"/>
    <tableColumn id="14978" xr3:uid="{9E51949C-989C-4E45-8C73-C0D7A01D221F}" name="Column14978"/>
    <tableColumn id="14979" xr3:uid="{917E1685-E62B-4737-8743-02C63DA2A3BA}" name="Column14979"/>
    <tableColumn id="14980" xr3:uid="{259396DB-0034-4D4B-9092-1890EF74C39A}" name="Column14980"/>
    <tableColumn id="14981" xr3:uid="{131F8BCA-D0F6-4F42-85DE-AA1739624210}" name="Column14981"/>
    <tableColumn id="14982" xr3:uid="{44E9BA97-99EE-4FE3-87E7-BF5CC72FDC7E}" name="Column14982"/>
    <tableColumn id="14983" xr3:uid="{CE4038A1-7AFC-423F-90EC-417D2288D852}" name="Column14983"/>
    <tableColumn id="14984" xr3:uid="{5F54D845-E79E-4AAB-A67E-4CC24A40FFEB}" name="Column14984"/>
    <tableColumn id="14985" xr3:uid="{CA213B37-8AA2-4E18-BC68-964F58ECA6FE}" name="Column14985"/>
    <tableColumn id="14986" xr3:uid="{6B77419C-3EDB-4476-A7C2-2FFF3D211914}" name="Column14986"/>
    <tableColumn id="14987" xr3:uid="{0D1CBC42-F221-469A-9A4E-44CA842102E3}" name="Column14987"/>
    <tableColumn id="14988" xr3:uid="{9986DA02-B399-4DE0-A82F-8F5FFF8C3C9A}" name="Column14988"/>
    <tableColumn id="14989" xr3:uid="{C359555D-2B6F-4E8B-9DC6-BE960C414067}" name="Column14989"/>
    <tableColumn id="14990" xr3:uid="{FACF13E1-35AD-4929-8B94-BB62CD6F8F51}" name="Column14990"/>
    <tableColumn id="14991" xr3:uid="{F325B804-CD64-44A6-908F-63C794AABE81}" name="Column14991"/>
    <tableColumn id="14992" xr3:uid="{5329627F-C0D6-48D6-A3F7-C456BBDE0A01}" name="Column14992"/>
    <tableColumn id="14993" xr3:uid="{C3A2BAAC-01F8-4C40-903E-B3D0D2789709}" name="Column14993"/>
    <tableColumn id="14994" xr3:uid="{D18B65F9-38CD-45E3-A6FD-5BC32CCE5EEB}" name="Column14994"/>
    <tableColumn id="14995" xr3:uid="{13B498D0-6B0D-4980-BADF-5F3E10F38A5A}" name="Column14995"/>
    <tableColumn id="14996" xr3:uid="{EBF61C2E-EAB0-4972-85B9-CDE80DC7AFD1}" name="Column14996"/>
    <tableColumn id="14997" xr3:uid="{F07E924E-7B48-4548-ADAA-67762603EA70}" name="Column14997"/>
    <tableColumn id="14998" xr3:uid="{88C1BC73-19B7-4885-A170-B381F678B19C}" name="Column14998"/>
    <tableColumn id="14999" xr3:uid="{B0F69FC2-0A82-4F95-B9DA-7331394AA4BB}" name="Column14999"/>
    <tableColumn id="15000" xr3:uid="{993DD592-71F5-49F2-A35E-C383979363EB}" name="Column15000"/>
    <tableColumn id="15001" xr3:uid="{C8B588C9-9C66-4A63-93A8-2F47F877A1DF}" name="Column15001"/>
    <tableColumn id="15002" xr3:uid="{8A13396E-2EFC-496C-815E-8FE24033BB11}" name="Column15002"/>
    <tableColumn id="15003" xr3:uid="{95F587C9-FA06-4BDB-A989-E8F459152F8B}" name="Column15003"/>
    <tableColumn id="15004" xr3:uid="{6E13297E-3E45-44AE-BBA8-A6E74FE8D6F3}" name="Column15004"/>
    <tableColumn id="15005" xr3:uid="{C26840D3-6A50-42A9-9A9B-B8FBF525D08C}" name="Column15005"/>
    <tableColumn id="15006" xr3:uid="{7CD1CF20-0656-4E6B-B3AE-FC23DC24FECD}" name="Column15006"/>
    <tableColumn id="15007" xr3:uid="{E0F2A1E3-3A87-486A-9307-7F8BE95F070D}" name="Column15007"/>
    <tableColumn id="15008" xr3:uid="{A841FF71-69F0-4B36-9CBB-F61A2C983352}" name="Column15008"/>
    <tableColumn id="15009" xr3:uid="{21FC5B8F-8B98-4A54-8709-517293062F93}" name="Column15009"/>
    <tableColumn id="15010" xr3:uid="{A1F1B529-2B87-4283-BF09-8173F8199662}" name="Column15010"/>
    <tableColumn id="15011" xr3:uid="{80255C3C-048E-4D83-98C6-32EBFFCB37C4}" name="Column15011"/>
    <tableColumn id="15012" xr3:uid="{09363DB3-B88F-469D-A701-A10B0EDA298A}" name="Column15012"/>
    <tableColumn id="15013" xr3:uid="{B7B09780-C251-42F8-9706-41AB78161F8C}" name="Column15013"/>
    <tableColumn id="15014" xr3:uid="{880F0F43-3244-4904-A76B-08D1831ECB7E}" name="Column15014"/>
    <tableColumn id="15015" xr3:uid="{F5961C93-B279-42CB-A4AF-734AD6207467}" name="Column15015"/>
    <tableColumn id="15016" xr3:uid="{5F6AF7F9-6F74-45ED-ABC2-2E8431B6528A}" name="Column15016"/>
    <tableColumn id="15017" xr3:uid="{A9630DB9-1500-421A-925D-8F7D189F18B8}" name="Column15017"/>
    <tableColumn id="15018" xr3:uid="{423CEB86-D834-4ECB-8CF0-A528A5F0D1A4}" name="Column15018"/>
    <tableColumn id="15019" xr3:uid="{72F0E315-29B9-4A1B-B179-2D6A7CDEBBF2}" name="Column15019"/>
    <tableColumn id="15020" xr3:uid="{2D64DBF9-E482-4CBC-82D9-5B4D87FB41E3}" name="Column15020"/>
    <tableColumn id="15021" xr3:uid="{FA3B18DD-03B7-4BEB-9D0B-F6CFD062A808}" name="Column15021"/>
    <tableColumn id="15022" xr3:uid="{B02944EC-0684-44EA-8CF6-6F2D958C36BD}" name="Column15022"/>
    <tableColumn id="15023" xr3:uid="{1E24A1B5-C0D6-4481-91F5-83BCCF30394A}" name="Column15023"/>
    <tableColumn id="15024" xr3:uid="{1E147486-F017-46F1-919B-4081647D9DB6}" name="Column15024"/>
    <tableColumn id="15025" xr3:uid="{12B200BE-7A55-4A20-930D-4E0F08DC2C62}" name="Column15025"/>
    <tableColumn id="15026" xr3:uid="{61EBF8B7-38C6-4765-990F-EB36FF6FA787}" name="Column15026"/>
    <tableColumn id="15027" xr3:uid="{88995AB8-B746-4D07-A536-CFE3730B8F1A}" name="Column15027"/>
    <tableColumn id="15028" xr3:uid="{41A9D49F-959D-42D4-A6F7-632ECA465F66}" name="Column15028"/>
    <tableColumn id="15029" xr3:uid="{6397899A-3C7D-4C3A-9174-8C646EAE2911}" name="Column15029"/>
    <tableColumn id="15030" xr3:uid="{ED4C727F-FFC0-4E78-B127-112E4438E04D}" name="Column15030"/>
    <tableColumn id="15031" xr3:uid="{D1DD7AF1-B978-4DD8-B837-BC5A0A567DE0}" name="Column15031"/>
    <tableColumn id="15032" xr3:uid="{15037508-2B6F-41E6-9912-BBD8510A3C75}" name="Column15032"/>
    <tableColumn id="15033" xr3:uid="{473C9192-D615-4E60-B394-A12BAF72EBDE}" name="Column15033"/>
    <tableColumn id="15034" xr3:uid="{08164461-7B40-4C84-B4EF-E10F7FAE0555}" name="Column15034"/>
    <tableColumn id="15035" xr3:uid="{0A34F14B-82FA-48EA-96B2-61AE21646F61}" name="Column15035"/>
    <tableColumn id="15036" xr3:uid="{AEB64BE4-BCB6-47A8-BDA7-48491F5D11CD}" name="Column15036"/>
    <tableColumn id="15037" xr3:uid="{2797A8A1-1001-4E4D-BC05-3B24C5A77E9C}" name="Column15037"/>
    <tableColumn id="15038" xr3:uid="{B444BF1A-3592-4977-B5BC-8506E6A388C7}" name="Column15038"/>
    <tableColumn id="15039" xr3:uid="{DCC2EFF2-80A2-4BE4-8207-4B27FCD375F1}" name="Column15039"/>
    <tableColumn id="15040" xr3:uid="{7E184894-1F37-4255-8F25-6F7456988D27}" name="Column15040"/>
    <tableColumn id="15041" xr3:uid="{3DEFA168-CBBE-4F1D-8F7A-EB6C89CD5562}" name="Column15041"/>
    <tableColumn id="15042" xr3:uid="{8554412E-9BEF-4DD1-9098-BF8A19657011}" name="Column15042"/>
    <tableColumn id="15043" xr3:uid="{CABF41E9-9E26-492D-A8B9-C9D6DD9BDAC3}" name="Column15043"/>
    <tableColumn id="15044" xr3:uid="{AEF171AB-CD06-402A-A9B0-D0F55AA6573B}" name="Column15044"/>
    <tableColumn id="15045" xr3:uid="{05C43479-A6AA-46D9-8FB2-ADA8E5EE03CB}" name="Column15045"/>
    <tableColumn id="15046" xr3:uid="{D4072B1C-5F88-4CC5-8578-5BB74B10469D}" name="Column15046"/>
    <tableColumn id="15047" xr3:uid="{E3CC589B-C013-43F5-9DF6-BBB4EC258AA2}" name="Column15047"/>
    <tableColumn id="15048" xr3:uid="{9AC5B562-F0AB-4E49-B0F3-9B9266B9CE99}" name="Column15048"/>
    <tableColumn id="15049" xr3:uid="{CE571766-AEDF-4867-890A-97AD0347B4F3}" name="Column15049"/>
    <tableColumn id="15050" xr3:uid="{B83589B4-9238-4E86-83A2-DC69E26D0011}" name="Column15050"/>
    <tableColumn id="15051" xr3:uid="{82DA576C-EB82-4D08-8222-BC5D748352A1}" name="Column15051"/>
    <tableColumn id="15052" xr3:uid="{1314B54F-B28F-4BB4-B477-D4A3D286F2D4}" name="Column15052"/>
    <tableColumn id="15053" xr3:uid="{C6307E65-7FBD-4F4D-9A3D-CBE55BEDA47D}" name="Column15053"/>
    <tableColumn id="15054" xr3:uid="{EEAAF630-BFE0-44FB-BD08-47FB3948ECFD}" name="Column15054"/>
    <tableColumn id="15055" xr3:uid="{4E8579C5-2FA0-4CE7-9E01-C0708B52E61F}" name="Column15055"/>
    <tableColumn id="15056" xr3:uid="{38AB7DBB-C2B6-48D6-80E0-A3D52FB2D99D}" name="Column15056"/>
    <tableColumn id="15057" xr3:uid="{D9E0ABE1-D96C-4DA9-8687-6938195869C5}" name="Column15057"/>
    <tableColumn id="15058" xr3:uid="{E4E3D02F-6A99-4943-9D4C-92F39648AB22}" name="Column15058"/>
    <tableColumn id="15059" xr3:uid="{6B78D235-6968-4244-A44B-1D644FD67902}" name="Column15059"/>
    <tableColumn id="15060" xr3:uid="{26CED97B-10D5-4F9C-86DE-96B7E5013B36}" name="Column15060"/>
    <tableColumn id="15061" xr3:uid="{62407140-0BED-4D23-9901-CD7AAB87D436}" name="Column15061"/>
    <tableColumn id="15062" xr3:uid="{2CD7CB36-B221-4CDF-BB24-10D44D4417BB}" name="Column15062"/>
    <tableColumn id="15063" xr3:uid="{AFD9DB4E-3793-4749-BA71-E585EBBCBE59}" name="Column15063"/>
    <tableColumn id="15064" xr3:uid="{61E3D2CC-9550-4C0F-BD1F-C9DD1A33186B}" name="Column15064"/>
    <tableColumn id="15065" xr3:uid="{581E5CE0-671C-47DB-A5BC-324A2483AEB5}" name="Column15065"/>
    <tableColumn id="15066" xr3:uid="{268B1855-ACA4-4E14-940F-78C140FDDF22}" name="Column15066"/>
    <tableColumn id="15067" xr3:uid="{101A7D4A-13BF-427D-B625-763935DA0980}" name="Column15067"/>
    <tableColumn id="15068" xr3:uid="{E7047A83-8CA4-4EF1-B569-FC762624FAD8}" name="Column15068"/>
    <tableColumn id="15069" xr3:uid="{A313FEAF-CBF8-4E74-969F-BFBA080CF9D6}" name="Column15069"/>
    <tableColumn id="15070" xr3:uid="{CF8BF5AB-B7D5-4112-9E93-FCAD363B5EB5}" name="Column15070"/>
    <tableColumn id="15071" xr3:uid="{237A83B0-717B-406E-B9C3-4C88D671EC37}" name="Column15071"/>
    <tableColumn id="15072" xr3:uid="{17001096-22C1-4D9A-9918-6E6CF9F4AE00}" name="Column15072"/>
    <tableColumn id="15073" xr3:uid="{4D3EFC8C-D051-4BB5-B27C-584E6870785F}" name="Column15073"/>
    <tableColumn id="15074" xr3:uid="{C06B6812-63E2-4591-8E4B-9B3953EB9C91}" name="Column15074"/>
    <tableColumn id="15075" xr3:uid="{4FE9273F-C30B-4837-B525-037F1C72FE8E}" name="Column15075"/>
    <tableColumn id="15076" xr3:uid="{F2C7A402-51BC-46C5-89E6-27D9C7429C7F}" name="Column15076"/>
    <tableColumn id="15077" xr3:uid="{AA21C7A3-9FF1-4DDC-A968-539A6ACE6D75}" name="Column15077"/>
    <tableColumn id="15078" xr3:uid="{12D53A7B-F244-4B3B-80CB-0C7530D30960}" name="Column15078"/>
    <tableColumn id="15079" xr3:uid="{60F5819D-CA07-48BC-A053-7C9C5F0B5B8F}" name="Column15079"/>
    <tableColumn id="15080" xr3:uid="{E65C6017-985C-42EA-AA8F-5A1A87DBB543}" name="Column15080"/>
    <tableColumn id="15081" xr3:uid="{EA02F26F-7F1F-43B2-9C29-7F1A18DD7247}" name="Column15081"/>
    <tableColumn id="15082" xr3:uid="{B6FA388C-F506-4370-8EC1-ED4FCF36D800}" name="Column15082"/>
    <tableColumn id="15083" xr3:uid="{BCE2E37F-6AE8-42B6-A137-7F7CD2068602}" name="Column15083"/>
    <tableColumn id="15084" xr3:uid="{27D9ECEE-B879-430A-8135-241E19059E90}" name="Column15084"/>
    <tableColumn id="15085" xr3:uid="{16F34652-0CAB-4868-8C33-2DDC57C751A2}" name="Column15085"/>
    <tableColumn id="15086" xr3:uid="{9A0502AD-7C2C-4EC2-BC6C-FFEA0373D179}" name="Column15086"/>
    <tableColumn id="15087" xr3:uid="{F8ED8511-6AC1-45D5-8F92-AA568FE4B97E}" name="Column15087"/>
    <tableColumn id="15088" xr3:uid="{BBC077C2-AFF5-4C78-906F-A0A979099885}" name="Column15088"/>
    <tableColumn id="15089" xr3:uid="{6822CD3F-FDCF-45A8-9B82-F1EEF7129C1C}" name="Column15089"/>
    <tableColumn id="15090" xr3:uid="{91ECADC3-D455-48D2-90FF-F0D284B63812}" name="Column15090"/>
    <tableColumn id="15091" xr3:uid="{7B495341-1DE9-49A3-86D9-1F8DE37A0086}" name="Column15091"/>
    <tableColumn id="15092" xr3:uid="{22AA4204-A540-4128-8596-8B8BB31F5689}" name="Column15092"/>
    <tableColumn id="15093" xr3:uid="{1DE01A7F-D448-48D4-A4B8-33B1BE5AABBB}" name="Column15093"/>
    <tableColumn id="15094" xr3:uid="{EDDD9A41-1AD8-41FE-8A80-2D7B4BCD841E}" name="Column15094"/>
    <tableColumn id="15095" xr3:uid="{8E638EE9-1BE3-432E-8145-8742E07BD238}" name="Column15095"/>
    <tableColumn id="15096" xr3:uid="{E6118649-F5DE-44CF-8682-0AC6B49C556A}" name="Column15096"/>
    <tableColumn id="15097" xr3:uid="{2D3E311F-4435-4C92-BF0D-336F355FD2F6}" name="Column15097"/>
    <tableColumn id="15098" xr3:uid="{F5C78CC8-0F57-44F1-9C5A-016CEC3D3D77}" name="Column15098"/>
    <tableColumn id="15099" xr3:uid="{84582A74-5414-409E-BC53-5B48288A179B}" name="Column15099"/>
    <tableColumn id="15100" xr3:uid="{E0386099-BF29-4B4D-9460-B834648127C4}" name="Column15100"/>
    <tableColumn id="15101" xr3:uid="{8382A9FA-F963-46AB-9F22-6A9EC081E359}" name="Column15101"/>
    <tableColumn id="15102" xr3:uid="{C062B071-FD82-4158-89DA-3888C68BBC09}" name="Column15102"/>
    <tableColumn id="15103" xr3:uid="{7BE3F00D-607F-4E98-9EC2-927AF6797A49}" name="Column15103"/>
    <tableColumn id="15104" xr3:uid="{C5CE241B-EFF2-4717-B8F7-C8A5AA24A91E}" name="Column15104"/>
    <tableColumn id="15105" xr3:uid="{65A7AD1B-4F47-4444-B7B3-463EE272540C}" name="Column15105"/>
    <tableColumn id="15106" xr3:uid="{6BC34287-C2EF-47E1-AFF5-997490604027}" name="Column15106"/>
    <tableColumn id="15107" xr3:uid="{BCA4AC1D-567D-4B61-B1AC-401EAC65AD0A}" name="Column15107"/>
    <tableColumn id="15108" xr3:uid="{CD1C1CF3-5FFA-4028-953F-1665BF00B933}" name="Column15108"/>
    <tableColumn id="15109" xr3:uid="{4C0FC429-7873-46C9-8CEF-08BF5E716399}" name="Column15109"/>
    <tableColumn id="15110" xr3:uid="{61892DD7-DCC6-4328-A931-71085D7ACAF5}" name="Column15110"/>
    <tableColumn id="15111" xr3:uid="{091E44AE-111A-4E8F-9CD8-0353E6EE7FF5}" name="Column15111"/>
    <tableColumn id="15112" xr3:uid="{F0FCA848-DD89-4D5A-B99C-9A9AF1BFA5CE}" name="Column15112"/>
    <tableColumn id="15113" xr3:uid="{22113A90-CA4B-496F-9EE6-FA08A60EF1A1}" name="Column15113"/>
    <tableColumn id="15114" xr3:uid="{A856A71E-248A-42CF-8F33-EAADBC0AED4C}" name="Column15114"/>
    <tableColumn id="15115" xr3:uid="{E3605DDD-151E-4A01-869C-4290B8AFCF79}" name="Column15115"/>
    <tableColumn id="15116" xr3:uid="{0EC0E1CC-F078-4C05-9D16-65E63C5DF72D}" name="Column15116"/>
    <tableColumn id="15117" xr3:uid="{813981D7-68B5-4DE6-B228-C6F2B41B2ED5}" name="Column15117"/>
    <tableColumn id="15118" xr3:uid="{31737432-79BD-445F-B40E-762C1C81DCB8}" name="Column15118"/>
    <tableColumn id="15119" xr3:uid="{0AD1C286-F1F6-4DC2-8D21-5E416D2CD2A8}" name="Column15119"/>
    <tableColumn id="15120" xr3:uid="{0CD88E59-F227-4ED2-8468-DB92C3F50BCF}" name="Column15120"/>
    <tableColumn id="15121" xr3:uid="{DC4A85FA-7318-4DFA-887C-A93A74578673}" name="Column15121"/>
    <tableColumn id="15122" xr3:uid="{CAEEFA85-8484-44A0-92B2-B0A78D69571D}" name="Column15122"/>
    <tableColumn id="15123" xr3:uid="{DED4C6B0-0F1A-4FB9-9626-35AD1733EBE6}" name="Column15123"/>
    <tableColumn id="15124" xr3:uid="{F7AB59E4-63B3-4734-9CD5-B5030C7C298A}" name="Column15124"/>
    <tableColumn id="15125" xr3:uid="{DB5CC00A-6DC7-4AFD-8788-0526FA884D3E}" name="Column15125"/>
    <tableColumn id="15126" xr3:uid="{0A298F75-07DD-42C2-9F12-B63305A4F962}" name="Column15126"/>
    <tableColumn id="15127" xr3:uid="{D53C3466-27A4-48B9-9005-378D8FAE65F4}" name="Column15127"/>
    <tableColumn id="15128" xr3:uid="{36254603-70F9-4E98-A183-0DFA141133DC}" name="Column15128"/>
    <tableColumn id="15129" xr3:uid="{62017CF7-39AA-47DF-9225-8A3CC729469A}" name="Column15129"/>
    <tableColumn id="15130" xr3:uid="{AF2D7E87-D37D-4E98-A4CB-752A0E05CC0E}" name="Column15130"/>
    <tableColumn id="15131" xr3:uid="{25AFD767-B512-46E9-8CE9-EEDD893C4E14}" name="Column15131"/>
    <tableColumn id="15132" xr3:uid="{08840421-C34A-41AD-B307-73A7F7F32244}" name="Column15132"/>
    <tableColumn id="15133" xr3:uid="{6273F1BA-DA8B-497E-AE6C-4E9D1DDBC66B}" name="Column15133"/>
    <tableColumn id="15134" xr3:uid="{DA751391-C985-4E49-8D0B-6B45BA7109EC}" name="Column15134"/>
    <tableColumn id="15135" xr3:uid="{5B09ED6A-42D7-4B7D-AAA9-3B9F6D6A3148}" name="Column15135"/>
    <tableColumn id="15136" xr3:uid="{73F1FBEA-0B39-4C7E-9F66-C274BF3846B2}" name="Column15136"/>
    <tableColumn id="15137" xr3:uid="{9BA36083-1B5A-42A3-94D8-95D679A9C4DC}" name="Column15137"/>
    <tableColumn id="15138" xr3:uid="{5579267C-52D8-42F7-8B10-AE52B7F6050D}" name="Column15138"/>
    <tableColumn id="15139" xr3:uid="{99A02616-A95E-4306-9868-A1E9F7587942}" name="Column15139"/>
    <tableColumn id="15140" xr3:uid="{25644E78-F48A-4BD1-8FE5-BB528AD0F845}" name="Column15140"/>
    <tableColumn id="15141" xr3:uid="{681C250B-28BB-4151-B82F-85F5FA88DB17}" name="Column15141"/>
    <tableColumn id="15142" xr3:uid="{E3A36760-6CFF-48C8-97A5-C85C45AA5C9D}" name="Column15142"/>
    <tableColumn id="15143" xr3:uid="{F46034E1-E9AF-4EEB-9855-39C27514EA32}" name="Column15143"/>
    <tableColumn id="15144" xr3:uid="{062FA5EB-8395-427C-8B5C-10C068D1DDBE}" name="Column15144"/>
    <tableColumn id="15145" xr3:uid="{72AA8843-56AD-492A-9D5E-1329F12AFDB8}" name="Column15145"/>
    <tableColumn id="15146" xr3:uid="{19C0960F-E290-4C4B-9EE0-404E5B4F354B}" name="Column15146"/>
    <tableColumn id="15147" xr3:uid="{6BFC3581-BB58-4942-8A7A-C434BE6E2890}" name="Column15147"/>
    <tableColumn id="15148" xr3:uid="{6B5536AC-0714-4713-A99A-CAD15E208CB7}" name="Column15148"/>
    <tableColumn id="15149" xr3:uid="{F5930AEF-3D95-4F1E-9DA7-7282A9EFF6F4}" name="Column15149"/>
    <tableColumn id="15150" xr3:uid="{61DB2191-4317-414B-8D27-23E0AC5B6F2B}" name="Column15150"/>
    <tableColumn id="15151" xr3:uid="{36CA61CB-DDC8-4D41-AC6D-C3E8559FAFB1}" name="Column15151"/>
    <tableColumn id="15152" xr3:uid="{B9178D19-ED08-445D-94DF-FF960B56BA27}" name="Column15152"/>
    <tableColumn id="15153" xr3:uid="{9813C7A8-87B4-4AA1-B4E8-742A08A1AC22}" name="Column15153"/>
    <tableColumn id="15154" xr3:uid="{05CC2A87-F123-4929-8817-0BCC1A733FD6}" name="Column15154"/>
    <tableColumn id="15155" xr3:uid="{1DC7ACFA-69F4-4680-AB38-4B22FBCCF7F1}" name="Column15155"/>
    <tableColumn id="15156" xr3:uid="{2C322895-2453-4BF6-9D26-56934BFAA58A}" name="Column15156"/>
    <tableColumn id="15157" xr3:uid="{772BA68B-B923-4267-B814-5F190B224FDF}" name="Column15157"/>
    <tableColumn id="15158" xr3:uid="{A10A2DC5-0092-4D2A-BBB0-D6AACC4D62BA}" name="Column15158"/>
    <tableColumn id="15159" xr3:uid="{21802040-0AD8-4A74-AFFC-5442A9D7FDD1}" name="Column15159"/>
    <tableColumn id="15160" xr3:uid="{AA07EF9E-DCB3-43E3-A000-488963D602D6}" name="Column15160"/>
    <tableColumn id="15161" xr3:uid="{DB9F1239-3E98-4932-9931-DB558FB6A2ED}" name="Column15161"/>
    <tableColumn id="15162" xr3:uid="{4F06B87C-3AE6-432B-964E-7D17E00C87EF}" name="Column15162"/>
    <tableColumn id="15163" xr3:uid="{EECAD2DF-D3E7-4AFB-BE38-8BFD5A065825}" name="Column15163"/>
    <tableColumn id="15164" xr3:uid="{03A4DA90-4156-4F37-86A3-C8ABC6D375DF}" name="Column15164"/>
    <tableColumn id="15165" xr3:uid="{56B89C25-0A9E-4ABD-AE5B-2E10D5898F50}" name="Column15165"/>
    <tableColumn id="15166" xr3:uid="{E97A2EDC-EA78-48D1-96FA-7AA7307B6E88}" name="Column15166"/>
    <tableColumn id="15167" xr3:uid="{E6A97AA5-87DB-44DA-8E73-C7244143E0DE}" name="Column15167"/>
    <tableColumn id="15168" xr3:uid="{36469AC6-8C04-4143-86CF-66F6741D2B6B}" name="Column15168"/>
    <tableColumn id="15169" xr3:uid="{51DFF4BE-7B2F-4BE9-8E19-DFC9F298DF2F}" name="Column15169"/>
    <tableColumn id="15170" xr3:uid="{A71AC487-E393-4D63-92B0-0F5F394E8BA0}" name="Column15170"/>
    <tableColumn id="15171" xr3:uid="{BDC58194-4403-4BE6-861A-D35A0D596210}" name="Column15171"/>
    <tableColumn id="15172" xr3:uid="{3F5196DD-604B-478D-8D65-38C803375983}" name="Column15172"/>
    <tableColumn id="15173" xr3:uid="{8806F751-F037-4968-8AEC-979DD58C7C24}" name="Column15173"/>
    <tableColumn id="15174" xr3:uid="{0FD9D820-AD38-4AB9-BBFA-CA906DEF3BB6}" name="Column15174"/>
    <tableColumn id="15175" xr3:uid="{55FF4CE3-5924-4568-8D8F-543DFAF2C7AC}" name="Column15175"/>
    <tableColumn id="15176" xr3:uid="{2B73A2E6-0206-4B4D-8D61-F7F628E2D8E2}" name="Column15176"/>
    <tableColumn id="15177" xr3:uid="{914FF059-08A3-4D88-A9CF-6D150F67083C}" name="Column15177"/>
    <tableColumn id="15178" xr3:uid="{8297EE77-95A0-4287-A31B-E3FF7B609AE9}" name="Column15178"/>
    <tableColumn id="15179" xr3:uid="{4FEE0AFC-7060-44EB-AE69-88BC4B5BD961}" name="Column15179"/>
    <tableColumn id="15180" xr3:uid="{86A31E45-0911-4D38-86FB-414389AE7EAD}" name="Column15180"/>
    <tableColumn id="15181" xr3:uid="{EE7A8459-9AD6-4552-BCF1-396BBD495956}" name="Column15181"/>
    <tableColumn id="15182" xr3:uid="{39E47429-9437-4C82-9402-06E83178CDEF}" name="Column15182"/>
    <tableColumn id="15183" xr3:uid="{314E7CDF-89D7-4529-A579-EADA8A987F0A}" name="Column15183"/>
    <tableColumn id="15184" xr3:uid="{AA1073CF-28BE-48D1-8692-C81A72289362}" name="Column15184"/>
    <tableColumn id="15185" xr3:uid="{E6024C1E-E89D-4555-B47B-49184AFC0531}" name="Column15185"/>
    <tableColumn id="15186" xr3:uid="{89CBA237-14C1-4119-972C-83CFA2B1A9B7}" name="Column15186"/>
    <tableColumn id="15187" xr3:uid="{1E73C24E-7B6A-4EDC-89AB-CAF10B36901B}" name="Column15187"/>
    <tableColumn id="15188" xr3:uid="{0012DDFE-2A57-41D6-A7FA-4A9288933A65}" name="Column15188"/>
    <tableColumn id="15189" xr3:uid="{0D3703A4-8D6C-40C8-B414-A408377FD66D}" name="Column15189"/>
    <tableColumn id="15190" xr3:uid="{49EB2B07-E69B-4A14-9A87-088F699C7D7D}" name="Column15190"/>
    <tableColumn id="15191" xr3:uid="{1BA4E17D-88B8-41AF-BF81-97A1505C2C6F}" name="Column15191"/>
    <tableColumn id="15192" xr3:uid="{193DDBB4-CD2B-40C2-BF0A-EE4A15229AD9}" name="Column15192"/>
    <tableColumn id="15193" xr3:uid="{C72EFA09-D7B3-427C-8159-0117C9A18966}" name="Column15193"/>
    <tableColumn id="15194" xr3:uid="{CC218F14-7CDE-492F-9588-D492583EA541}" name="Column15194"/>
    <tableColumn id="15195" xr3:uid="{C68BFB71-DFAF-40B7-A897-B354F4363932}" name="Column15195"/>
    <tableColumn id="15196" xr3:uid="{6F482280-E407-4D02-92DE-2BBD02DCA84A}" name="Column15196"/>
    <tableColumn id="15197" xr3:uid="{C691078D-1E28-4905-95BA-BEFA4DBA2B28}" name="Column15197"/>
    <tableColumn id="15198" xr3:uid="{B996F4B3-05C3-4F84-9D5D-4FA30254FA6E}" name="Column15198"/>
    <tableColumn id="15199" xr3:uid="{C4B11437-C3E3-4B5E-B2A2-A9473452AAFB}" name="Column15199"/>
    <tableColumn id="15200" xr3:uid="{653DD7DD-F060-44DF-AB11-BCC99378403D}" name="Column15200"/>
    <tableColumn id="15201" xr3:uid="{5CABF812-0064-448A-9D91-8FA4532D2A17}" name="Column15201"/>
    <tableColumn id="15202" xr3:uid="{8E62BCF7-BF76-4291-ADD3-6A0DA2E16718}" name="Column15202"/>
    <tableColumn id="15203" xr3:uid="{EEC68D53-4F42-4F92-AC17-E53BAAA94147}" name="Column15203"/>
    <tableColumn id="15204" xr3:uid="{A512E86F-485C-4E3F-BFFF-C0D1EB0BCBBA}" name="Column15204"/>
    <tableColumn id="15205" xr3:uid="{7E730150-5CD5-441F-89C7-370D18B9B25C}" name="Column15205"/>
    <tableColumn id="15206" xr3:uid="{0ACB03CE-AA6D-4F98-B92F-964FB63AC7CC}" name="Column15206"/>
    <tableColumn id="15207" xr3:uid="{4948160D-703C-4236-89A5-AE3F03DC2229}" name="Column15207"/>
    <tableColumn id="15208" xr3:uid="{C7A844A8-28E0-469A-999A-B869F30661CA}" name="Column15208"/>
    <tableColumn id="15209" xr3:uid="{07D995E2-4254-45CE-970F-3720A38B3091}" name="Column15209"/>
    <tableColumn id="15210" xr3:uid="{B7F2B0A8-2D3E-4591-AB01-D9981269A7D7}" name="Column15210"/>
    <tableColumn id="15211" xr3:uid="{81A5BD8B-E5CD-413A-A273-7EB5839C013D}" name="Column15211"/>
    <tableColumn id="15212" xr3:uid="{A7A979C1-A1E8-409A-9A8A-BF31718EC513}" name="Column15212"/>
    <tableColumn id="15213" xr3:uid="{79DBC2F3-8BC1-422E-9BF5-775B12C896A2}" name="Column15213"/>
    <tableColumn id="15214" xr3:uid="{2514EDA6-D4BE-444A-9D2D-D3C8C5C4C4E6}" name="Column15214"/>
    <tableColumn id="15215" xr3:uid="{306E6CF4-B4DD-403C-8112-6CA3E8C534E0}" name="Column15215"/>
    <tableColumn id="15216" xr3:uid="{B16D8AE2-9F9F-473E-856F-B8A5920B8509}" name="Column15216"/>
    <tableColumn id="15217" xr3:uid="{4D011F97-8992-4A98-AEC3-0AC28AD4E9D3}" name="Column15217"/>
    <tableColumn id="15218" xr3:uid="{92200476-97B9-4094-830D-8B9BF6DE9C59}" name="Column15218"/>
    <tableColumn id="15219" xr3:uid="{13FBF7BA-3940-4345-ADF0-F20FE5870966}" name="Column15219"/>
    <tableColumn id="15220" xr3:uid="{47A90D6E-45B8-45EB-AA8C-77F95F019246}" name="Column15220"/>
    <tableColumn id="15221" xr3:uid="{A864B57D-1FA2-440D-86F0-9D2B6A293678}" name="Column15221"/>
    <tableColumn id="15222" xr3:uid="{773A1A9B-98C5-45C7-B6BD-EF475E75F431}" name="Column15222"/>
    <tableColumn id="15223" xr3:uid="{58AA52CD-E60B-46B1-8359-1B5CB2288F6C}" name="Column15223"/>
    <tableColumn id="15224" xr3:uid="{9C3BF4C8-535F-4933-9EF2-4AF3C544D8F1}" name="Column15224"/>
    <tableColumn id="15225" xr3:uid="{061FE395-3EE3-4779-9289-E742957DD85D}" name="Column15225"/>
    <tableColumn id="15226" xr3:uid="{0DA380C2-4372-447C-A87A-4995DD65535B}" name="Column15226"/>
    <tableColumn id="15227" xr3:uid="{DEF1D780-F684-466D-A47A-92DC55D726F9}" name="Column15227"/>
    <tableColumn id="15228" xr3:uid="{A2B6F522-B472-48AF-A2C8-9CF852F29D15}" name="Column15228"/>
    <tableColumn id="15229" xr3:uid="{A7AA15F8-4DAC-4A61-838F-D6AAE2E102DF}" name="Column15229"/>
    <tableColumn id="15230" xr3:uid="{C25C7C74-4AB7-4D2B-B06C-2419FB7414C5}" name="Column15230"/>
    <tableColumn id="15231" xr3:uid="{AE13A16F-B628-4BB2-86E2-C24F4C76096F}" name="Column15231"/>
    <tableColumn id="15232" xr3:uid="{15589FB4-2C43-48F9-AD3A-2AA1140A80BA}" name="Column15232"/>
    <tableColumn id="15233" xr3:uid="{A0AE2A65-3742-4711-A058-DC6F42BD5638}" name="Column15233"/>
    <tableColumn id="15234" xr3:uid="{9F78315E-068C-4A81-9CB2-BC095050AD6F}" name="Column15234"/>
    <tableColumn id="15235" xr3:uid="{1C7EDFB2-8E00-4D4A-8F9D-90331003AA17}" name="Column15235"/>
    <tableColumn id="15236" xr3:uid="{9F7BDE65-6688-420E-B4FA-799689E78249}" name="Column15236"/>
    <tableColumn id="15237" xr3:uid="{B1B778D7-6178-4DF6-A00E-073EFE67FB2C}" name="Column15237"/>
    <tableColumn id="15238" xr3:uid="{36F75440-9A35-4317-889B-BEA2F18021AA}" name="Column15238"/>
    <tableColumn id="15239" xr3:uid="{56564903-69F6-4E80-9879-27A3855E1932}" name="Column15239"/>
    <tableColumn id="15240" xr3:uid="{E69CB29B-634F-4BE4-A8AB-3F693FFA64EF}" name="Column15240"/>
    <tableColumn id="15241" xr3:uid="{C9E99A06-4C88-4A3F-81A6-30E4E5600989}" name="Column15241"/>
    <tableColumn id="15242" xr3:uid="{220E983B-E62B-47C8-A998-0D3898977053}" name="Column15242"/>
    <tableColumn id="15243" xr3:uid="{3217E30F-1831-4E17-89A4-BFB06A20A8E4}" name="Column15243"/>
    <tableColumn id="15244" xr3:uid="{6E7D9511-E667-4B28-AC4A-670A92F1E2EE}" name="Column15244"/>
    <tableColumn id="15245" xr3:uid="{05136E12-9DCB-467C-99C0-F0D7C4C06DED}" name="Column15245"/>
    <tableColumn id="15246" xr3:uid="{3D1A47F2-A94A-44A1-92BB-E358A1C9E4A4}" name="Column15246"/>
    <tableColumn id="15247" xr3:uid="{6CE92B6B-B6C4-42F7-8ED0-81DE6DD72B90}" name="Column15247"/>
    <tableColumn id="15248" xr3:uid="{ED32C7AE-6781-41F0-A41E-731A8F5FFBD9}" name="Column15248"/>
    <tableColumn id="15249" xr3:uid="{08DD9870-4607-4915-ACF1-8468E381EB05}" name="Column15249"/>
    <tableColumn id="15250" xr3:uid="{70C6DFAE-B50A-41F8-98F7-72720FF996D4}" name="Column15250"/>
    <tableColumn id="15251" xr3:uid="{01CFCBF2-2CF4-49A9-951C-F3D2A8B15EB7}" name="Column15251"/>
    <tableColumn id="15252" xr3:uid="{CBF17C10-06D9-4C7A-8FE9-A5D19603D055}" name="Column15252"/>
    <tableColumn id="15253" xr3:uid="{0A8957C6-5BBA-4353-A8B8-A23EA7F1198F}" name="Column15253"/>
    <tableColumn id="15254" xr3:uid="{F365F9C9-FB11-4FF7-AAF9-95BDE81B0AE2}" name="Column15254"/>
    <tableColumn id="15255" xr3:uid="{A388BF34-6E4C-46F9-BD04-CA14FD81EF6E}" name="Column15255"/>
    <tableColumn id="15256" xr3:uid="{E49894F2-750E-4B93-9F98-4EF01B7BFA88}" name="Column15256"/>
    <tableColumn id="15257" xr3:uid="{C7F40B8F-D790-435F-9DD3-8B2A4B95D4E8}" name="Column15257"/>
    <tableColumn id="15258" xr3:uid="{2287252F-8170-4505-90C8-9572C49AB049}" name="Column15258"/>
    <tableColumn id="15259" xr3:uid="{E1CD7BCE-A151-4232-B2DB-66C5ED243C4A}" name="Column15259"/>
    <tableColumn id="15260" xr3:uid="{801A5A4B-729F-42C4-B1EA-22B106CD4C6E}" name="Column15260"/>
    <tableColumn id="15261" xr3:uid="{ADD44CC6-61DE-4D41-894F-4408BECE3616}" name="Column15261"/>
    <tableColumn id="15262" xr3:uid="{EB452F29-68D5-422C-B501-53962820B11A}" name="Column15262"/>
    <tableColumn id="15263" xr3:uid="{EF0D594D-5AD2-496C-8102-24C296BD505A}" name="Column15263"/>
    <tableColumn id="15264" xr3:uid="{1B7C99E6-951A-4F58-8359-E36CDAFEBB2D}" name="Column15264"/>
    <tableColumn id="15265" xr3:uid="{963DF1D3-CE9D-48B2-ACB1-1081BBC91437}" name="Column15265"/>
    <tableColumn id="15266" xr3:uid="{4EA50F6B-BDA6-4D77-9AB4-74A00E1750FB}" name="Column15266"/>
    <tableColumn id="15267" xr3:uid="{8B542CF5-8B31-405C-8F8E-A30D2BF253B9}" name="Column15267"/>
    <tableColumn id="15268" xr3:uid="{916CF5AD-C019-4DF9-85C4-853CCA796E2D}" name="Column15268"/>
    <tableColumn id="15269" xr3:uid="{7D28913F-86F0-400A-9267-FAE3596E8CB0}" name="Column15269"/>
    <tableColumn id="15270" xr3:uid="{315135EC-7BD5-41AB-8793-172CE211E4FD}" name="Column15270"/>
    <tableColumn id="15271" xr3:uid="{2380F2F9-6074-4B6E-9249-76E1761BF3B3}" name="Column15271"/>
    <tableColumn id="15272" xr3:uid="{EAAAA9BC-0B51-44AE-A983-4D14BD1FFB79}" name="Column15272"/>
    <tableColumn id="15273" xr3:uid="{8B543A90-641E-41E9-9702-D582F94BFC9D}" name="Column15273"/>
    <tableColumn id="15274" xr3:uid="{02C770D2-6D4D-41C2-9CE8-69598A3AEB49}" name="Column15274"/>
    <tableColumn id="15275" xr3:uid="{BF62691F-EE85-4072-985E-E57E3FEBAF46}" name="Column15275"/>
    <tableColumn id="15276" xr3:uid="{FA682DB7-4192-4E54-87FA-EE0624052536}" name="Column15276"/>
    <tableColumn id="15277" xr3:uid="{9A4EB2D5-772E-4D32-B60B-B26F824C125F}" name="Column15277"/>
    <tableColumn id="15278" xr3:uid="{316447B3-CA2C-4EB6-AFD5-3D4888834222}" name="Column15278"/>
    <tableColumn id="15279" xr3:uid="{2C913AF8-838A-4828-ACF7-D6FC56A2B092}" name="Column15279"/>
    <tableColumn id="15280" xr3:uid="{802BC195-C4DD-47FC-9434-BAD1FCF4DDC6}" name="Column15280"/>
    <tableColumn id="15281" xr3:uid="{40F0FDB1-E2A5-4F00-B6B4-8ABFBF54F396}" name="Column15281"/>
    <tableColumn id="15282" xr3:uid="{01D24984-C2E2-4F2C-AC88-4587E434A4F2}" name="Column15282"/>
    <tableColumn id="15283" xr3:uid="{201603B4-C1BD-47B5-AF40-AAAB030873DA}" name="Column15283"/>
    <tableColumn id="15284" xr3:uid="{29E67429-05A3-44D8-90FD-A42B16D2FBD7}" name="Column15284"/>
    <tableColumn id="15285" xr3:uid="{15620F94-5B7B-4630-B831-AEFD5D884D43}" name="Column15285"/>
    <tableColumn id="15286" xr3:uid="{E11BD006-5F38-472B-8CBF-0719842F0000}" name="Column15286"/>
    <tableColumn id="15287" xr3:uid="{33F6BFFE-1073-4EE1-BFC2-D3756B425A0A}" name="Column15287"/>
    <tableColumn id="15288" xr3:uid="{52E39B0E-9BE9-4682-BA27-9E2A2E05A454}" name="Column15288"/>
    <tableColumn id="15289" xr3:uid="{F5AE2A39-7643-40E8-AB77-16A3A12E10F6}" name="Column15289"/>
    <tableColumn id="15290" xr3:uid="{B6A663D2-A83E-451F-B166-4B855BCD5A4A}" name="Column15290"/>
    <tableColumn id="15291" xr3:uid="{3C8D5E9E-6691-4BA7-883D-B84C484CF4C1}" name="Column15291"/>
    <tableColumn id="15292" xr3:uid="{0B026423-D47F-42D5-AAEA-F2EA18B090D8}" name="Column15292"/>
    <tableColumn id="15293" xr3:uid="{EE2C759E-BB72-48DB-8486-813A7D34EAD1}" name="Column15293"/>
    <tableColumn id="15294" xr3:uid="{104E4F53-22E0-419B-890E-87DDFF1BD6A0}" name="Column15294"/>
    <tableColumn id="15295" xr3:uid="{24567EB7-A785-4BF9-BBFF-1A9474352A79}" name="Column15295"/>
    <tableColumn id="15296" xr3:uid="{D404FA15-371A-4436-8AD0-03F672221CD3}" name="Column15296"/>
    <tableColumn id="15297" xr3:uid="{28BFE03B-FA16-4917-AA59-351678780D0F}" name="Column15297"/>
    <tableColumn id="15298" xr3:uid="{20B7EBC7-2D3E-4EFD-9705-F051AF0407EE}" name="Column15298"/>
    <tableColumn id="15299" xr3:uid="{2CB25425-9774-4BE4-8325-A6C308CD96F8}" name="Column15299"/>
    <tableColumn id="15300" xr3:uid="{B9B35B13-38EC-4E99-A1DB-75D0623631F9}" name="Column15300"/>
    <tableColumn id="15301" xr3:uid="{8CBED551-8C94-4E72-B417-2EEC753A8B96}" name="Column15301"/>
    <tableColumn id="15302" xr3:uid="{FDEB21DE-2799-4439-A6DE-1B3AEFA8F1A3}" name="Column15302"/>
    <tableColumn id="15303" xr3:uid="{52B1234A-1C93-4095-A907-7C9DF250E841}" name="Column15303"/>
    <tableColumn id="15304" xr3:uid="{EF27A969-4DE7-4EF7-9C21-D17420F1F5B1}" name="Column15304"/>
    <tableColumn id="15305" xr3:uid="{30C94EDA-A08C-4CC7-A992-258F1F6484F3}" name="Column15305"/>
    <tableColumn id="15306" xr3:uid="{ECB92AA9-8AF8-4761-9571-28764FDE4E23}" name="Column15306"/>
    <tableColumn id="15307" xr3:uid="{1D5D2A9F-26F8-49DF-965A-05E218DD324A}" name="Column15307"/>
    <tableColumn id="15308" xr3:uid="{2C1C03B7-1F4C-4A11-A191-81F8B678287A}" name="Column15308"/>
    <tableColumn id="15309" xr3:uid="{AE67FAD3-AF74-4E46-BC4B-2A128AFBB999}" name="Column15309"/>
    <tableColumn id="15310" xr3:uid="{6AAEFDB6-9B8E-48BD-9207-878ECF8CB62C}" name="Column15310"/>
    <tableColumn id="15311" xr3:uid="{80F8F337-EC3E-4EBF-B940-30EEA52C6C69}" name="Column15311"/>
    <tableColumn id="15312" xr3:uid="{342E3057-C5B5-4FC0-BA81-F5A488F280CE}" name="Column15312"/>
    <tableColumn id="15313" xr3:uid="{4825556A-FC69-4A31-B176-409B465B48DA}" name="Column15313"/>
    <tableColumn id="15314" xr3:uid="{28391427-2DDF-4150-AF9C-4DC75E71572A}" name="Column15314"/>
    <tableColumn id="15315" xr3:uid="{EEA40D1D-24FA-49B5-BD10-50853F8C1383}" name="Column15315"/>
    <tableColumn id="15316" xr3:uid="{5A588346-EFDD-4067-AC49-9075E12A9EE0}" name="Column15316"/>
    <tableColumn id="15317" xr3:uid="{043E5E75-3623-420F-99A4-F0C179E732F1}" name="Column15317"/>
    <tableColumn id="15318" xr3:uid="{9092A6A6-FA0C-4A21-8750-8F62224B759D}" name="Column15318"/>
    <tableColumn id="15319" xr3:uid="{29DE7810-0CBC-4174-88B3-9D44B7A931EF}" name="Column15319"/>
    <tableColumn id="15320" xr3:uid="{8D3DF2EB-61DC-4094-9E00-3309FC35F7C0}" name="Column15320"/>
    <tableColumn id="15321" xr3:uid="{C8F75249-6853-4639-9192-FC840C1149FC}" name="Column15321"/>
    <tableColumn id="15322" xr3:uid="{C3305DF5-551C-4D4F-A7AA-1F28E4A7BEBC}" name="Column15322"/>
    <tableColumn id="15323" xr3:uid="{01C646AC-DD1E-47F3-B20F-23FE73737439}" name="Column15323"/>
    <tableColumn id="15324" xr3:uid="{161CFAA6-CBCF-413C-9D8A-2AD408320F6D}" name="Column15324"/>
    <tableColumn id="15325" xr3:uid="{B8FE9631-59F6-4609-8A8A-372F121D65ED}" name="Column15325"/>
    <tableColumn id="15326" xr3:uid="{A333E569-EF8F-4B1C-9AD6-F5FFB538E955}" name="Column15326"/>
    <tableColumn id="15327" xr3:uid="{D9944A1D-E06F-4971-85C0-41A3624F55FF}" name="Column15327"/>
    <tableColumn id="15328" xr3:uid="{047BD93E-A018-402A-8AB5-0BD8FB14C512}" name="Column15328"/>
    <tableColumn id="15329" xr3:uid="{53268DE6-177F-405A-9750-044B1204602F}" name="Column15329"/>
    <tableColumn id="15330" xr3:uid="{94F8F09E-98C6-443F-9ED3-6424556E6686}" name="Column15330"/>
    <tableColumn id="15331" xr3:uid="{D15F09F3-0DEC-4200-A54C-31979BCFEDB6}" name="Column15331"/>
    <tableColumn id="15332" xr3:uid="{C1DD9DD4-BC25-41EB-9143-E14383EDF293}" name="Column15332"/>
    <tableColumn id="15333" xr3:uid="{63A7E924-14E2-4C84-9026-F9404997F961}" name="Column15333"/>
    <tableColumn id="15334" xr3:uid="{88B37E94-5E24-42CB-BE97-2AA2273F3411}" name="Column15334"/>
    <tableColumn id="15335" xr3:uid="{3E45238C-964E-48CE-8777-D13E1127C1A2}" name="Column15335"/>
    <tableColumn id="15336" xr3:uid="{15ABFDA7-8EDE-4ADF-8800-668CB2A60926}" name="Column15336"/>
    <tableColumn id="15337" xr3:uid="{83AF5489-3E73-4FAC-905B-9B114A68CCCD}" name="Column15337"/>
    <tableColumn id="15338" xr3:uid="{33FBCE74-8E73-461A-ABBD-D8B918F1D887}" name="Column15338"/>
    <tableColumn id="15339" xr3:uid="{B129DB89-EEB9-4E8F-8D12-30B5BB6F18C4}" name="Column15339"/>
    <tableColumn id="15340" xr3:uid="{EE50398A-32D6-4FE8-B02B-262D9162EFE7}" name="Column15340"/>
    <tableColumn id="15341" xr3:uid="{D4290C04-367F-43C3-B1EC-1ABA2EA57318}" name="Column15341"/>
    <tableColumn id="15342" xr3:uid="{F9D8A3F5-180D-42D2-ACEB-850C9C2CCAF1}" name="Column15342"/>
    <tableColumn id="15343" xr3:uid="{C1ED5EA1-A2A8-4C66-BD0C-0CA4AEE2253F}" name="Column15343"/>
    <tableColumn id="15344" xr3:uid="{B9E30C34-1A20-477A-924F-9B9FCC36BEB2}" name="Column15344"/>
    <tableColumn id="15345" xr3:uid="{3B1A7203-0164-47CC-9A82-7D96193B77BB}" name="Column15345"/>
    <tableColumn id="15346" xr3:uid="{0F1BDCF4-C037-42F9-9A1F-EAA1BBF953C6}" name="Column15346"/>
    <tableColumn id="15347" xr3:uid="{333430EC-F6DC-4EA4-A486-F215792508DC}" name="Column15347"/>
    <tableColumn id="15348" xr3:uid="{361B9219-5D42-4A0C-8475-ED002E985844}" name="Column15348"/>
    <tableColumn id="15349" xr3:uid="{1919A082-B5D1-4ED1-AAB2-DC19F83C4280}" name="Column15349"/>
    <tableColumn id="15350" xr3:uid="{22E593E5-79D8-44B9-9F8A-2698EA492BB6}" name="Column15350"/>
    <tableColumn id="15351" xr3:uid="{8272F8DF-BE1A-4502-9105-E120B8E53634}" name="Column15351"/>
    <tableColumn id="15352" xr3:uid="{D655D477-CB5E-436D-9338-20519592B446}" name="Column15352"/>
    <tableColumn id="15353" xr3:uid="{852B7940-44BC-40DB-A667-673F6B9CD79C}" name="Column15353"/>
    <tableColumn id="15354" xr3:uid="{92B51A54-4564-4333-910E-41622CB36A32}" name="Column15354"/>
    <tableColumn id="15355" xr3:uid="{CB2C1A49-AB35-4069-B439-C053ABFBD7E1}" name="Column15355"/>
    <tableColumn id="15356" xr3:uid="{04FDB07C-49CC-470D-BAA2-68180239A0B3}" name="Column15356"/>
    <tableColumn id="15357" xr3:uid="{EA2B3BB3-6665-4A1B-9545-64DAC1831B62}" name="Column15357"/>
    <tableColumn id="15358" xr3:uid="{FC2B0EAF-6B41-4BAD-8702-6CD2D28BAE4E}" name="Column15358"/>
    <tableColumn id="15359" xr3:uid="{323B292B-2337-4C86-8F58-886FE8DDDDAD}" name="Column15359"/>
    <tableColumn id="15360" xr3:uid="{9050F648-512A-4F04-A81C-92614F0D3C1F}" name="Column15360"/>
    <tableColumn id="15361" xr3:uid="{785A0AB6-0E52-4615-B96A-87B8B4F4D93E}" name="Column15361"/>
    <tableColumn id="15362" xr3:uid="{F6577147-46E3-4393-B0D0-C353F07F7BEF}" name="Column15362"/>
    <tableColumn id="15363" xr3:uid="{8B9EE78E-7D12-4DDE-A31D-001FCEDAF979}" name="Column15363"/>
    <tableColumn id="15364" xr3:uid="{1FD42960-CD81-4C0D-BC8F-08AF9959DBF8}" name="Column15364"/>
    <tableColumn id="15365" xr3:uid="{21025B7B-B911-441F-8806-278EC6A1B570}" name="Column15365"/>
    <tableColumn id="15366" xr3:uid="{CDA8D42D-CD53-4166-8497-8256AB4274EA}" name="Column15366"/>
    <tableColumn id="15367" xr3:uid="{29B72529-35E8-429E-9FE4-F18BC19351F5}" name="Column15367"/>
    <tableColumn id="15368" xr3:uid="{59FA8C78-E7B3-4515-85D9-E8F2AA5332CE}" name="Column15368"/>
    <tableColumn id="15369" xr3:uid="{616D187D-3768-4312-BD56-EB00437425FA}" name="Column15369"/>
    <tableColumn id="15370" xr3:uid="{A3B025E9-545A-4D09-A93A-EC010625E83A}" name="Column15370"/>
    <tableColumn id="15371" xr3:uid="{5A25F4D5-DA09-49A0-8A29-E52823F9ADE0}" name="Column15371"/>
    <tableColumn id="15372" xr3:uid="{02DD79D8-58F6-4C4C-92EA-57B3823552DE}" name="Column15372"/>
    <tableColumn id="15373" xr3:uid="{F2E1314E-B6B6-4508-9ABE-9A363CDD1B6D}" name="Column15373"/>
    <tableColumn id="15374" xr3:uid="{D93E0DD7-C00D-4E8B-ABE4-62BE0DE9EEC3}" name="Column15374"/>
    <tableColumn id="15375" xr3:uid="{79BF99C2-10E5-4755-A9FD-A383777AAC79}" name="Column15375"/>
    <tableColumn id="15376" xr3:uid="{19B00A37-56DE-4FA5-8C83-1B9B86B933A1}" name="Column15376"/>
    <tableColumn id="15377" xr3:uid="{70C90104-F0FA-4B85-BCA9-BDBF4F84DB4B}" name="Column15377"/>
    <tableColumn id="15378" xr3:uid="{725E0929-8050-40EC-98C1-3446CC29990D}" name="Column15378"/>
    <tableColumn id="15379" xr3:uid="{CD12252F-57AC-406A-A036-F025FFECBFB9}" name="Column15379"/>
    <tableColumn id="15380" xr3:uid="{27B3582F-AFEB-4F9C-BBB5-318812AC8DFA}" name="Column15380"/>
    <tableColumn id="15381" xr3:uid="{BA816286-760F-404D-BDFB-BC1534E175DF}" name="Column15381"/>
    <tableColumn id="15382" xr3:uid="{7DE0AA9B-1203-4B0E-95B2-858AA740D19C}" name="Column15382"/>
    <tableColumn id="15383" xr3:uid="{0DB19529-7CBF-4D73-9D8E-A0B8BD3B3F56}" name="Column15383"/>
    <tableColumn id="15384" xr3:uid="{E593F6C3-3EC3-41B9-BCC9-C664E3BF7777}" name="Column15384"/>
    <tableColumn id="15385" xr3:uid="{1A5263CE-ECF7-4365-AB4B-D73FDE43E09A}" name="Column15385"/>
    <tableColumn id="15386" xr3:uid="{41705918-BD8A-44CC-B150-8A08B0BEAFA6}" name="Column15386"/>
    <tableColumn id="15387" xr3:uid="{9F6E1389-EA1B-48F2-96CA-C823F649674E}" name="Column15387"/>
    <tableColumn id="15388" xr3:uid="{279BA155-10B6-482E-A694-37BB1295D139}" name="Column15388"/>
    <tableColumn id="15389" xr3:uid="{A0626393-DD48-4859-A19D-DF166B756931}" name="Column15389"/>
    <tableColumn id="15390" xr3:uid="{04BD7935-3EAE-47C2-B549-B2BD59353E71}" name="Column15390"/>
    <tableColumn id="15391" xr3:uid="{73E67CBB-CB73-4BFD-9A61-96BFCB4B3D22}" name="Column15391"/>
    <tableColumn id="15392" xr3:uid="{809C8070-2567-434B-867A-3F94480BBFF0}" name="Column15392"/>
    <tableColumn id="15393" xr3:uid="{81BBD07A-861C-41C4-8A91-88369AF15A91}" name="Column15393"/>
    <tableColumn id="15394" xr3:uid="{0B4EF407-6B45-492A-8F21-E9FA29AA10DD}" name="Column15394"/>
    <tableColumn id="15395" xr3:uid="{EC11A8EA-DC3C-4AF6-95A5-2843413DC390}" name="Column15395"/>
    <tableColumn id="15396" xr3:uid="{178FEA8C-6C74-4EF9-B0E6-82FC330D1DEC}" name="Column15396"/>
    <tableColumn id="15397" xr3:uid="{2D09D2AE-996A-4BCC-898F-BE14A383678E}" name="Column15397"/>
    <tableColumn id="15398" xr3:uid="{AE828F1A-DDE2-473A-B6CB-3660C756293C}" name="Column15398"/>
    <tableColumn id="15399" xr3:uid="{C6D0B9DC-C6F7-4C1E-AC14-8B19485413D5}" name="Column15399"/>
    <tableColumn id="15400" xr3:uid="{0F289E88-5D80-4BCB-904A-132462B505C0}" name="Column15400"/>
    <tableColumn id="15401" xr3:uid="{3D14DC8D-FE61-45CE-B3C7-2F2D7E4544CA}" name="Column15401"/>
    <tableColumn id="15402" xr3:uid="{8C0BB9E8-469B-4076-BAFF-5E011E1449BE}" name="Column15402"/>
    <tableColumn id="15403" xr3:uid="{9ED3FBCA-DFA7-44DE-953F-66DE20674EA6}" name="Column15403"/>
    <tableColumn id="15404" xr3:uid="{AC6E1B45-C8A3-46C0-B447-845D392C6EE7}" name="Column15404"/>
    <tableColumn id="15405" xr3:uid="{258D57FF-39BD-4FC7-B4B9-ECD2A50AEF6E}" name="Column15405"/>
    <tableColumn id="15406" xr3:uid="{255AC4D3-C1A8-4B57-9A6C-36CFB9AA1550}" name="Column15406"/>
    <tableColumn id="15407" xr3:uid="{E5769B8F-EF0B-4AC5-B3A8-42217B079CAB}" name="Column15407"/>
    <tableColumn id="15408" xr3:uid="{44941FD3-98B9-4F00-B249-9F06A3824DFE}" name="Column15408"/>
    <tableColumn id="15409" xr3:uid="{C46B4AA9-88F2-4E3F-9300-72AD8D1CA4F9}" name="Column15409"/>
    <tableColumn id="15410" xr3:uid="{332BEA01-E6F1-42E9-8DD0-4A66E31D6AF6}" name="Column15410"/>
    <tableColumn id="15411" xr3:uid="{4049F0BB-5ECA-4B91-B7D5-C314BC724FBD}" name="Column15411"/>
    <tableColumn id="15412" xr3:uid="{15DAFD13-A033-40F4-A02B-883E4AAC9DC2}" name="Column15412"/>
    <tableColumn id="15413" xr3:uid="{958CCC24-49AE-40BF-9751-3C7FBF92CF96}" name="Column15413"/>
    <tableColumn id="15414" xr3:uid="{EA955BA1-3C65-42D0-8BF3-FC0EC9474956}" name="Column15414"/>
    <tableColumn id="15415" xr3:uid="{5B18A802-C696-4DD2-9220-AC8FC2370005}" name="Column15415"/>
    <tableColumn id="15416" xr3:uid="{947445AD-528D-4D60-AB47-0B2456515B24}" name="Column15416"/>
    <tableColumn id="15417" xr3:uid="{C0250C1B-C3A4-479C-9A05-9B8597861E99}" name="Column15417"/>
    <tableColumn id="15418" xr3:uid="{168BB58B-30EB-4E5A-946B-8316D9B3C320}" name="Column15418"/>
    <tableColumn id="15419" xr3:uid="{A62500A4-4242-4270-936F-194E223C7B60}" name="Column15419"/>
    <tableColumn id="15420" xr3:uid="{63947E9A-255C-4B13-95DA-623CD9D0BA50}" name="Column15420"/>
    <tableColumn id="15421" xr3:uid="{08ABA73E-D84D-4257-9414-67D7FF1B331A}" name="Column15421"/>
    <tableColumn id="15422" xr3:uid="{6D2AAFED-C1E1-4CEA-86D5-B88D4AE0C591}" name="Column15422"/>
    <tableColumn id="15423" xr3:uid="{7EA62463-695F-4711-A2F8-2EB971B0FABE}" name="Column15423"/>
    <tableColumn id="15424" xr3:uid="{64115D19-6A7E-4051-B09F-277E92585661}" name="Column15424"/>
    <tableColumn id="15425" xr3:uid="{470D062A-C6AD-49B7-AAB1-E39D47085E91}" name="Column15425"/>
    <tableColumn id="15426" xr3:uid="{D4D2B3AB-B88A-40F6-B90B-94ADE32025D3}" name="Column15426"/>
    <tableColumn id="15427" xr3:uid="{6FAE9C3A-BFC6-49DC-95A3-E1708EEE1812}" name="Column15427"/>
    <tableColumn id="15428" xr3:uid="{BCC691BB-CAE9-4050-BEB6-8CA30DA37F90}" name="Column15428"/>
    <tableColumn id="15429" xr3:uid="{6BF82703-A638-4985-B215-7F02547154A9}" name="Column15429"/>
    <tableColumn id="15430" xr3:uid="{6B7952FF-8F0B-4531-A3FB-8506054B8759}" name="Column15430"/>
    <tableColumn id="15431" xr3:uid="{AF2386E5-F295-4C6D-8484-6A3CEE455035}" name="Column15431"/>
    <tableColumn id="15432" xr3:uid="{18D49799-D039-4C3D-BF5C-790488C39286}" name="Column15432"/>
    <tableColumn id="15433" xr3:uid="{ED3F7C78-2728-4B69-9A1E-AA3F31E59667}" name="Column15433"/>
    <tableColumn id="15434" xr3:uid="{B577C6EA-0224-4F31-8CAD-AE6315980AB0}" name="Column15434"/>
    <tableColumn id="15435" xr3:uid="{DBF3EC2B-1E26-4FD5-917F-19BAD661CC14}" name="Column15435"/>
    <tableColumn id="15436" xr3:uid="{AC63E2EF-1B44-4316-8652-CF2C77A6CDFD}" name="Column15436"/>
    <tableColumn id="15437" xr3:uid="{2C6D5E6F-F95A-46F0-91E1-C4B2EC896FCD}" name="Column15437"/>
    <tableColumn id="15438" xr3:uid="{BF517CE5-1962-4163-BCB9-D39B55A932A3}" name="Column15438"/>
    <tableColumn id="15439" xr3:uid="{8D686708-91DE-4EA0-814A-3134E5EEFB6E}" name="Column15439"/>
    <tableColumn id="15440" xr3:uid="{94D8FF5F-CF2F-4820-A005-99E8F2F58257}" name="Column15440"/>
    <tableColumn id="15441" xr3:uid="{B582C3B7-DE34-4E17-8751-C962BDA56ED1}" name="Column15441"/>
    <tableColumn id="15442" xr3:uid="{FBB58AAA-7A83-49AE-8F3B-DC02E02A7CAE}" name="Column15442"/>
    <tableColumn id="15443" xr3:uid="{B68361B3-74BB-44D8-8596-DC9AC5A84B93}" name="Column15443"/>
    <tableColumn id="15444" xr3:uid="{F6B744AD-8865-411A-B787-D6AEBFD64BE0}" name="Column15444"/>
    <tableColumn id="15445" xr3:uid="{040F7E72-6D7F-49DC-95B4-35279273BA04}" name="Column15445"/>
    <tableColumn id="15446" xr3:uid="{789B0680-8310-4DFA-BF8D-96F7A4588245}" name="Column15446"/>
    <tableColumn id="15447" xr3:uid="{754005D9-B740-4853-A761-3D343C742CC7}" name="Column15447"/>
    <tableColumn id="15448" xr3:uid="{7B9A8666-B854-47D9-9027-B6292F0A5350}" name="Column15448"/>
    <tableColumn id="15449" xr3:uid="{D38F25BD-A2BE-4584-A683-7D7FEB3DC842}" name="Column15449"/>
    <tableColumn id="15450" xr3:uid="{86A28C5C-C573-47B3-947A-B402C2AC18CB}" name="Column15450"/>
    <tableColumn id="15451" xr3:uid="{EB7B9AA8-ACCC-42D5-8A12-BB3CEC4775FC}" name="Column15451"/>
    <tableColumn id="15452" xr3:uid="{F728F187-2FB4-451C-A847-797D21AFA8BE}" name="Column15452"/>
    <tableColumn id="15453" xr3:uid="{06C2C69F-57A4-4387-93C0-76158FC9B362}" name="Column15453"/>
    <tableColumn id="15454" xr3:uid="{358D600C-EC63-43A1-8BFE-162B1EF8403D}" name="Column15454"/>
    <tableColumn id="15455" xr3:uid="{6D45CFD8-D17D-4BAE-945F-E23B46B2676C}" name="Column15455"/>
    <tableColumn id="15456" xr3:uid="{22F8D3DE-3FAF-44A7-969F-9DEE875E9F0F}" name="Column15456"/>
    <tableColumn id="15457" xr3:uid="{CD1DEA27-1A40-4CFA-9828-21CA695CC0B4}" name="Column15457"/>
    <tableColumn id="15458" xr3:uid="{7D683937-E84E-4292-83A8-6F4E71D57B52}" name="Column15458"/>
    <tableColumn id="15459" xr3:uid="{EEAC0C11-8026-4516-BC82-3D69B024C845}" name="Column15459"/>
    <tableColumn id="15460" xr3:uid="{999DC0EF-4AF3-4FAB-849A-EAEDEE26625D}" name="Column15460"/>
    <tableColumn id="15461" xr3:uid="{63532D6A-1CD8-4DF4-A090-16BFAA509297}" name="Column15461"/>
    <tableColumn id="15462" xr3:uid="{5BCFD01D-2C51-41C6-B14C-A2BF5314C6F3}" name="Column15462"/>
    <tableColumn id="15463" xr3:uid="{EF0A15CF-49D0-4A1F-AFCA-E6E1D3A8EF45}" name="Column15463"/>
    <tableColumn id="15464" xr3:uid="{FC9BCDBC-1109-48B1-8A3E-DF07E7FC373D}" name="Column15464"/>
    <tableColumn id="15465" xr3:uid="{C6E45173-A69B-4C0B-828E-411507CB3354}" name="Column15465"/>
    <tableColumn id="15466" xr3:uid="{893BD527-83D2-4A9D-97CF-098D9B7662E3}" name="Column15466"/>
    <tableColumn id="15467" xr3:uid="{BF5ED61D-C523-4472-88A9-ABE51CDF5833}" name="Column15467"/>
    <tableColumn id="15468" xr3:uid="{41320854-939E-4B60-A848-91D178405E83}" name="Column15468"/>
    <tableColumn id="15469" xr3:uid="{FBB5B381-9E1C-4E93-9BE6-558297E8351C}" name="Column15469"/>
    <tableColumn id="15470" xr3:uid="{A65DE551-3190-4111-BF05-D71D77155D87}" name="Column15470"/>
    <tableColumn id="15471" xr3:uid="{AF6D7ADA-6740-4F24-BCF9-5731B5474164}" name="Column15471"/>
    <tableColumn id="15472" xr3:uid="{C61AEEDB-FA5C-4C8D-8E55-3FAA484DC8EE}" name="Column15472"/>
    <tableColumn id="15473" xr3:uid="{E6E78BA2-45C5-46CE-A4EF-9BCBAFFDEE8C}" name="Column15473"/>
    <tableColumn id="15474" xr3:uid="{D66C33E0-739E-4EE8-8C24-9D51FA941590}" name="Column15474"/>
    <tableColumn id="15475" xr3:uid="{99CACCC5-8A12-42E3-B681-4BE09B23C188}" name="Column15475"/>
    <tableColumn id="15476" xr3:uid="{B4E9ACDC-44DB-4D55-AACA-0FCED2E03CDD}" name="Column15476"/>
    <tableColumn id="15477" xr3:uid="{8A04A20D-9608-4454-A598-9E986757086A}" name="Column15477"/>
    <tableColumn id="15478" xr3:uid="{F87005AA-726F-46A9-BFD5-801B2A4E47A9}" name="Column15478"/>
    <tableColumn id="15479" xr3:uid="{BD88DBA7-55C8-4E0F-BD84-1BD2E0F7D179}" name="Column15479"/>
    <tableColumn id="15480" xr3:uid="{620268D7-C172-4BFD-B1F6-21209B0BFFDE}" name="Column15480"/>
    <tableColumn id="15481" xr3:uid="{7B63327F-D364-4FF6-84A7-4DA8B962D73F}" name="Column15481"/>
    <tableColumn id="15482" xr3:uid="{1DA31BC2-9FC9-4F3C-B460-1DF891BB8C04}" name="Column15482"/>
    <tableColumn id="15483" xr3:uid="{199EAF5E-C741-4759-B3DB-5CE6E40E8FA0}" name="Column15483"/>
    <tableColumn id="15484" xr3:uid="{CFC0B249-AA4D-4076-A406-0801B2CE5D98}" name="Column15484"/>
    <tableColumn id="15485" xr3:uid="{EE4CF03D-12AA-4EFE-9220-80A9205EFE51}" name="Column15485"/>
    <tableColumn id="15486" xr3:uid="{6905744C-A071-4481-9B0D-C4F31653E811}" name="Column15486"/>
    <tableColumn id="15487" xr3:uid="{A72B9C74-93C6-49EA-9F59-AF20748732FE}" name="Column15487"/>
    <tableColumn id="15488" xr3:uid="{D0E38E83-53A2-4697-8BCB-E82CA57066EA}" name="Column15488"/>
    <tableColumn id="15489" xr3:uid="{C179660E-AA8C-4662-AA76-2F7D2E8FA5E3}" name="Column15489"/>
    <tableColumn id="15490" xr3:uid="{015E2456-8837-4038-9D10-E2C039F93828}" name="Column15490"/>
    <tableColumn id="15491" xr3:uid="{1B7E5C7C-6E85-4457-843E-7204EA8F828E}" name="Column15491"/>
    <tableColumn id="15492" xr3:uid="{8E6160B1-3544-4418-A837-0D51F4E2ADB3}" name="Column15492"/>
    <tableColumn id="15493" xr3:uid="{091390A4-CE55-4DFA-8250-FE1AD9C8113F}" name="Column15493"/>
    <tableColumn id="15494" xr3:uid="{DC463EF0-35EB-4594-897F-BF26EE1538DD}" name="Column15494"/>
    <tableColumn id="15495" xr3:uid="{77F6E9DA-4F8B-4AA9-975F-E8A863F0BE3F}" name="Column15495"/>
    <tableColumn id="15496" xr3:uid="{7B1D5592-8F26-4DBE-8651-FD1EDCCB33D7}" name="Column15496"/>
    <tableColumn id="15497" xr3:uid="{A294F657-A3B1-4991-ACA8-8559939D3180}" name="Column15497"/>
    <tableColumn id="15498" xr3:uid="{737635D4-61DC-4A68-9214-310375EE1F1F}" name="Column15498"/>
    <tableColumn id="15499" xr3:uid="{65EAF625-197D-474A-A19C-9257D6B6B95D}" name="Column15499"/>
    <tableColumn id="15500" xr3:uid="{A8398970-E545-40BF-81BF-29D265831CB1}" name="Column15500"/>
    <tableColumn id="15501" xr3:uid="{4D242D06-EE0D-4EDA-9856-6ADFE7646464}" name="Column15501"/>
    <tableColumn id="15502" xr3:uid="{D926DF5B-F162-4D07-81B1-45A056CFD0E6}" name="Column15502"/>
    <tableColumn id="15503" xr3:uid="{13445085-F072-4BC0-8B2B-93B52A606FB7}" name="Column15503"/>
    <tableColumn id="15504" xr3:uid="{48A12847-57A6-40F8-9C32-21C236D81B50}" name="Column15504"/>
    <tableColumn id="15505" xr3:uid="{9FB7DD81-5B1B-449A-BE91-C95A700F82FE}" name="Column15505"/>
    <tableColumn id="15506" xr3:uid="{0E3374E6-912C-4386-8BF5-AFFF879A0BEB}" name="Column15506"/>
    <tableColumn id="15507" xr3:uid="{81117834-7832-4564-A52A-EF6CBCDF474E}" name="Column15507"/>
    <tableColumn id="15508" xr3:uid="{1515A6CE-9CC9-49CD-A0D8-AD1D46058172}" name="Column15508"/>
    <tableColumn id="15509" xr3:uid="{352B2B3E-5278-454D-B880-F9FEE0FFA2A7}" name="Column15509"/>
    <tableColumn id="15510" xr3:uid="{983F2D04-C0A1-485C-9B8A-F679B978EABD}" name="Column15510"/>
    <tableColumn id="15511" xr3:uid="{1C2137F6-6AE5-4D4C-AF43-1EC5BB11D44C}" name="Column15511"/>
    <tableColumn id="15512" xr3:uid="{63AE4B7B-34B3-4EB6-BB95-34DE9A51E5BD}" name="Column15512"/>
    <tableColumn id="15513" xr3:uid="{AC0F4C81-50EC-45E9-A989-44542A19B15F}" name="Column15513"/>
    <tableColumn id="15514" xr3:uid="{C7DE568D-5279-47F6-A955-F3F95A1369F1}" name="Column15514"/>
    <tableColumn id="15515" xr3:uid="{A496FADF-629B-4027-B36F-1160E7894647}" name="Column15515"/>
    <tableColumn id="15516" xr3:uid="{8343A5F4-AE91-4616-8B74-73AA3BD0AF0F}" name="Column15516"/>
    <tableColumn id="15517" xr3:uid="{F4EBFAF0-40B5-4C56-9D73-B13C6573A51E}" name="Column15517"/>
    <tableColumn id="15518" xr3:uid="{A9B86471-CB3D-435D-B7F1-A4C9AAA0381C}" name="Column15518"/>
    <tableColumn id="15519" xr3:uid="{5AE75C96-479B-48A7-99B1-4ECD3FBE9F66}" name="Column15519"/>
    <tableColumn id="15520" xr3:uid="{C2B446D4-5273-48EB-B557-FDEB2B4A901B}" name="Column15520"/>
    <tableColumn id="15521" xr3:uid="{D4F0A8C6-85B3-43F5-A27D-E4EA0FD6B9BA}" name="Column15521"/>
    <tableColumn id="15522" xr3:uid="{E0AECC2A-F717-49DB-8BAD-B39D7CC31DDC}" name="Column15522"/>
    <tableColumn id="15523" xr3:uid="{CC65D655-60A6-470E-B489-F2BB1B358850}" name="Column15523"/>
    <tableColumn id="15524" xr3:uid="{DC28AF02-10AD-4F67-A034-4B1D620EB237}" name="Column15524"/>
    <tableColumn id="15525" xr3:uid="{DF967B03-26E2-4365-B651-7EF70F6ECA05}" name="Column15525"/>
    <tableColumn id="15526" xr3:uid="{4462B557-AD8F-4E19-839B-C3B250D87837}" name="Column15526"/>
    <tableColumn id="15527" xr3:uid="{CB5778FF-C923-427F-B053-5688CF5BB3A9}" name="Column15527"/>
    <tableColumn id="15528" xr3:uid="{5E579D2E-81E9-4A00-AADE-4013225ED847}" name="Column15528"/>
    <tableColumn id="15529" xr3:uid="{7D04CE73-F3C0-4151-B4F1-B1B5FB95C55E}" name="Column15529"/>
    <tableColumn id="15530" xr3:uid="{99915E8B-5D54-40D7-8A4B-292D146849E6}" name="Column15530"/>
    <tableColumn id="15531" xr3:uid="{F09E1B0D-AC9B-4E35-9E66-27EF32BCBA64}" name="Column15531"/>
    <tableColumn id="15532" xr3:uid="{7BD25980-3630-42A1-A882-1E9F917DD2EB}" name="Column15532"/>
    <tableColumn id="15533" xr3:uid="{D5CCA6C4-FFF4-470B-AA1C-514D52BD6A2C}" name="Column15533"/>
    <tableColumn id="15534" xr3:uid="{EE614B99-A4C8-42FB-B695-532F3AAB3F4D}" name="Column15534"/>
    <tableColumn id="15535" xr3:uid="{6CE5E9DE-1762-4B35-B99C-F1BCFD46A5FC}" name="Column15535"/>
    <tableColumn id="15536" xr3:uid="{68A604F4-AE63-46B3-964E-BDA74C92243E}" name="Column15536"/>
    <tableColumn id="15537" xr3:uid="{7702F244-387C-4D1B-B72C-9EAA4512DB59}" name="Column15537"/>
    <tableColumn id="15538" xr3:uid="{F62F19FC-6124-484E-BAE2-7E3CBFF62C93}" name="Column15538"/>
    <tableColumn id="15539" xr3:uid="{A089BB82-DF83-4638-9FC5-572F6B4A8B54}" name="Column15539"/>
    <tableColumn id="15540" xr3:uid="{E12E2103-BA0A-4A0E-A9DE-80B09B2078BD}" name="Column15540"/>
    <tableColumn id="15541" xr3:uid="{125BD829-D9CB-45B7-AB1A-F9D98C4CC54C}" name="Column15541"/>
    <tableColumn id="15542" xr3:uid="{C399BA5D-5ED9-4218-8A98-9562147AAE37}" name="Column15542"/>
    <tableColumn id="15543" xr3:uid="{02DEC031-9F0B-4D50-AA45-480F1966D69F}" name="Column15543"/>
    <tableColumn id="15544" xr3:uid="{1C9F74D5-03C7-40F6-8F13-DC0772FEC923}" name="Column15544"/>
    <tableColumn id="15545" xr3:uid="{D825D12A-AED7-472C-993F-F0FF50E9DDB2}" name="Column15545"/>
    <tableColumn id="15546" xr3:uid="{929BD4B1-78DB-4B1F-89F6-3655D5336700}" name="Column15546"/>
    <tableColumn id="15547" xr3:uid="{9B9F5C13-3AD0-4566-93B1-4AB921DD2E21}" name="Column15547"/>
    <tableColumn id="15548" xr3:uid="{7289B582-B0E8-4ADC-A397-437B91E31B81}" name="Column15548"/>
    <tableColumn id="15549" xr3:uid="{4234E017-6DFD-4C4E-848D-059C3E23E6EA}" name="Column15549"/>
    <tableColumn id="15550" xr3:uid="{B5F0A931-AD33-44CB-9B34-D83328793FF7}" name="Column15550"/>
    <tableColumn id="15551" xr3:uid="{12DF2A88-D87C-4B12-942F-4A40954EFC3A}" name="Column15551"/>
    <tableColumn id="15552" xr3:uid="{AC7061DE-E388-4F7B-AE60-CC73B19B9DB3}" name="Column15552"/>
    <tableColumn id="15553" xr3:uid="{873CE62B-ED50-48C2-A82B-FEB1FBF5986C}" name="Column15553"/>
    <tableColumn id="15554" xr3:uid="{6001C0DC-6B45-46C0-875C-E447260CC1F2}" name="Column15554"/>
    <tableColumn id="15555" xr3:uid="{F06D6660-2A72-452E-80C2-EFEE3E1412B4}" name="Column15555"/>
    <tableColumn id="15556" xr3:uid="{0045F567-2C9D-4818-A00B-74F433C38E6A}" name="Column15556"/>
    <tableColumn id="15557" xr3:uid="{45B5C3B5-24FF-4F01-B28D-3C4E115BC706}" name="Column15557"/>
    <tableColumn id="15558" xr3:uid="{64B26E1C-5C97-44A5-8A76-ECBF3ADC958B}" name="Column15558"/>
    <tableColumn id="15559" xr3:uid="{15CABAE9-C7C9-44A2-848C-2A3F1240A728}" name="Column15559"/>
    <tableColumn id="15560" xr3:uid="{41649104-458A-4C98-B7F9-25A44185CB8E}" name="Column15560"/>
    <tableColumn id="15561" xr3:uid="{E4625F0C-3C4F-4B1B-B6D3-E543D91342A9}" name="Column15561"/>
    <tableColumn id="15562" xr3:uid="{B28F0E3D-1086-4195-9758-EAA0C795B528}" name="Column15562"/>
    <tableColumn id="15563" xr3:uid="{57716A84-51C3-4F5D-A59B-2DC1D97E53A5}" name="Column15563"/>
    <tableColumn id="15564" xr3:uid="{0B1B666C-9D29-431B-85D5-B2A8B5C67238}" name="Column15564"/>
    <tableColumn id="15565" xr3:uid="{B685BE2A-9331-4423-B7C6-721349FA7B11}" name="Column15565"/>
    <tableColumn id="15566" xr3:uid="{6E9A7F6D-629E-43DD-91D4-B4669721562D}" name="Column15566"/>
    <tableColumn id="15567" xr3:uid="{329DB068-EAEC-4538-91EE-A06191A6444F}" name="Column15567"/>
    <tableColumn id="15568" xr3:uid="{8963F5A0-96D7-4F57-8298-AC3AAE1DBF10}" name="Column15568"/>
    <tableColumn id="15569" xr3:uid="{03507CD2-7088-4BA6-A0A3-85962A6FDF09}" name="Column15569"/>
    <tableColumn id="15570" xr3:uid="{D8277EA1-23C0-49AD-A2B7-D927B9DE7C90}" name="Column15570"/>
    <tableColumn id="15571" xr3:uid="{2785D4CD-FC0B-4D55-B8E9-4215114DBF0D}" name="Column15571"/>
    <tableColumn id="15572" xr3:uid="{B7942320-1793-45A1-A1B2-12589FF697C3}" name="Column15572"/>
    <tableColumn id="15573" xr3:uid="{81E4CA8A-785D-405F-9600-C883A3678A48}" name="Column15573"/>
    <tableColumn id="15574" xr3:uid="{2154AD0E-3583-4035-A2D2-0AC071CF70B9}" name="Column15574"/>
    <tableColumn id="15575" xr3:uid="{22ECC59E-2C85-40CF-A82D-B091BF19AD23}" name="Column15575"/>
    <tableColumn id="15576" xr3:uid="{0C5D3893-A5C9-4974-A66F-90CEB59EFE36}" name="Column15576"/>
    <tableColumn id="15577" xr3:uid="{6FA96DD1-DB76-440E-AA08-7009B5BA844A}" name="Column15577"/>
    <tableColumn id="15578" xr3:uid="{B33284DC-9FF5-4EF7-BB6D-B2CED3FF88C2}" name="Column15578"/>
    <tableColumn id="15579" xr3:uid="{DD54205A-2078-46D4-A8D2-0E8957E47B48}" name="Column15579"/>
    <tableColumn id="15580" xr3:uid="{793EB22E-053A-4358-90C9-9FB1290687A4}" name="Column15580"/>
    <tableColumn id="15581" xr3:uid="{6D349127-FAC3-492F-B3A1-1BA0A70D5CF6}" name="Column15581"/>
    <tableColumn id="15582" xr3:uid="{1BB5949B-AF0A-47F5-94F2-4B3294F6C781}" name="Column15582"/>
    <tableColumn id="15583" xr3:uid="{D749E4A7-005F-420A-82B2-13C0F79FB0B1}" name="Column15583"/>
    <tableColumn id="15584" xr3:uid="{558C6DA4-F4E6-47AC-BDAC-E04EA03B5B39}" name="Column15584"/>
    <tableColumn id="15585" xr3:uid="{70ADBABF-5F18-47A2-8394-97A5E072F164}" name="Column15585"/>
    <tableColumn id="15586" xr3:uid="{4FB095D2-511F-4DDF-AECF-1BDB65218631}" name="Column15586"/>
    <tableColumn id="15587" xr3:uid="{DCC84569-B842-4B44-94D5-0C2E5E73D628}" name="Column15587"/>
    <tableColumn id="15588" xr3:uid="{D1FDC6F7-E455-401D-A7BE-88CB68D80F2A}" name="Column15588"/>
    <tableColumn id="15589" xr3:uid="{2F456F83-636B-44DB-895D-D962AC945DAC}" name="Column15589"/>
    <tableColumn id="15590" xr3:uid="{ECBD9FE4-3EBA-4DB7-B97C-341B02087EAC}" name="Column15590"/>
    <tableColumn id="15591" xr3:uid="{72AFC097-F11C-4A13-B8F4-0536A33FF718}" name="Column15591"/>
    <tableColumn id="15592" xr3:uid="{40687D30-46F5-4C2A-B84A-BFCD4AADB53A}" name="Column15592"/>
    <tableColumn id="15593" xr3:uid="{94D5B57B-7A64-4E3D-91AA-CBDF43A4F9F7}" name="Column15593"/>
    <tableColumn id="15594" xr3:uid="{BE535BE2-E083-4DBE-AF7E-792C556FEA65}" name="Column15594"/>
    <tableColumn id="15595" xr3:uid="{BA92340C-8696-467C-A34F-AFF0D8EADB92}" name="Column15595"/>
    <tableColumn id="15596" xr3:uid="{EA983C40-E68A-4ED8-82C9-A18CCCBB2A4F}" name="Column15596"/>
    <tableColumn id="15597" xr3:uid="{52AA0AD8-ED4A-4322-ABE5-648412AB8590}" name="Column15597"/>
    <tableColumn id="15598" xr3:uid="{2DD98E6A-96F9-4EE8-9506-36DF762EA39E}" name="Column15598"/>
    <tableColumn id="15599" xr3:uid="{BBB6A80B-9B1C-43A7-B5D5-60A9AA460148}" name="Column15599"/>
    <tableColumn id="15600" xr3:uid="{0BCC9D02-E5A4-4D1A-9677-97BB828B7709}" name="Column15600"/>
    <tableColumn id="15601" xr3:uid="{B8664EBA-C4CB-4C82-A1DF-CB277F041B8B}" name="Column15601"/>
    <tableColumn id="15602" xr3:uid="{519AB84C-6171-4F44-8238-5457EEE2E313}" name="Column15602"/>
    <tableColumn id="15603" xr3:uid="{5B286D8C-E77B-4C65-B648-74C6EDB55D78}" name="Column15603"/>
    <tableColumn id="15604" xr3:uid="{4CA63FC2-6432-4836-8697-597F3E115CCF}" name="Column15604"/>
    <tableColumn id="15605" xr3:uid="{FCA47E3B-8F17-4AD6-A2F2-BE3062640E51}" name="Column15605"/>
    <tableColumn id="15606" xr3:uid="{98FFB838-4FE7-4711-B3FF-F68403952FB2}" name="Column15606"/>
    <tableColumn id="15607" xr3:uid="{DA203BC6-5A94-4FB4-B089-E11C2E2B9D58}" name="Column15607"/>
    <tableColumn id="15608" xr3:uid="{D40A1D95-0771-4168-AA63-47701FB22624}" name="Column15608"/>
    <tableColumn id="15609" xr3:uid="{6C163248-E7FB-44BF-B62C-2C9DAA86E2A2}" name="Column15609"/>
    <tableColumn id="15610" xr3:uid="{5B3E76F0-7321-443D-85EA-D186027653E8}" name="Column15610"/>
    <tableColumn id="15611" xr3:uid="{94B3D34B-4B6C-43B9-8040-D5B9110FD149}" name="Column15611"/>
    <tableColumn id="15612" xr3:uid="{AFA953AB-7982-474A-B922-B34FE0F1D255}" name="Column15612"/>
    <tableColumn id="15613" xr3:uid="{DC3B36ED-D3CD-4438-8EB0-B08E4C304966}" name="Column15613"/>
    <tableColumn id="15614" xr3:uid="{3964D631-D4CA-46E5-85F4-DA16D1F7AE09}" name="Column15614"/>
    <tableColumn id="15615" xr3:uid="{29D1C39B-9108-422F-A79A-9EE0E8FEEC53}" name="Column15615"/>
    <tableColumn id="15616" xr3:uid="{BBC63749-CC58-4053-BC09-989FE33098F4}" name="Column15616"/>
    <tableColumn id="15617" xr3:uid="{46567A29-C39B-4401-9687-10CC0A3F7E9B}" name="Column15617"/>
    <tableColumn id="15618" xr3:uid="{2DA6374D-3C98-4837-A70D-90FC3EF93387}" name="Column15618"/>
    <tableColumn id="15619" xr3:uid="{68F9A0F3-78FD-49F7-B4E1-B147D7CAE6D9}" name="Column15619"/>
    <tableColumn id="15620" xr3:uid="{6489B700-FD00-4996-856D-4FA3DA5305CB}" name="Column15620"/>
    <tableColumn id="15621" xr3:uid="{7AB7B08F-12BB-4100-A237-B9B19E826338}" name="Column15621"/>
    <tableColumn id="15622" xr3:uid="{DDC0798F-B0E3-46D4-8DFA-5C8A96D730AB}" name="Column15622"/>
    <tableColumn id="15623" xr3:uid="{A40A69A4-808A-4E49-9ADD-8BADFC108B59}" name="Column15623"/>
    <tableColumn id="15624" xr3:uid="{217995E1-8F0E-40F3-AD39-AD164F09ABC3}" name="Column15624"/>
    <tableColumn id="15625" xr3:uid="{B9435F99-FC35-4C2E-93A8-BCF5FF8B8019}" name="Column15625"/>
    <tableColumn id="15626" xr3:uid="{8283426B-2316-4841-A58C-B37E69A7CEF5}" name="Column15626"/>
    <tableColumn id="15627" xr3:uid="{B0797D96-2DF6-4AF8-9E11-75368686C80E}" name="Column15627"/>
    <tableColumn id="15628" xr3:uid="{84BCCD22-3B1E-49EC-98B7-96C8E59A6F83}" name="Column15628"/>
    <tableColumn id="15629" xr3:uid="{BA8C4B0E-ED5B-4A6B-8EEE-8A0CD4496924}" name="Column15629"/>
    <tableColumn id="15630" xr3:uid="{15929E79-6F65-4F74-A2B8-010816F844CC}" name="Column15630"/>
    <tableColumn id="15631" xr3:uid="{1AECAE70-2B64-4E8D-B0D6-A0B2658206CD}" name="Column15631"/>
    <tableColumn id="15632" xr3:uid="{D805B9D3-8B08-4CF4-B638-1D8D888D7DD1}" name="Column15632"/>
    <tableColumn id="15633" xr3:uid="{9B342784-3315-4AAE-B0C8-AB7A80F07747}" name="Column15633"/>
    <tableColumn id="15634" xr3:uid="{9107DC8D-124C-44F2-97BA-17AD22D14D74}" name="Column15634"/>
    <tableColumn id="15635" xr3:uid="{D1420B54-17B1-4BB5-839F-3AA053BA88CD}" name="Column15635"/>
    <tableColumn id="15636" xr3:uid="{6C90096B-45CF-4B15-BEDE-6391F23AC0FE}" name="Column15636"/>
    <tableColumn id="15637" xr3:uid="{B593B3FD-88C7-48E6-B53E-93EC354A3805}" name="Column15637"/>
    <tableColumn id="15638" xr3:uid="{8CB7039E-DCBD-46EE-A003-885880DD94F2}" name="Column15638"/>
    <tableColumn id="15639" xr3:uid="{2435BBEE-5D47-4789-BB0A-C2FDDD2D5192}" name="Column15639"/>
    <tableColumn id="15640" xr3:uid="{BE5FE35E-92B8-44BC-9781-992BF465CF35}" name="Column15640"/>
    <tableColumn id="15641" xr3:uid="{6C558359-1739-46AC-B59A-28AD04634E17}" name="Column15641"/>
    <tableColumn id="15642" xr3:uid="{26D91439-4599-4F96-8E24-C470D31A71F2}" name="Column15642"/>
    <tableColumn id="15643" xr3:uid="{406E2267-B87F-46DD-82F4-0A1166C14791}" name="Column15643"/>
    <tableColumn id="15644" xr3:uid="{1ACED432-71D4-4E71-9E51-298969B6096E}" name="Column15644"/>
    <tableColumn id="15645" xr3:uid="{BDE26741-626E-48ED-88FF-9844C9D3E866}" name="Column15645"/>
    <tableColumn id="15646" xr3:uid="{9F8450DB-E800-41C3-97F8-0FF7A37CD4E4}" name="Column15646"/>
    <tableColumn id="15647" xr3:uid="{8DB8BAFC-8F26-497D-B372-401D0F416D0D}" name="Column15647"/>
    <tableColumn id="15648" xr3:uid="{8B69C2BB-3AFD-4627-8839-B536C7991773}" name="Column15648"/>
    <tableColumn id="15649" xr3:uid="{A913FED3-4A2C-4F31-A48A-D77A7F0A23C7}" name="Column15649"/>
    <tableColumn id="15650" xr3:uid="{D34DA63B-3EA8-4820-BD72-2164C21ECA90}" name="Column15650"/>
    <tableColumn id="15651" xr3:uid="{8F9712F0-8079-4556-9653-BF0C20FA4A5C}" name="Column15651"/>
    <tableColumn id="15652" xr3:uid="{784566A3-1894-4F13-A300-5A1B781E6A79}" name="Column15652"/>
    <tableColumn id="15653" xr3:uid="{2AFA3EAC-736F-4E48-8B4D-45A15340C7A1}" name="Column15653"/>
    <tableColumn id="15654" xr3:uid="{4F6EC431-2ABD-4E77-9AB4-03AA75CFBB85}" name="Column15654"/>
    <tableColumn id="15655" xr3:uid="{029351D0-EDA5-4517-8C85-DD2F4A1CCE8C}" name="Column15655"/>
    <tableColumn id="15656" xr3:uid="{A3BCAC51-0A1E-4697-9B8D-02768E5348DB}" name="Column15656"/>
    <tableColumn id="15657" xr3:uid="{BA4AEF4B-C382-4F3F-B922-3F64B3B0B143}" name="Column15657"/>
    <tableColumn id="15658" xr3:uid="{7FC23F25-0A7E-456C-B08B-E68FAAA5C09A}" name="Column15658"/>
    <tableColumn id="15659" xr3:uid="{AD91FE74-1928-400E-B6D7-C298E86EFCD2}" name="Column15659"/>
    <tableColumn id="15660" xr3:uid="{5673CE50-F523-4372-88DB-752A2E937405}" name="Column15660"/>
    <tableColumn id="15661" xr3:uid="{A15666C4-BB73-4EFD-9E8E-19AF8D26EC1D}" name="Column15661"/>
    <tableColumn id="15662" xr3:uid="{8E53578C-AD99-4095-ACD0-848FA53CCE8B}" name="Column15662"/>
    <tableColumn id="15663" xr3:uid="{F1D9D832-EE2A-4091-9040-EC0A22C7C25D}" name="Column15663"/>
    <tableColumn id="15664" xr3:uid="{E830A64F-1C78-4558-A8FA-844ACA51FF67}" name="Column15664"/>
    <tableColumn id="15665" xr3:uid="{90DB6015-431B-4370-A45B-E4451570CA12}" name="Column15665"/>
    <tableColumn id="15666" xr3:uid="{7CF67931-F97F-4400-A59D-91C772B2318E}" name="Column15666"/>
    <tableColumn id="15667" xr3:uid="{CCED5EAD-536A-4067-933D-C1D0893E34A4}" name="Column15667"/>
    <tableColumn id="15668" xr3:uid="{1FB92FF8-E887-43AF-9518-CD1E14F6C186}" name="Column15668"/>
    <tableColumn id="15669" xr3:uid="{A8D24D8A-F73A-49A0-AE9D-35CE28FD79B5}" name="Column15669"/>
    <tableColumn id="15670" xr3:uid="{605E72EE-08A6-40FD-8483-B9BB80FF465F}" name="Column15670"/>
    <tableColumn id="15671" xr3:uid="{6ED55E13-5EF2-435D-B7B8-F0F056EA7215}" name="Column15671"/>
    <tableColumn id="15672" xr3:uid="{B56DC5CD-8E7D-467D-A9A7-4EB3F5D5D50E}" name="Column15672"/>
    <tableColumn id="15673" xr3:uid="{DA7658CE-8B9A-4DD5-892F-9D379CE9E2C3}" name="Column15673"/>
    <tableColumn id="15674" xr3:uid="{91ED712D-F573-42ED-9270-B62E4AF42A4F}" name="Column15674"/>
    <tableColumn id="15675" xr3:uid="{31E95655-A352-43EC-80DE-19A48CDA338B}" name="Column15675"/>
    <tableColumn id="15676" xr3:uid="{A813F0C0-87EC-4567-AAC8-16BB3C7D6D7E}" name="Column15676"/>
    <tableColumn id="15677" xr3:uid="{77D1FF78-F813-48AA-96D9-C057F7647AFD}" name="Column15677"/>
    <tableColumn id="15678" xr3:uid="{72E43515-DE0A-4CE9-9F76-CEB793397151}" name="Column15678"/>
    <tableColumn id="15679" xr3:uid="{7CDD2C23-E06A-4347-9215-9C6B38CC39CD}" name="Column15679"/>
    <tableColumn id="15680" xr3:uid="{0D0CB703-AC97-4619-98CE-D8DD3383C4DD}" name="Column15680"/>
    <tableColumn id="15681" xr3:uid="{E49E4B1E-7EE8-48D2-B8DD-7F20DD868075}" name="Column15681"/>
    <tableColumn id="15682" xr3:uid="{E276C896-25EA-48E5-982C-F5084CA7CE9E}" name="Column15682"/>
    <tableColumn id="15683" xr3:uid="{CFBC7436-3F83-49C9-8D85-88F048A18CE0}" name="Column15683"/>
    <tableColumn id="15684" xr3:uid="{15848FA4-6989-499E-9A6C-A80A00DCCDD5}" name="Column15684"/>
    <tableColumn id="15685" xr3:uid="{3C6AF7AF-0199-486D-8476-41806559B620}" name="Column15685"/>
    <tableColumn id="15686" xr3:uid="{8766A102-5EAB-45B9-8E9F-223E76FE3990}" name="Column15686"/>
    <tableColumn id="15687" xr3:uid="{4AE32750-3F0D-4790-8A28-98F15F4E6A34}" name="Column15687"/>
    <tableColumn id="15688" xr3:uid="{03F8C57E-1B7A-4868-9286-F1990D9F23F6}" name="Column15688"/>
    <tableColumn id="15689" xr3:uid="{D27A70DB-9596-412F-9A24-1A29F60F6CA3}" name="Column15689"/>
    <tableColumn id="15690" xr3:uid="{6E962468-59B5-438E-8EA8-3A1B44994E79}" name="Column15690"/>
    <tableColumn id="15691" xr3:uid="{BF2601E3-E3A1-4430-AA18-A52843425685}" name="Column15691"/>
    <tableColumn id="15692" xr3:uid="{6841E570-8617-4F66-A41D-D0AD37643AA4}" name="Column15692"/>
    <tableColumn id="15693" xr3:uid="{5AC6C0F1-A1D4-413A-A260-DEAA5888135B}" name="Column15693"/>
    <tableColumn id="15694" xr3:uid="{947A2725-F48D-4028-A23B-B92E33718FBD}" name="Column15694"/>
    <tableColumn id="15695" xr3:uid="{0DD3EA90-3B6B-4806-8D9E-C6863A65BF55}" name="Column15695"/>
    <tableColumn id="15696" xr3:uid="{E3E60054-1CFF-4F2A-B2BD-131724E5B026}" name="Column15696"/>
    <tableColumn id="15697" xr3:uid="{AD8DAD89-F2CF-4854-9405-D97B744E3BEB}" name="Column15697"/>
    <tableColumn id="15698" xr3:uid="{FCB5899B-3E9B-4319-866A-23061AC1FB9A}" name="Column15698"/>
    <tableColumn id="15699" xr3:uid="{EEAA8F80-1B57-49C5-8CC3-AE5937BAE327}" name="Column15699"/>
    <tableColumn id="15700" xr3:uid="{D42B9B26-5CE1-4284-8808-8376F30D1BC3}" name="Column15700"/>
    <tableColumn id="15701" xr3:uid="{D726AF00-11CC-4F28-BD8F-9D4567FBEB3B}" name="Column15701"/>
    <tableColumn id="15702" xr3:uid="{0A095896-95B6-4E05-9CEC-147614A79A10}" name="Column15702"/>
    <tableColumn id="15703" xr3:uid="{5D71D0D4-25F1-4110-A4B0-167C41CCE6FB}" name="Column15703"/>
    <tableColumn id="15704" xr3:uid="{88D1FB07-BE2E-4034-9FE6-D20FE593CB61}" name="Column15704"/>
    <tableColumn id="15705" xr3:uid="{ADBA2C50-D922-485A-9528-16AFD41E7955}" name="Column15705"/>
    <tableColumn id="15706" xr3:uid="{85FBFA04-9645-4011-958B-F6059BC883FB}" name="Column15706"/>
    <tableColumn id="15707" xr3:uid="{13660718-CEBC-460B-AE7E-87E90C81C131}" name="Column15707"/>
    <tableColumn id="15708" xr3:uid="{CFDD158D-E049-4F78-A10C-C1DBCB1CC555}" name="Column15708"/>
    <tableColumn id="15709" xr3:uid="{B2BCA257-9CC5-485A-B647-622AC0053688}" name="Column15709"/>
    <tableColumn id="15710" xr3:uid="{DE304357-D5CA-448F-ABC3-C0A79819531C}" name="Column15710"/>
    <tableColumn id="15711" xr3:uid="{4D776F2C-6E7C-43C7-8F0A-35CD061F6F03}" name="Column15711"/>
    <tableColumn id="15712" xr3:uid="{6A2FB0D9-F530-43D3-987F-852FB661753C}" name="Column15712"/>
    <tableColumn id="15713" xr3:uid="{4E5EF5DC-DBEE-40A3-AE67-4EA79781BB20}" name="Column15713"/>
    <tableColumn id="15714" xr3:uid="{1345B7C6-0E72-4792-B756-9D287E52C348}" name="Column15714"/>
    <tableColumn id="15715" xr3:uid="{CFE4A45B-0DF2-43DA-AB77-32B38A32ECE1}" name="Column15715"/>
    <tableColumn id="15716" xr3:uid="{BB84F07F-3217-4CCC-8F3F-8AE1D85BAC2C}" name="Column15716"/>
    <tableColumn id="15717" xr3:uid="{6D459D3A-147A-48E2-B0EA-CD735F082B0D}" name="Column15717"/>
    <tableColumn id="15718" xr3:uid="{2F53C4AA-B084-457F-8688-180E0B97565E}" name="Column15718"/>
    <tableColumn id="15719" xr3:uid="{BFAFC03E-CE02-4254-95FC-9245F3BB1DF6}" name="Column15719"/>
    <tableColumn id="15720" xr3:uid="{C377B08E-FBD5-498F-A79D-22B0BC2008B2}" name="Column15720"/>
    <tableColumn id="15721" xr3:uid="{B0C28989-CEAB-4E76-87E0-411DEA12B62E}" name="Column15721"/>
    <tableColumn id="15722" xr3:uid="{FEC592EE-C955-41D3-927D-3E4603BCFAF9}" name="Column15722"/>
    <tableColumn id="15723" xr3:uid="{D840D61D-07BD-4EC6-B8BA-3A2568C02C05}" name="Column15723"/>
    <tableColumn id="15724" xr3:uid="{122D8C66-BD29-4EEC-B41F-0D68479312F1}" name="Column15724"/>
    <tableColumn id="15725" xr3:uid="{448A04F3-E396-4592-B5DD-1B5D81AC22F4}" name="Column15725"/>
    <tableColumn id="15726" xr3:uid="{6E79C675-D54E-4D11-94AB-F77AA721F806}" name="Column15726"/>
    <tableColumn id="15727" xr3:uid="{3EAE2A24-9698-47E0-B712-9C230E8DDA00}" name="Column15727"/>
    <tableColumn id="15728" xr3:uid="{5BFF3AF5-6EC8-4A17-8040-7417006C1EEA}" name="Column15728"/>
    <tableColumn id="15729" xr3:uid="{8384E93E-EBA7-4366-9090-CEC2212B0C37}" name="Column15729"/>
    <tableColumn id="15730" xr3:uid="{BF8A78D9-5ED4-43D7-8809-A38AEBC65DA8}" name="Column15730"/>
    <tableColumn id="15731" xr3:uid="{40209F76-7DCA-4696-AC1E-A37AAB24258B}" name="Column15731"/>
    <tableColumn id="15732" xr3:uid="{6943CE4F-DB6A-4A04-BFE2-2C62393D206E}" name="Column15732"/>
    <tableColumn id="15733" xr3:uid="{2FE6651B-B37E-4FAC-8D62-A757A6BC2D9C}" name="Column15733"/>
    <tableColumn id="15734" xr3:uid="{7A884877-91D4-4242-8D80-0E5F075E0358}" name="Column15734"/>
    <tableColumn id="15735" xr3:uid="{8F701D8F-FFB8-4038-A6AE-6B06837891FB}" name="Column15735"/>
    <tableColumn id="15736" xr3:uid="{E29CB329-1628-42E4-87CC-C50F4E59880A}" name="Column15736"/>
    <tableColumn id="15737" xr3:uid="{2ED66EC6-11A8-46E5-8C45-D35D543F9BEF}" name="Column15737"/>
    <tableColumn id="15738" xr3:uid="{8A140F92-58B3-40CF-9247-424EC91EA23C}" name="Column15738"/>
    <tableColumn id="15739" xr3:uid="{B8F5DE57-1F9B-412C-B227-230B2A7261EB}" name="Column15739"/>
    <tableColumn id="15740" xr3:uid="{59D2F4AC-EB4E-4098-865C-5D2C4567FFCB}" name="Column15740"/>
    <tableColumn id="15741" xr3:uid="{C53308C8-F0CD-4212-9DC4-8FCBDFF9B266}" name="Column15741"/>
    <tableColumn id="15742" xr3:uid="{20E59240-506B-48B5-A6F7-51C4DD8A9CFA}" name="Column15742"/>
    <tableColumn id="15743" xr3:uid="{08FD6876-36AB-4910-8D28-76044F97DD60}" name="Column15743"/>
    <tableColumn id="15744" xr3:uid="{A5712671-4110-4602-A479-A73E9A23BBF4}" name="Column15744"/>
    <tableColumn id="15745" xr3:uid="{BCF3F76D-6D49-4FA4-B533-6669AF178F63}" name="Column15745"/>
    <tableColumn id="15746" xr3:uid="{AD10D89A-82C7-4877-ACA1-A746C5BD7F7B}" name="Column15746"/>
    <tableColumn id="15747" xr3:uid="{02C26FCD-81D9-42F0-AE22-EAE7B5F229E3}" name="Column15747"/>
    <tableColumn id="15748" xr3:uid="{474CB18B-E8F1-418F-AC77-FE8EB5742822}" name="Column15748"/>
    <tableColumn id="15749" xr3:uid="{1B933EF8-3AA0-4D61-93D8-EC3FC89DFB90}" name="Column15749"/>
    <tableColumn id="15750" xr3:uid="{E43490F5-AB1E-4746-BD89-D72DF95D0D80}" name="Column15750"/>
    <tableColumn id="15751" xr3:uid="{0624006D-137B-40C0-86F6-D0C0DC3A62B8}" name="Column15751"/>
    <tableColumn id="15752" xr3:uid="{365F53D5-AB75-4A39-8ED8-C43A0F6544CF}" name="Column15752"/>
    <tableColumn id="15753" xr3:uid="{744FC97F-08CF-49F5-BC94-54DE416C228C}" name="Column15753"/>
    <tableColumn id="15754" xr3:uid="{F44E6C80-BDB5-4718-AE04-B5CBD2251B05}" name="Column15754"/>
    <tableColumn id="15755" xr3:uid="{66550CDB-E2AC-48B4-8313-5B3E6A3090D2}" name="Column15755"/>
    <tableColumn id="15756" xr3:uid="{DC2C1F06-2AF3-49DC-9719-6AD723D263CC}" name="Column15756"/>
    <tableColumn id="15757" xr3:uid="{BA0A2828-B84E-4B8B-B37C-855BC1B3B628}" name="Column15757"/>
    <tableColumn id="15758" xr3:uid="{4C6A64AB-E7D0-41C6-A750-3D87BF325CBC}" name="Column15758"/>
    <tableColumn id="15759" xr3:uid="{02CE6961-8475-4248-992B-1452E1762E42}" name="Column15759"/>
    <tableColumn id="15760" xr3:uid="{4868C3BC-34B4-475C-A3A2-715AD0709FC9}" name="Column15760"/>
    <tableColumn id="15761" xr3:uid="{A0B21DDE-099E-4687-A36F-66B055476B6A}" name="Column15761"/>
    <tableColumn id="15762" xr3:uid="{1E1A5277-5919-473E-984A-9A604DC9D867}" name="Column15762"/>
    <tableColumn id="15763" xr3:uid="{657609B7-1507-42A8-BAF2-C9F7D97C24D9}" name="Column15763"/>
    <tableColumn id="15764" xr3:uid="{8814F729-1DDF-4D8A-AEA7-5EE1A4FF8ADB}" name="Column15764"/>
    <tableColumn id="15765" xr3:uid="{D6907D9B-310A-4500-B4F0-3A2152CDADD8}" name="Column15765"/>
    <tableColumn id="15766" xr3:uid="{9BD5F97F-32EA-4863-9A9B-6790BECDB852}" name="Column15766"/>
    <tableColumn id="15767" xr3:uid="{76BC37DA-2E38-437C-87BE-0284F8B3CF67}" name="Column15767"/>
    <tableColumn id="15768" xr3:uid="{1202D891-286F-4EC3-82CF-E2F94A386211}" name="Column15768"/>
    <tableColumn id="15769" xr3:uid="{573F2330-EDD5-48C6-9544-161725295981}" name="Column15769"/>
    <tableColumn id="15770" xr3:uid="{CB350FF7-885B-4D4A-A340-616B885C3D34}" name="Column15770"/>
    <tableColumn id="15771" xr3:uid="{AA7EE6EC-DF4B-413C-A747-84A0A9ED1921}" name="Column15771"/>
    <tableColumn id="15772" xr3:uid="{EEEED4F4-F216-4165-B1E0-3A18EB847930}" name="Column15772"/>
    <tableColumn id="15773" xr3:uid="{459B6C3B-D381-4907-AB94-9F5EF81FCDCA}" name="Column15773"/>
    <tableColumn id="15774" xr3:uid="{274B5638-F332-4BAA-A569-33F176EC9BE2}" name="Column15774"/>
    <tableColumn id="15775" xr3:uid="{055946D0-33B4-4F0C-824F-D387BF908961}" name="Column15775"/>
    <tableColumn id="15776" xr3:uid="{8E796786-290C-449D-AFE8-8EBEF841D8F3}" name="Column15776"/>
    <tableColumn id="15777" xr3:uid="{981E30C3-5E2E-4044-B266-055A7DFD13BD}" name="Column15777"/>
    <tableColumn id="15778" xr3:uid="{74583024-DA7B-4A08-B6C4-4A4F6E7DDC76}" name="Column15778"/>
    <tableColumn id="15779" xr3:uid="{CA80A092-9B66-42DF-841F-F36C4232F2C6}" name="Column15779"/>
    <tableColumn id="15780" xr3:uid="{045C3F5C-DCA1-4506-8AC1-BCC164389C76}" name="Column15780"/>
    <tableColumn id="15781" xr3:uid="{BD456831-C660-488B-B3F4-85A920893F21}" name="Column15781"/>
    <tableColumn id="15782" xr3:uid="{222F7F5A-B396-4072-9488-5989BE5BAF4C}" name="Column15782"/>
    <tableColumn id="15783" xr3:uid="{0DCBA08A-0369-4F72-AC6B-E52F1AE7684A}" name="Column15783"/>
    <tableColumn id="15784" xr3:uid="{D5A2D0F2-5C21-4D1F-BB83-6630BB6943BB}" name="Column15784"/>
    <tableColumn id="15785" xr3:uid="{C20745BB-1F94-44FA-96B7-443712F3C987}" name="Column15785"/>
    <tableColumn id="15786" xr3:uid="{D61E3518-9112-4844-9589-8E1B9CE62412}" name="Column15786"/>
    <tableColumn id="15787" xr3:uid="{559195BC-34F6-4D3D-A962-CC316DFACD64}" name="Column15787"/>
    <tableColumn id="15788" xr3:uid="{2B2E172E-804F-469B-998D-6C0044A4C344}" name="Column15788"/>
    <tableColumn id="15789" xr3:uid="{8A3FA88B-486D-47C3-A0AF-6C1C517138D2}" name="Column15789"/>
    <tableColumn id="15790" xr3:uid="{337B138A-C04D-42C3-BB6E-374678BE6E78}" name="Column15790"/>
    <tableColumn id="15791" xr3:uid="{CA95F266-548D-48B2-BAB5-8BFAD3513D65}" name="Column15791"/>
    <tableColumn id="15792" xr3:uid="{2CBC9EE8-B94C-4471-BFDD-76CBA7A668D3}" name="Column15792"/>
    <tableColumn id="15793" xr3:uid="{57E644DE-0E78-4C44-B0A0-AB9931EB5C88}" name="Column15793"/>
    <tableColumn id="15794" xr3:uid="{A965AC80-4950-49DB-9DC5-20A9011B5275}" name="Column15794"/>
    <tableColumn id="15795" xr3:uid="{81451215-C9C3-4959-B4A5-0C66899C2AF0}" name="Column15795"/>
    <tableColumn id="15796" xr3:uid="{2A7E53EB-F687-47E2-9BE3-A9BEFD27C3DB}" name="Column15796"/>
    <tableColumn id="15797" xr3:uid="{846BDB9F-389F-477B-867E-01B58CC609CD}" name="Column15797"/>
    <tableColumn id="15798" xr3:uid="{51E3CB9B-165D-4645-9716-234B8EAC376E}" name="Column15798"/>
    <tableColumn id="15799" xr3:uid="{86B34850-6FB5-4A52-96CF-5D9D7914C5B6}" name="Column15799"/>
    <tableColumn id="15800" xr3:uid="{9EBF57E1-79E7-4010-807C-8FC494030190}" name="Column15800"/>
    <tableColumn id="15801" xr3:uid="{4CD24A27-4316-44D4-B060-15DA8BBEAADE}" name="Column15801"/>
    <tableColumn id="15802" xr3:uid="{5F0F5757-3FDA-4E07-BD3D-3E49A5615DEB}" name="Column15802"/>
    <tableColumn id="15803" xr3:uid="{9FF1AED2-8669-4DBC-8FD0-ED6FE743BDBC}" name="Column15803"/>
    <tableColumn id="15804" xr3:uid="{8ABAABA3-38CB-41A4-AC5F-4111C21A635D}" name="Column15804"/>
    <tableColumn id="15805" xr3:uid="{321A9738-7C3D-4F0D-BBEB-421F66589036}" name="Column15805"/>
    <tableColumn id="15806" xr3:uid="{FAB05A18-0CEA-4849-9880-D3E261C186F5}" name="Column15806"/>
    <tableColumn id="15807" xr3:uid="{0E0E2AE6-212D-4BD1-8581-68EC1F0EE15C}" name="Column15807"/>
    <tableColumn id="15808" xr3:uid="{0E2DD88E-9BCC-4004-B920-AE2163721F94}" name="Column15808"/>
    <tableColumn id="15809" xr3:uid="{878CAF20-1E8A-4A15-BF6B-25EC3C653AFE}" name="Column15809"/>
    <tableColumn id="15810" xr3:uid="{ADC0CC02-27E8-4B7A-9049-A8EE14DCEC00}" name="Column15810"/>
    <tableColumn id="15811" xr3:uid="{97B9C990-F609-40E1-A075-F58A75F888D1}" name="Column15811"/>
    <tableColumn id="15812" xr3:uid="{577B9F69-A433-4DDE-B974-FFB0D9E1F717}" name="Column15812"/>
    <tableColumn id="15813" xr3:uid="{6C599855-EC4C-4E0E-9854-0FCB2FBDD091}" name="Column15813"/>
    <tableColumn id="15814" xr3:uid="{D7A1A687-7212-4648-A787-B24089E3AA07}" name="Column15814"/>
    <tableColumn id="15815" xr3:uid="{DFEB1FAE-E86A-424D-9903-8F74F364B2F5}" name="Column15815"/>
    <tableColumn id="15816" xr3:uid="{FA9C741D-2062-4B37-89DB-342232F50BD3}" name="Column15816"/>
    <tableColumn id="15817" xr3:uid="{9FC65842-4647-4C47-95BA-C76BD7D90199}" name="Column15817"/>
    <tableColumn id="15818" xr3:uid="{8682404C-A362-48D0-A69B-E515B40456C6}" name="Column15818"/>
    <tableColumn id="15819" xr3:uid="{7740E555-1A59-4988-B423-4C204E0371E5}" name="Column15819"/>
    <tableColumn id="15820" xr3:uid="{3ABAEEA7-568F-4460-BD19-08EAC2A857B7}" name="Column15820"/>
    <tableColumn id="15821" xr3:uid="{AAF42E81-5945-4318-8DD3-9BBCC6BB9921}" name="Column15821"/>
    <tableColumn id="15822" xr3:uid="{92A13CF5-3610-49E4-9958-32447BD6E345}" name="Column15822"/>
    <tableColumn id="15823" xr3:uid="{1A9F66D4-0FEC-4AD0-98BA-4FC00379A69E}" name="Column15823"/>
    <tableColumn id="15824" xr3:uid="{80916F02-F76D-403F-82E6-4B54A544366F}" name="Column15824"/>
    <tableColumn id="15825" xr3:uid="{E5FF8E4B-06DC-4283-B824-98B7A93208D3}" name="Column15825"/>
    <tableColumn id="15826" xr3:uid="{4B09012A-DBD7-4853-9C2B-EAF69D34FE64}" name="Column15826"/>
    <tableColumn id="15827" xr3:uid="{91D7256E-060D-4938-B23C-CB925FB72CC7}" name="Column15827"/>
    <tableColumn id="15828" xr3:uid="{06147FFF-1110-4C95-826F-2CED92942503}" name="Column15828"/>
    <tableColumn id="15829" xr3:uid="{26D9760C-C61C-44C7-A7EC-A5EE3BF58131}" name="Column15829"/>
    <tableColumn id="15830" xr3:uid="{FB84844D-A9CF-43B4-A115-521903CD3EE9}" name="Column15830"/>
    <tableColumn id="15831" xr3:uid="{5981A770-36A5-49F7-8DF8-9A0AE9424785}" name="Column15831"/>
    <tableColumn id="15832" xr3:uid="{859DD218-0464-44E8-96F1-E6FEF6829A5A}" name="Column15832"/>
    <tableColumn id="15833" xr3:uid="{088BFC91-98B8-4B97-B063-D2FCD7D66DBF}" name="Column15833"/>
    <tableColumn id="15834" xr3:uid="{3163CA6B-D0F7-4D6F-9AA2-D2097B1C247C}" name="Column15834"/>
    <tableColumn id="15835" xr3:uid="{FBCDDA02-9BA7-4872-AFFB-8D0AF6AFFE76}" name="Column15835"/>
    <tableColumn id="15836" xr3:uid="{526F217A-E119-49AF-99BA-8AC768E4B87E}" name="Column15836"/>
    <tableColumn id="15837" xr3:uid="{879C6E6A-7F70-4C5C-A068-77D441BB4C42}" name="Column15837"/>
    <tableColumn id="15838" xr3:uid="{C873807D-D55E-4CB6-8EA6-34DE61069069}" name="Column15838"/>
    <tableColumn id="15839" xr3:uid="{6E040216-16B8-4F1F-9D64-9FB5525E1CAE}" name="Column15839"/>
    <tableColumn id="15840" xr3:uid="{E35DD45A-59C0-44FD-A0C7-1EFB89FF877A}" name="Column15840"/>
    <tableColumn id="15841" xr3:uid="{EC6AE7FC-2A81-496D-A048-BF79D1D9518D}" name="Column15841"/>
    <tableColumn id="15842" xr3:uid="{02BC577C-B055-4B50-9DB2-D19B8095C75F}" name="Column15842"/>
    <tableColumn id="15843" xr3:uid="{187E9D39-A109-43C6-BDBB-6F7A51F4C5B6}" name="Column15843"/>
    <tableColumn id="15844" xr3:uid="{2E8BC983-CA89-428D-9DD4-F65FD97F8835}" name="Column15844"/>
    <tableColumn id="15845" xr3:uid="{0447B3DB-8A7B-4F61-9F95-204479D91C03}" name="Column15845"/>
    <tableColumn id="15846" xr3:uid="{D7FC04F0-C3BC-45C0-BFB0-C0BBD177CDE6}" name="Column15846"/>
    <tableColumn id="15847" xr3:uid="{9015A55A-4B44-4AA2-BAFE-CA57204A3743}" name="Column15847"/>
    <tableColumn id="15848" xr3:uid="{0E4F336C-C8DD-4476-B9DA-23EB62151306}" name="Column15848"/>
    <tableColumn id="15849" xr3:uid="{6CC651E8-8FF4-40A6-AB7D-3EC2A03179E3}" name="Column15849"/>
    <tableColumn id="15850" xr3:uid="{EAAF260B-869A-4EB7-A170-FC26B961E283}" name="Column15850"/>
    <tableColumn id="15851" xr3:uid="{50A52AEF-2166-4052-BEAC-7759C1B24320}" name="Column15851"/>
    <tableColumn id="15852" xr3:uid="{2D37085C-247D-4891-B6F3-4DF84A75D5F9}" name="Column15852"/>
    <tableColumn id="15853" xr3:uid="{83F0B801-E365-45D3-B5FD-BEF2B426D48A}" name="Column15853"/>
    <tableColumn id="15854" xr3:uid="{4F054B01-C441-4AEB-988C-093F958A5F98}" name="Column15854"/>
    <tableColumn id="15855" xr3:uid="{814C866C-60E5-410B-B6B9-BCB1BE74F290}" name="Column15855"/>
    <tableColumn id="15856" xr3:uid="{EB735E2F-2E3B-4F61-B5EE-D08B08203F15}" name="Column15856"/>
    <tableColumn id="15857" xr3:uid="{91026D2D-F3FC-4F91-8724-2692290EAF9D}" name="Column15857"/>
    <tableColumn id="15858" xr3:uid="{F31B2C4A-C57B-48FB-9476-D067A9D82FCC}" name="Column15858"/>
    <tableColumn id="15859" xr3:uid="{02693A84-5B20-4661-9B37-629E16864D60}" name="Column15859"/>
    <tableColumn id="15860" xr3:uid="{77D6F658-7843-4BF8-A490-3953A3DE1C27}" name="Column15860"/>
    <tableColumn id="15861" xr3:uid="{BFA0773B-01ED-40C4-93B2-70153E327F9C}" name="Column15861"/>
    <tableColumn id="15862" xr3:uid="{BBFF1788-FE9E-4DA1-A13D-B3A7F1006678}" name="Column15862"/>
    <tableColumn id="15863" xr3:uid="{2E69765F-F423-40A6-976A-068428878ED9}" name="Column15863"/>
    <tableColumn id="15864" xr3:uid="{D282C4D5-20F5-4E03-B537-722E7A544D15}" name="Column15864"/>
    <tableColumn id="15865" xr3:uid="{7478B227-99B5-4EE8-A906-EF98D14B8FEE}" name="Column15865"/>
    <tableColumn id="15866" xr3:uid="{8DADAD7A-5D1D-4093-AFBB-15DD6F6372FE}" name="Column15866"/>
    <tableColumn id="15867" xr3:uid="{95190D81-5303-4387-A051-539244863649}" name="Column15867"/>
    <tableColumn id="15868" xr3:uid="{F984314A-8F69-4E4F-8C30-7E96A15BCEBB}" name="Column15868"/>
    <tableColumn id="15869" xr3:uid="{9705D75C-FEF7-4CBA-8A65-6F34C6563568}" name="Column15869"/>
    <tableColumn id="15870" xr3:uid="{B25FE951-6899-47A7-B1A3-B6A0887B9873}" name="Column15870"/>
    <tableColumn id="15871" xr3:uid="{842C59B7-CF4E-4AC5-910D-3ACFC0B1EF7A}" name="Column15871"/>
    <tableColumn id="15872" xr3:uid="{5B13B17D-1270-4379-AC97-333D0C4874B0}" name="Column15872"/>
    <tableColumn id="15873" xr3:uid="{5E4AEB06-7B2A-4FF6-8E2A-5E70AAA45F84}" name="Column15873"/>
    <tableColumn id="15874" xr3:uid="{6C8ED231-7281-4BCE-823B-D6EBE1D885AB}" name="Column15874"/>
    <tableColumn id="15875" xr3:uid="{4608338B-146F-4AE7-B7E9-556365714222}" name="Column15875"/>
    <tableColumn id="15876" xr3:uid="{A6E8948E-B282-4E66-B04D-5CF742D59DE5}" name="Column15876"/>
    <tableColumn id="15877" xr3:uid="{B327D864-B66B-4A4C-944F-FBA7C6C0D871}" name="Column15877"/>
    <tableColumn id="15878" xr3:uid="{33CD036A-0522-43B0-A9B4-9C0EDABA1DF4}" name="Column15878"/>
    <tableColumn id="15879" xr3:uid="{7BDD86C6-BBDE-42EE-9612-08A66D96BF1A}" name="Column15879"/>
    <tableColumn id="15880" xr3:uid="{9CC6C1EF-CFAE-4C37-91A6-ABE0CB5BC8ED}" name="Column15880"/>
    <tableColumn id="15881" xr3:uid="{5DFC93D0-AF2E-48D8-9819-F21315FA193F}" name="Column15881"/>
    <tableColumn id="15882" xr3:uid="{779544E5-816A-4464-9372-3342E9968DB1}" name="Column15882"/>
    <tableColumn id="15883" xr3:uid="{EB14AAC2-48E3-4B50-B7D0-875DE4F899BA}" name="Column15883"/>
    <tableColumn id="15884" xr3:uid="{472CCDF4-FA7D-462A-93A1-F6A917FBF8CC}" name="Column15884"/>
    <tableColumn id="15885" xr3:uid="{E1269E6D-AB70-4B44-89D7-FB35069D59D3}" name="Column15885"/>
    <tableColumn id="15886" xr3:uid="{EA52F117-5090-4BBA-8247-5446BCDA4982}" name="Column15886"/>
    <tableColumn id="15887" xr3:uid="{9B0A8DF1-447F-40F5-BEE5-30B8F1CBB0B6}" name="Column15887"/>
    <tableColumn id="15888" xr3:uid="{9DE0D750-F5F9-4B03-9A1A-99FD3309ED85}" name="Column15888"/>
    <tableColumn id="15889" xr3:uid="{52E93AC4-2735-4326-B101-8D74305956F3}" name="Column15889"/>
    <tableColumn id="15890" xr3:uid="{16B00788-0B92-48D8-8139-024AC2D8BBF4}" name="Column15890"/>
    <tableColumn id="15891" xr3:uid="{D96505A1-F8F8-44E6-A210-8007B680BFAD}" name="Column15891"/>
    <tableColumn id="15892" xr3:uid="{581D1394-D115-4EF0-88E1-CFB69DF9BE8C}" name="Column15892"/>
    <tableColumn id="15893" xr3:uid="{F86A86D5-11EC-4F14-8A56-76024DEAFD64}" name="Column15893"/>
    <tableColumn id="15894" xr3:uid="{D4A6277A-8149-4E5D-8A06-DE685B2E92FF}" name="Column15894"/>
    <tableColumn id="15895" xr3:uid="{93B423EE-A970-4DE1-925D-BF77BC170B2D}" name="Column15895"/>
    <tableColumn id="15896" xr3:uid="{598369FA-1012-4AE1-9069-E522A9A85983}" name="Column15896"/>
    <tableColumn id="15897" xr3:uid="{FBE8B623-FAFD-4F16-B79B-C35ADE4EBDAA}" name="Column15897"/>
    <tableColumn id="15898" xr3:uid="{D33EAB2C-6496-4DCA-9105-2283C5F7A8DB}" name="Column15898"/>
    <tableColumn id="15899" xr3:uid="{1971A198-85E6-48B9-A2F0-0E42290B9E4F}" name="Column15899"/>
    <tableColumn id="15900" xr3:uid="{7BF84F26-39C7-46C0-8148-550810508B3B}" name="Column15900"/>
    <tableColumn id="15901" xr3:uid="{925C07AE-B862-41D6-8CFA-BE5D7BECA7AB}" name="Column15901"/>
    <tableColumn id="15902" xr3:uid="{F35E4D21-F7D9-4D7C-AA6E-67FA17086F88}" name="Column15902"/>
    <tableColumn id="15903" xr3:uid="{9820E835-BE90-436C-839D-EA9BE8AD3B3C}" name="Column15903"/>
    <tableColumn id="15904" xr3:uid="{DD623CAC-2050-4AAE-88FB-AD714EDA88E1}" name="Column15904"/>
    <tableColumn id="15905" xr3:uid="{3A314DD8-884A-421D-BA2D-7C50D4074DDD}" name="Column15905"/>
    <tableColumn id="15906" xr3:uid="{967D5552-68FC-45D8-8265-2D9D1BB3B87C}" name="Column15906"/>
    <tableColumn id="15907" xr3:uid="{BAC7ECF8-A963-4A67-B0E6-5BCA8DAB38BA}" name="Column15907"/>
    <tableColumn id="15908" xr3:uid="{179EA9F9-8515-4161-9EDF-8981C23BD2F7}" name="Column15908"/>
    <tableColumn id="15909" xr3:uid="{4C4583EC-10BA-485A-AD5D-E77267F22163}" name="Column15909"/>
    <tableColumn id="15910" xr3:uid="{193D7267-62ED-4DC5-AB8E-541DF1ED2DC6}" name="Column15910"/>
    <tableColumn id="15911" xr3:uid="{F2B40848-D1F6-4913-A923-413A3131C03E}" name="Column15911"/>
    <tableColumn id="15912" xr3:uid="{22F01F3B-0C75-44BB-AE20-610732B061F9}" name="Column15912"/>
    <tableColumn id="15913" xr3:uid="{13897149-74D5-4B6B-A16D-032B68B65616}" name="Column15913"/>
    <tableColumn id="15914" xr3:uid="{C6F7B2BF-A3F5-4865-8185-9F3DEE6736F6}" name="Column15914"/>
    <tableColumn id="15915" xr3:uid="{9E31AF93-C1D8-443D-B8E1-3FB55BC25AEA}" name="Column15915"/>
    <tableColumn id="15916" xr3:uid="{F9B1A5AD-F34E-4995-8709-42257353294D}" name="Column15916"/>
    <tableColumn id="15917" xr3:uid="{C1F3F4B6-F211-4E0C-8AE8-3B93C1CCC907}" name="Column15917"/>
    <tableColumn id="15918" xr3:uid="{5C82394E-0F0F-4BCD-810E-752F1C34809F}" name="Column15918"/>
    <tableColumn id="15919" xr3:uid="{C6A66EF8-4C55-43C0-A713-5C9746B96C9B}" name="Column15919"/>
    <tableColumn id="15920" xr3:uid="{7DB4B503-3714-49C7-9FA9-60E77876506E}" name="Column15920"/>
    <tableColumn id="15921" xr3:uid="{5F683F29-10F6-4AA2-A9AA-F117DBD28572}" name="Column15921"/>
    <tableColumn id="15922" xr3:uid="{BA3F3222-7ACF-45E0-B32A-70410E54D159}" name="Column15922"/>
    <tableColumn id="15923" xr3:uid="{5F66A92D-799D-430C-86BF-87B003B168A2}" name="Column15923"/>
    <tableColumn id="15924" xr3:uid="{0ED877DE-898D-48B6-862F-E1E41EE202EC}" name="Column15924"/>
    <tableColumn id="15925" xr3:uid="{91D14BEC-845D-4748-8377-EE1E837B50E6}" name="Column15925"/>
    <tableColumn id="15926" xr3:uid="{53BDC3EB-3025-4D27-9A95-98FB5D73C528}" name="Column15926"/>
    <tableColumn id="15927" xr3:uid="{C2E14E40-4FF8-4C93-9257-C8A208373362}" name="Column15927"/>
    <tableColumn id="15928" xr3:uid="{64853DAE-685B-4D96-995C-9EF4202C9032}" name="Column15928"/>
    <tableColumn id="15929" xr3:uid="{3A0F2D08-28E6-4348-B1B7-5E66FF1D4487}" name="Column15929"/>
    <tableColumn id="15930" xr3:uid="{226DB65F-4334-4730-8E43-1FF17F744246}" name="Column15930"/>
    <tableColumn id="15931" xr3:uid="{26AF92E6-0FB4-4761-AF3F-62F5F28F2BED}" name="Column15931"/>
    <tableColumn id="15932" xr3:uid="{61909120-2AE8-4A1B-8DE6-9477FE9A3F41}" name="Column15932"/>
    <tableColumn id="15933" xr3:uid="{231B00F7-0910-4FE8-82E5-ED1A1DCFEA8E}" name="Column15933"/>
    <tableColumn id="15934" xr3:uid="{42593344-98FB-47C8-9913-5A9245CB9FD1}" name="Column15934"/>
    <tableColumn id="15935" xr3:uid="{F54A31EA-4D62-4FA2-AD10-1A93469808CC}" name="Column15935"/>
    <tableColumn id="15936" xr3:uid="{9F09CAC2-0969-4E2D-82CC-098BFC15553B}" name="Column15936"/>
    <tableColumn id="15937" xr3:uid="{407125F5-5557-49FC-A717-16CF6CAF128F}" name="Column15937"/>
    <tableColumn id="15938" xr3:uid="{520557DE-B648-424F-8CFA-1AD238F735AB}" name="Column15938"/>
    <tableColumn id="15939" xr3:uid="{7E08B42B-BEEC-46EA-9DBA-939D97C947B1}" name="Column15939"/>
    <tableColumn id="15940" xr3:uid="{E6EE99B9-5B20-4E8C-ADEE-E292B5F65009}" name="Column15940"/>
    <tableColumn id="15941" xr3:uid="{FC265DA1-8AF6-4B92-BB02-A81445356D97}" name="Column15941"/>
    <tableColumn id="15942" xr3:uid="{A1AEBAF4-57B5-4ED2-8E9D-4F1C60BAACB0}" name="Column15942"/>
    <tableColumn id="15943" xr3:uid="{50BFB2B3-5CDE-45AA-A477-BBD63F066B1C}" name="Column15943"/>
    <tableColumn id="15944" xr3:uid="{E2C47AFE-8948-46B4-8116-85177FF39570}" name="Column15944"/>
    <tableColumn id="15945" xr3:uid="{D31D6501-43AF-45A0-87BB-1C94FE6AFA4A}" name="Column15945"/>
    <tableColumn id="15946" xr3:uid="{3BC3C5D2-6128-445F-84C6-D6EC273FAE47}" name="Column15946"/>
    <tableColumn id="15947" xr3:uid="{2A553AB1-2C8D-49E8-A935-B6591FEF1225}" name="Column15947"/>
    <tableColumn id="15948" xr3:uid="{E3590459-5EA6-423B-854B-70CA915DECC9}" name="Column15948"/>
    <tableColumn id="15949" xr3:uid="{64A6198C-6C3D-455A-9BFE-23B236F110A4}" name="Column15949"/>
    <tableColumn id="15950" xr3:uid="{299A92C8-52C8-4F72-B33B-60CA313B3747}" name="Column15950"/>
    <tableColumn id="15951" xr3:uid="{F37B9DDB-6770-43B3-A1C4-BE0237E5B859}" name="Column15951"/>
    <tableColumn id="15952" xr3:uid="{6E38F570-8BF4-45D6-98AB-72541D937901}" name="Column15952"/>
    <tableColumn id="15953" xr3:uid="{0DE10A26-9093-4D2E-9EB5-1F0FBC582A97}" name="Column15953"/>
    <tableColumn id="15954" xr3:uid="{BE0FAD4D-17A2-49E9-BD9D-7BA9C1BF7B15}" name="Column15954"/>
    <tableColumn id="15955" xr3:uid="{88A0EF77-CA01-4AF1-92D4-8872DFB61CED}" name="Column15955"/>
    <tableColumn id="15956" xr3:uid="{B9C0CD64-01EF-4ABB-8341-BE070D8E055A}" name="Column15956"/>
    <tableColumn id="15957" xr3:uid="{4C15D308-B451-4A69-81E0-6107E706DD3D}" name="Column15957"/>
    <tableColumn id="15958" xr3:uid="{395F5578-9513-4302-9FFB-81FF04739D4D}" name="Column15958"/>
    <tableColumn id="15959" xr3:uid="{7AB47414-7EE3-4E77-815F-9F4608A85B86}" name="Column15959"/>
    <tableColumn id="15960" xr3:uid="{DF47686A-4518-44C2-BA32-4CCA3325E979}" name="Column15960"/>
    <tableColumn id="15961" xr3:uid="{A87F4F3A-8977-4FA7-BB04-F103730F6BF5}" name="Column15961"/>
    <tableColumn id="15962" xr3:uid="{594C765C-481B-4044-8802-796ED6C5C120}" name="Column15962"/>
    <tableColumn id="15963" xr3:uid="{FB34D698-FB70-4764-8483-6A3F09552214}" name="Column15963"/>
    <tableColumn id="15964" xr3:uid="{1DA4FCD4-335C-479F-846D-3A33BBD94CB4}" name="Column15964"/>
    <tableColumn id="15965" xr3:uid="{E4BBD56A-A3DB-4534-A3D2-395891A646ED}" name="Column15965"/>
    <tableColumn id="15966" xr3:uid="{82A19163-9971-43E8-8BFD-913EFFFED6CC}" name="Column15966"/>
    <tableColumn id="15967" xr3:uid="{D5FA9D7B-16C9-4C73-9418-72A4D7DC3191}" name="Column15967"/>
    <tableColumn id="15968" xr3:uid="{306BB2D0-A0B9-4E85-9067-BF8BA06ADF77}" name="Column15968"/>
    <tableColumn id="15969" xr3:uid="{62BAFB84-6766-4C5B-9709-EDD6B4D8E4C2}" name="Column15969"/>
    <tableColumn id="15970" xr3:uid="{F73905B8-3C8E-4B2F-A3BA-4CD2A42561E5}" name="Column15970"/>
    <tableColumn id="15971" xr3:uid="{D96649CC-1790-44D0-8B32-3D15860E21FD}" name="Column15971"/>
    <tableColumn id="15972" xr3:uid="{AF050BF2-1C91-4A3A-A098-B2D666C2CCDE}" name="Column15972"/>
    <tableColumn id="15973" xr3:uid="{17678297-E10A-4FF6-9863-98A91DB42503}" name="Column15973"/>
    <tableColumn id="15974" xr3:uid="{6F1185CA-9065-40C2-9B6B-D7704B870A4A}" name="Column15974"/>
    <tableColumn id="15975" xr3:uid="{3622BD72-0F53-41A9-B37E-3642A036C22E}" name="Column15975"/>
    <tableColumn id="15976" xr3:uid="{93027B79-829D-4DA7-984C-4CB2C42FFE79}" name="Column15976"/>
    <tableColumn id="15977" xr3:uid="{8A744D61-5282-460B-936C-1DAC19A58701}" name="Column15977"/>
    <tableColumn id="15978" xr3:uid="{983FD3F2-76CE-4182-A4AF-3CD30CA28866}" name="Column15978"/>
    <tableColumn id="15979" xr3:uid="{CEA17B51-7539-4427-9730-EF243845CCB9}" name="Column15979"/>
    <tableColumn id="15980" xr3:uid="{BF478974-4C40-4387-B783-2A038D5B7ED0}" name="Column15980"/>
    <tableColumn id="15981" xr3:uid="{7CC16517-9441-487C-9E7A-9CB1720E1EF4}" name="Column15981"/>
    <tableColumn id="15982" xr3:uid="{0BD430DB-79A5-4434-BAF1-6B8F0A202680}" name="Column15982"/>
    <tableColumn id="15983" xr3:uid="{224E9825-7B50-4D50-8493-231B3DC75CBE}" name="Column15983"/>
    <tableColumn id="15984" xr3:uid="{E9DCE40B-9688-4A50-B3DE-8763F557F1EB}" name="Column15984"/>
    <tableColumn id="15985" xr3:uid="{63838668-5FBB-428F-AC36-685290736C5E}" name="Column15985"/>
    <tableColumn id="15986" xr3:uid="{63A77900-DA50-4AE9-A392-66C7E2365CCF}" name="Column15986"/>
    <tableColumn id="15987" xr3:uid="{965EDC71-BCD7-4EFB-9160-74C661313D72}" name="Column15987"/>
    <tableColumn id="15988" xr3:uid="{8A67E3F6-4BF7-40BC-9A42-D779AD74AB99}" name="Column15988"/>
    <tableColumn id="15989" xr3:uid="{E00B103E-9D71-46BA-9FB7-0C0926A14DC4}" name="Column15989"/>
    <tableColumn id="15990" xr3:uid="{20017271-6AAC-493A-9C6C-C1790A04A815}" name="Column15990"/>
    <tableColumn id="15991" xr3:uid="{947794EE-D442-4B74-A881-9F13A6C269A7}" name="Column15991"/>
    <tableColumn id="15992" xr3:uid="{57121203-2DF1-431A-8FC6-A8ACC713E335}" name="Column15992"/>
    <tableColumn id="15993" xr3:uid="{9065457D-9F14-4C7B-A33F-91275951D786}" name="Column15993"/>
    <tableColumn id="15994" xr3:uid="{B225BFC2-7F45-4176-A965-8DF7DE233633}" name="Column15994"/>
    <tableColumn id="15995" xr3:uid="{8F6960A8-07CB-430C-8A02-7D039FFAEC7E}" name="Column15995"/>
    <tableColumn id="15996" xr3:uid="{DA264FC3-66B7-4E5D-A820-ACCE22AEFE1A}" name="Column15996"/>
    <tableColumn id="15997" xr3:uid="{63BB31C1-F7CA-4674-8AF2-D8187FFCB594}" name="Column15997"/>
    <tableColumn id="15998" xr3:uid="{51439C38-52DD-4FCC-926C-01D7D0A0A870}" name="Column15998"/>
    <tableColumn id="15999" xr3:uid="{97D25AC5-9A74-4BD5-86BD-F94A09B8CE52}" name="Column15999"/>
    <tableColumn id="16000" xr3:uid="{09DC6E52-6004-407E-B4A7-32E3677D850D}" name="Column16000"/>
    <tableColumn id="16001" xr3:uid="{6B1B7CD1-7A92-48CE-BA00-75F9665F41AF}" name="Column16001"/>
    <tableColumn id="16002" xr3:uid="{6E62C452-FBA6-41CA-B867-B0B5A4AE5DA1}" name="Column16002"/>
    <tableColumn id="16003" xr3:uid="{24FF5161-79E6-40BF-AE61-41C58B0DA111}" name="Column16003"/>
    <tableColumn id="16004" xr3:uid="{6DF638E7-7A32-4BDB-BA98-C5619A115BE7}" name="Column16004"/>
    <tableColumn id="16005" xr3:uid="{FCBD6A40-4A8C-448F-B010-2A519189884A}" name="Column16005"/>
    <tableColumn id="16006" xr3:uid="{D426F622-BE56-4A19-89A6-57C3CB397BCA}" name="Column16006"/>
    <tableColumn id="16007" xr3:uid="{97066B0E-D2A3-4577-AE8B-43731FE6C842}" name="Column16007"/>
    <tableColumn id="16008" xr3:uid="{446ADF49-9160-4B49-8C43-43A694A30543}" name="Column16008"/>
    <tableColumn id="16009" xr3:uid="{AA1E5FFF-14FB-4556-99D6-FD688E855D29}" name="Column16009"/>
    <tableColumn id="16010" xr3:uid="{172A39AC-C226-4C8D-8949-53223A984A55}" name="Column16010"/>
    <tableColumn id="16011" xr3:uid="{112FFB18-D9F2-4443-91F8-D7E057DB3883}" name="Column16011"/>
    <tableColumn id="16012" xr3:uid="{0BD1DD3A-7337-4465-88F7-9573F89AB9CE}" name="Column16012"/>
    <tableColumn id="16013" xr3:uid="{92B4F119-8C2D-4993-8A7A-DF64836CF595}" name="Column16013"/>
    <tableColumn id="16014" xr3:uid="{51665FA1-320B-4BD6-B53B-7FFDE2772564}" name="Column16014"/>
    <tableColumn id="16015" xr3:uid="{C7BD7046-17A6-48AB-A9EE-521D56BEF274}" name="Column16015"/>
    <tableColumn id="16016" xr3:uid="{59C14373-0C94-4E5E-B60B-CDF0D4D2AD17}" name="Column16016"/>
    <tableColumn id="16017" xr3:uid="{016EDDF4-1B87-4309-8FF9-3D392531046E}" name="Column16017"/>
    <tableColumn id="16018" xr3:uid="{23C3A052-CC97-4F68-806D-40DDD82ED2AA}" name="Column16018"/>
    <tableColumn id="16019" xr3:uid="{5EBCAD64-734D-4D35-ADE1-5000CF79B022}" name="Column16019"/>
    <tableColumn id="16020" xr3:uid="{8FDADE4C-5088-418E-83EB-338DF5577EDF}" name="Column16020"/>
    <tableColumn id="16021" xr3:uid="{D63E46E0-0309-4281-AC96-4555257F5721}" name="Column16021"/>
    <tableColumn id="16022" xr3:uid="{6D65C363-762C-4089-8693-0D10806EAC1A}" name="Column16022"/>
    <tableColumn id="16023" xr3:uid="{45B4D6CF-8D73-4F78-95B4-5A48CD518511}" name="Column16023"/>
    <tableColumn id="16024" xr3:uid="{B2E98F1D-FF82-4D78-8B5F-7B5668C592A5}" name="Column16024"/>
    <tableColumn id="16025" xr3:uid="{BE1AD854-DA87-4A01-8799-FEA3236F4FFA}" name="Column16025"/>
    <tableColumn id="16026" xr3:uid="{B6713875-8D23-4D12-84B5-57B824DF5FA5}" name="Column16026"/>
    <tableColumn id="16027" xr3:uid="{6B12FC60-396B-4CF6-8399-5DFDE1FA9C16}" name="Column16027"/>
    <tableColumn id="16028" xr3:uid="{39D43C48-47C3-4B0B-B34B-21C9E0A15149}" name="Column16028"/>
    <tableColumn id="16029" xr3:uid="{F5BF44FB-31FD-428A-944B-C18A81C30FDF}" name="Column16029"/>
    <tableColumn id="16030" xr3:uid="{A6B15E89-3C25-40D8-88E3-77E6C81DB33E}" name="Column16030"/>
    <tableColumn id="16031" xr3:uid="{37A11AE2-7E50-4E61-B45E-07550CF45AFB}" name="Column16031"/>
    <tableColumn id="16032" xr3:uid="{93E86F80-916C-4843-8AD9-D698F332877F}" name="Column16032"/>
    <tableColumn id="16033" xr3:uid="{2BCBB707-34F5-40E3-BEEC-BF3E65C62977}" name="Column16033"/>
    <tableColumn id="16034" xr3:uid="{668B15D9-E99D-431B-BEA4-70AC775D2AAF}" name="Column16034"/>
    <tableColumn id="16035" xr3:uid="{E3A132E7-E24A-44D7-9CA8-06530B8451FE}" name="Column16035"/>
    <tableColumn id="16036" xr3:uid="{222DE102-972D-4F90-8699-96A9394F1B62}" name="Column16036"/>
    <tableColumn id="16037" xr3:uid="{4C93C0A6-B52B-4046-B27F-68610830502D}" name="Column16037"/>
    <tableColumn id="16038" xr3:uid="{56EA7205-BB11-44CD-ADF3-0B6B189D830D}" name="Column16038"/>
    <tableColumn id="16039" xr3:uid="{EB9FD1D5-BD89-436E-B49B-5D8DF2E29B2A}" name="Column16039"/>
    <tableColumn id="16040" xr3:uid="{7B710DCC-EB69-484F-8015-C1A1B064C8A7}" name="Column16040"/>
    <tableColumn id="16041" xr3:uid="{859C16EC-852E-489F-AAB6-6499F0F1C2A9}" name="Column16041"/>
    <tableColumn id="16042" xr3:uid="{C343BC2B-E780-4FFE-B5C0-2C49F111B359}" name="Column16042"/>
    <tableColumn id="16043" xr3:uid="{D326550D-3878-42A5-B8D1-E712A9855336}" name="Column16043"/>
    <tableColumn id="16044" xr3:uid="{CC242123-48F3-427D-B23B-B4CE8AF6EC15}" name="Column16044"/>
    <tableColumn id="16045" xr3:uid="{198504FD-7644-4381-A01B-8AC96837DA07}" name="Column16045"/>
    <tableColumn id="16046" xr3:uid="{3E7C6FE1-ABE3-44BC-8C0B-51F6CB787E8E}" name="Column16046"/>
    <tableColumn id="16047" xr3:uid="{1DE1D4F3-F3D2-4FE9-BC64-AB5255B973B9}" name="Column16047"/>
    <tableColumn id="16048" xr3:uid="{935A2F5D-1389-411C-91CB-4B677562804F}" name="Column16048"/>
    <tableColumn id="16049" xr3:uid="{70E28576-5196-44A5-B848-5507B19315B5}" name="Column16049"/>
    <tableColumn id="16050" xr3:uid="{C3AA165A-2649-4127-B277-F1BBB23DD49F}" name="Column16050"/>
    <tableColumn id="16051" xr3:uid="{21334042-9F78-4540-B28A-83DDCC252F7E}" name="Column16051"/>
    <tableColumn id="16052" xr3:uid="{3EA31FFB-AFC0-4643-BBD2-D1B6F9370A34}" name="Column16052"/>
    <tableColumn id="16053" xr3:uid="{143C9CF2-B601-4B24-807B-EEC8EE796C52}" name="Column16053"/>
    <tableColumn id="16054" xr3:uid="{11EE68B6-055C-42C4-8B97-BC6A4994A70A}" name="Column16054"/>
    <tableColumn id="16055" xr3:uid="{E881B140-9D82-4D40-8A05-DC3796567EBA}" name="Column16055"/>
    <tableColumn id="16056" xr3:uid="{D882B3A7-EC6D-41FB-989E-683F56F2E081}" name="Column16056"/>
    <tableColumn id="16057" xr3:uid="{AAF3CB73-136E-4AD4-B290-E8CD0B206866}" name="Column16057"/>
    <tableColumn id="16058" xr3:uid="{38212D77-3E19-4761-BD91-6C2DBF5A90DD}" name="Column16058"/>
    <tableColumn id="16059" xr3:uid="{056207AC-3BCE-403C-8F82-134F23CADC5D}" name="Column16059"/>
    <tableColumn id="16060" xr3:uid="{71C3EFA7-AF82-4E2E-82D4-A039820B8CD1}" name="Column16060"/>
    <tableColumn id="16061" xr3:uid="{BAF02A2E-7DE7-48D8-8FB7-9A0FA943DEEC}" name="Column16061"/>
    <tableColumn id="16062" xr3:uid="{1758989A-3F21-4460-9E45-7B8D574FA326}" name="Column16062"/>
    <tableColumn id="16063" xr3:uid="{C148DC22-1428-47F8-8D99-891D722A6E6D}" name="Column16063"/>
    <tableColumn id="16064" xr3:uid="{9C193C5A-1182-4F16-8EA3-C58FD9D1B0F1}" name="Column16064"/>
    <tableColumn id="16065" xr3:uid="{21C78815-F15B-48ED-9832-4D1DC0EA699C}" name="Column16065"/>
    <tableColumn id="16066" xr3:uid="{B7D936B1-3842-42E7-8E65-A43D727E91DF}" name="Column16066"/>
    <tableColumn id="16067" xr3:uid="{D2AD5FA6-8568-4528-8F83-076E8DF8A0D2}" name="Column16067"/>
    <tableColumn id="16068" xr3:uid="{0A5D00DB-16D2-441F-A893-776D52180B21}" name="Column16068"/>
    <tableColumn id="16069" xr3:uid="{5CA7CD25-E981-4919-9AEB-E003585E84EB}" name="Column16069"/>
    <tableColumn id="16070" xr3:uid="{8F5D09BB-C256-4343-B459-84EF1332CFED}" name="Column16070"/>
    <tableColumn id="16071" xr3:uid="{7BB7AABE-D82F-4660-BEF8-B3935E340260}" name="Column16071"/>
    <tableColumn id="16072" xr3:uid="{2AD42B79-F1ED-48D6-888A-C1483CB128B0}" name="Column16072"/>
    <tableColumn id="16073" xr3:uid="{89BA466D-3D4E-49D1-9C0A-89236F901279}" name="Column16073"/>
    <tableColumn id="16074" xr3:uid="{15C01880-7E0F-48EC-99E4-F42DDC8D8E95}" name="Column16074"/>
    <tableColumn id="16075" xr3:uid="{38170712-5513-4E51-B557-36236526A8CF}" name="Column16075"/>
    <tableColumn id="16076" xr3:uid="{232FC0DB-07FC-4515-8F3E-4DAFE47E264F}" name="Column16076"/>
    <tableColumn id="16077" xr3:uid="{4CF148D4-F49B-40B0-A725-3F849D323C11}" name="Column16077"/>
    <tableColumn id="16078" xr3:uid="{A98A0D5A-5E9B-4E56-BE1C-43A54D004BE3}" name="Column16078"/>
    <tableColumn id="16079" xr3:uid="{374BDF94-B871-4AB3-AE25-3EA5D6D03966}" name="Column16079"/>
    <tableColumn id="16080" xr3:uid="{88186DBA-BBFF-4D7B-8324-644F519F9DA5}" name="Column16080"/>
    <tableColumn id="16081" xr3:uid="{9CB237B0-01EB-4386-B8E6-2879992EB61E}" name="Column16081"/>
    <tableColumn id="16082" xr3:uid="{72AEFA6C-ABD0-4EA7-9ED8-041D3986C8B3}" name="Column16082"/>
    <tableColumn id="16083" xr3:uid="{5D406C96-5273-4DFD-AB65-FE91673A8B97}" name="Column16083"/>
    <tableColumn id="16084" xr3:uid="{D53330E7-86EA-4817-8FA9-57F048EF40B6}" name="Column16084"/>
    <tableColumn id="16085" xr3:uid="{521704DF-46CB-4F26-A11B-1F116E30A930}" name="Column16085"/>
    <tableColumn id="16086" xr3:uid="{C03F16A1-5804-420A-9D04-5D5FB4E077C5}" name="Column16086"/>
    <tableColumn id="16087" xr3:uid="{ECAE6994-E729-4D53-81F1-EFB73EE6CF97}" name="Column16087"/>
    <tableColumn id="16088" xr3:uid="{03E5D814-1AEF-4D3B-9577-8B1D8C752303}" name="Column16088"/>
    <tableColumn id="16089" xr3:uid="{5A634BB3-DEF5-446C-9087-E8650FDB56FA}" name="Column16089"/>
    <tableColumn id="16090" xr3:uid="{6E4464FB-1A2D-459C-9413-3515230B056C}" name="Column16090"/>
    <tableColumn id="16091" xr3:uid="{36B298EC-2CF1-4B06-A3E2-838E333CC535}" name="Column16091"/>
    <tableColumn id="16092" xr3:uid="{2A8545C7-75A2-49A9-A613-FA66D84CAF05}" name="Column16092"/>
    <tableColumn id="16093" xr3:uid="{41992343-594F-43C3-A61B-B4DB68732AC6}" name="Column16093"/>
    <tableColumn id="16094" xr3:uid="{6A0E3A27-ECFD-4777-9446-F0A659D3B13F}" name="Column16094"/>
    <tableColumn id="16095" xr3:uid="{8A55B02A-F6AC-47B0-A9CB-9A2F5179B394}" name="Column16095"/>
    <tableColumn id="16096" xr3:uid="{EEEF6166-9B64-4C9D-987E-FB10AD2B72DB}" name="Column16096"/>
    <tableColumn id="16097" xr3:uid="{1198ED55-DF64-42AB-BB5E-91D06193F629}" name="Column16097"/>
    <tableColumn id="16098" xr3:uid="{F9A8C504-C3AE-4925-91E5-FE02CD2D5A0D}" name="Column16098"/>
    <tableColumn id="16099" xr3:uid="{C14731B1-02E3-4295-B6BC-1365E6EBCAAC}" name="Column16099"/>
    <tableColumn id="16100" xr3:uid="{9F557254-41CB-488B-AA3D-CBB5146244FD}" name="Column16100"/>
    <tableColumn id="16101" xr3:uid="{4C8A4959-AAD7-4870-9BB8-3B7963AEB3FB}" name="Column16101"/>
    <tableColumn id="16102" xr3:uid="{9CE49B46-BEDB-4BFF-A55D-2485B925523C}" name="Column16102"/>
    <tableColumn id="16103" xr3:uid="{995F2C62-066C-47BC-B6AD-2898EA26F6F9}" name="Column16103"/>
    <tableColumn id="16104" xr3:uid="{6CC4116B-2850-4FBC-A341-49535F22885F}" name="Column16104"/>
    <tableColumn id="16105" xr3:uid="{86E7426D-5914-4E07-8C53-C077F6480314}" name="Column16105"/>
    <tableColumn id="16106" xr3:uid="{32D877F1-134C-48B4-8917-3FDA4E159797}" name="Column16106"/>
    <tableColumn id="16107" xr3:uid="{1A0FE287-8340-4DD8-885E-CB3F0219BF82}" name="Column16107"/>
    <tableColumn id="16108" xr3:uid="{2CE96990-A0D4-40ED-A054-EF9AC7F3732C}" name="Column16108"/>
    <tableColumn id="16109" xr3:uid="{0AE7E7C4-36BB-4364-87C0-8223C90C384B}" name="Column16109"/>
    <tableColumn id="16110" xr3:uid="{08E00C46-256A-4906-A1BF-3D8E23F90F30}" name="Column16110"/>
    <tableColumn id="16111" xr3:uid="{07DA34BC-3B84-450C-87E3-09C6261AD6AD}" name="Column16111"/>
    <tableColumn id="16112" xr3:uid="{FEAAA5E7-A606-4427-A534-C15C6F97F24F}" name="Column16112"/>
    <tableColumn id="16113" xr3:uid="{CF3D185C-6A2F-44FC-96B9-F9208A91C697}" name="Column16113"/>
    <tableColumn id="16114" xr3:uid="{AA611600-CCFE-428C-A17A-28AFAF2AFE01}" name="Column16114"/>
    <tableColumn id="16115" xr3:uid="{7BB8F17C-70AC-4BC0-B219-31115FAA84D7}" name="Column16115"/>
    <tableColumn id="16116" xr3:uid="{B31D11F6-4037-48C2-889F-8ED13E45C53C}" name="Column16116"/>
    <tableColumn id="16117" xr3:uid="{027099F4-7A07-4185-B2BB-7D966894AE5F}" name="Column16117"/>
    <tableColumn id="16118" xr3:uid="{CEBC75DC-C250-4BD5-83CD-27F220B6D517}" name="Column16118"/>
    <tableColumn id="16119" xr3:uid="{4F5541E9-3D82-446B-82A3-C192F3F64C76}" name="Column16119"/>
    <tableColumn id="16120" xr3:uid="{57E093C9-5CCE-4F58-970E-1B1B84697E73}" name="Column16120"/>
    <tableColumn id="16121" xr3:uid="{44AE6F34-E761-4143-AAAA-7BBEEC8CEADA}" name="Column16121"/>
    <tableColumn id="16122" xr3:uid="{0A76CB04-EC52-4E27-8F12-7E6E6943BB8C}" name="Column16122"/>
    <tableColumn id="16123" xr3:uid="{ACCCD1A6-4021-4DB3-927E-BAA2F0E4A1D7}" name="Column16123"/>
    <tableColumn id="16124" xr3:uid="{C4B105A4-1617-4829-9512-3B87B12883A1}" name="Column16124"/>
    <tableColumn id="16125" xr3:uid="{210E749B-37EC-4954-9254-EDCA5648DD68}" name="Column16125"/>
    <tableColumn id="16126" xr3:uid="{7026BFAD-8521-4D2C-81A4-9CDA1D9C65C5}" name="Column16126"/>
    <tableColumn id="16127" xr3:uid="{9C6BBA64-385F-47DA-8FF7-FA26C5CC7B1C}" name="Column16127"/>
    <tableColumn id="16128" xr3:uid="{62972703-6365-46B7-A50B-EE27D070F5F3}" name="Column16128"/>
    <tableColumn id="16129" xr3:uid="{72FFD8D9-29F9-47C7-88A8-E5235A419AE5}" name="Column16129"/>
    <tableColumn id="16130" xr3:uid="{324FCC63-E8D9-44F9-A74B-EE9EE8D34D85}" name="Column16130"/>
    <tableColumn id="16131" xr3:uid="{62DC6838-E47B-4CCF-BBE6-91C5CC02BCCC}" name="Column16131"/>
    <tableColumn id="16132" xr3:uid="{7E049E30-A864-42DB-B2E0-2FED5C6B8A5E}" name="Column16132"/>
    <tableColumn id="16133" xr3:uid="{727AAA21-AB7B-4E2D-B53A-9A3F11D9687A}" name="Column16133"/>
    <tableColumn id="16134" xr3:uid="{4E5758CC-F92D-4873-A011-B360DCF5331A}" name="Column16134"/>
    <tableColumn id="16135" xr3:uid="{3DA5655A-E3E2-45BC-A396-0E9BE08173FC}" name="Column16135"/>
    <tableColumn id="16136" xr3:uid="{12C53D5B-69D7-4BFB-AD7D-37A54D19532C}" name="Column16136"/>
    <tableColumn id="16137" xr3:uid="{096B31ED-9149-4F0F-962E-9231DD2B9565}" name="Column16137"/>
    <tableColumn id="16138" xr3:uid="{B69885BA-E82D-4CA1-9FAC-D0F1E6D6DF72}" name="Column16138"/>
    <tableColumn id="16139" xr3:uid="{B960F1F0-79E9-4C31-83AA-BD0716D66BA9}" name="Column16139"/>
    <tableColumn id="16140" xr3:uid="{C83B8909-74BE-42F0-BA14-4E5D2288DC9B}" name="Column16140"/>
    <tableColumn id="16141" xr3:uid="{960F1E1A-40EC-4177-99E1-CB8EF18DD721}" name="Column16141"/>
    <tableColumn id="16142" xr3:uid="{7FF55014-FD9C-4CDB-9A8C-8DD57D5B943D}" name="Column16142"/>
    <tableColumn id="16143" xr3:uid="{87188304-00AA-4E95-B67A-18C6999C4C03}" name="Column16143"/>
    <tableColumn id="16144" xr3:uid="{13DFDE72-8673-4353-BC51-0A66F0A800C1}" name="Column16144"/>
    <tableColumn id="16145" xr3:uid="{6A647A15-0224-4199-8914-23DF9AD75835}" name="Column16145"/>
    <tableColumn id="16146" xr3:uid="{DE1349AA-3776-4E44-B8E8-915439D634CC}" name="Column16146"/>
    <tableColumn id="16147" xr3:uid="{7B850F32-7D15-4071-8614-64EBE6D78725}" name="Column16147"/>
    <tableColumn id="16148" xr3:uid="{0746EFFC-43B3-4C75-AD3C-1CCB32847BE4}" name="Column16148"/>
    <tableColumn id="16149" xr3:uid="{D2253D2E-89A3-4654-B263-F4C540DE4FCC}" name="Column16149"/>
    <tableColumn id="16150" xr3:uid="{94F448F1-AE42-44B8-90A0-33807FB575B9}" name="Column16150"/>
    <tableColumn id="16151" xr3:uid="{632D0399-CCCF-4C71-B245-4B3D1D611CA9}" name="Column16151"/>
    <tableColumn id="16152" xr3:uid="{DEAA6453-9796-4603-9A49-666BC397C686}" name="Column16152"/>
    <tableColumn id="16153" xr3:uid="{42453CE7-2252-4E83-B549-9D6011A7351E}" name="Column16153"/>
    <tableColumn id="16154" xr3:uid="{168D2C65-BF0A-4CA2-8C5F-4B8AB2D95091}" name="Column16154"/>
    <tableColumn id="16155" xr3:uid="{1518F6D7-AB0D-4F3C-8310-0CA3B798D895}" name="Column16155"/>
    <tableColumn id="16156" xr3:uid="{2C967997-371D-456E-93B8-9003539FA2FE}" name="Column16156"/>
    <tableColumn id="16157" xr3:uid="{FE8F3CFF-2444-41F0-A72F-FB82513D6835}" name="Column16157"/>
    <tableColumn id="16158" xr3:uid="{4BC35499-EBD5-49D9-9D90-B34F88479C09}" name="Column16158"/>
    <tableColumn id="16159" xr3:uid="{3B2C4DD7-05F9-42AB-B6A3-DCCB6E9DF198}" name="Column16159"/>
    <tableColumn id="16160" xr3:uid="{C4683C14-6B16-41DE-AE7B-AF58D278C378}" name="Column16160"/>
    <tableColumn id="16161" xr3:uid="{D9747570-13C7-4CA4-A7E7-0860BB7FEF71}" name="Column16161"/>
    <tableColumn id="16162" xr3:uid="{CF6A4395-FC3E-4CE6-BE56-5BCD1B9A3DEC}" name="Column16162"/>
    <tableColumn id="16163" xr3:uid="{ABD2BB3E-04C4-4718-BB2A-2CF07C639F8C}" name="Column16163"/>
    <tableColumn id="16164" xr3:uid="{74F06CE1-7DD4-40E5-B2E7-618361662DEF}" name="Column16164"/>
    <tableColumn id="16165" xr3:uid="{021D7D21-2B14-4469-80AF-0993F4C45A3C}" name="Column16165"/>
    <tableColumn id="16166" xr3:uid="{F2D9D43E-13BA-4E60-B0F7-219E6BC56C50}" name="Column16166"/>
    <tableColumn id="16167" xr3:uid="{575FC64E-D6EC-46C6-B763-658BF009D0C4}" name="Column16167"/>
    <tableColumn id="16168" xr3:uid="{E6D62612-0AE5-40BF-8B32-E1D3F2A1D594}" name="Column16168"/>
    <tableColumn id="16169" xr3:uid="{52A5EE5E-8229-43AB-B32C-8A41019D47F7}" name="Column16169"/>
    <tableColumn id="16170" xr3:uid="{5E5EE8F3-E992-4F0C-AF87-17193E02EFCC}" name="Column16170"/>
    <tableColumn id="16171" xr3:uid="{E5F13E3C-BC9E-4767-B108-1B6C32948762}" name="Column16171"/>
    <tableColumn id="16172" xr3:uid="{220C7A25-CA19-4CEF-B488-3566ACD40F78}" name="Column16172"/>
    <tableColumn id="16173" xr3:uid="{9CD08DF1-E87F-4D7E-9B66-35840DB96314}" name="Column16173"/>
    <tableColumn id="16174" xr3:uid="{25EFB87B-5644-4A3E-B6EA-1B163237B276}" name="Column16174"/>
    <tableColumn id="16175" xr3:uid="{09563D9D-D5C3-411D-9967-FC74875177EA}" name="Column16175"/>
    <tableColumn id="16176" xr3:uid="{7D05D2BD-962F-4982-AD1E-FF3DE8A921E6}" name="Column16176"/>
    <tableColumn id="16177" xr3:uid="{97B3C333-630F-49E8-ACCE-F3B874F73EAE}" name="Column16177"/>
    <tableColumn id="16178" xr3:uid="{3F2C2024-8C60-422F-B321-B5A0FBE6DD46}" name="Column16178"/>
    <tableColumn id="16179" xr3:uid="{8FB8CBD3-8B01-428C-8F09-189E3763F6EE}" name="Column16179"/>
    <tableColumn id="16180" xr3:uid="{AD73BEE5-1CB3-4626-BF58-C33B4C367FD6}" name="Column16180"/>
    <tableColumn id="16181" xr3:uid="{76EE3A9B-5372-4D93-9EA1-488F55F87845}" name="Column16181"/>
    <tableColumn id="16182" xr3:uid="{10E1A548-08DD-4F00-BAA4-188CA1849763}" name="Column16182"/>
    <tableColumn id="16183" xr3:uid="{E766CEE9-614C-488E-ADB3-97B26041C938}" name="Column16183"/>
    <tableColumn id="16184" xr3:uid="{DBBAE1AC-599D-4CBF-86C6-845954E6049D}" name="Column16184"/>
    <tableColumn id="16185" xr3:uid="{C8427748-C8FE-412F-B2A5-851E03FD12AF}" name="Column16185"/>
    <tableColumn id="16186" xr3:uid="{FBD2B541-179B-41E5-91E9-E2FD4416743B}" name="Column16186"/>
    <tableColumn id="16187" xr3:uid="{86AC5A60-7A06-4AE5-A282-6D9D92ECD11C}" name="Column16187"/>
    <tableColumn id="16188" xr3:uid="{0CE62DB7-F466-4FF2-BD2A-0887FA549BBA}" name="Column16188"/>
    <tableColumn id="16189" xr3:uid="{83473B9C-6733-45E2-9662-EFF43A60AD2C}" name="Column16189"/>
    <tableColumn id="16190" xr3:uid="{E2099527-4593-41AE-9A14-021685BED7B4}" name="Column16190"/>
    <tableColumn id="16191" xr3:uid="{EB11DA30-1F77-4C3C-805A-B2F2C8325F4F}" name="Column16191"/>
    <tableColumn id="16192" xr3:uid="{FFC403AE-1B9A-444C-8FF9-D38D9E3D2584}" name="Column16192"/>
    <tableColumn id="16193" xr3:uid="{DED3F568-EF47-493C-8C18-CDB64BFA194F}" name="Column16193"/>
    <tableColumn id="16194" xr3:uid="{68886E3C-C776-41B8-8F0A-F98CF29F9C65}" name="Column16194"/>
    <tableColumn id="16195" xr3:uid="{78780FEA-3B41-42F6-8D51-146C6E85641D}" name="Column16195"/>
    <tableColumn id="16196" xr3:uid="{071080AC-FCD4-4074-9CBE-02EF0357E737}" name="Column16196"/>
    <tableColumn id="16197" xr3:uid="{9B838860-8A96-42BC-807E-718955807AB1}" name="Column16197"/>
    <tableColumn id="16198" xr3:uid="{B50B3F3A-4C9D-4587-9FE1-BE3E8DB29B1A}" name="Column16198"/>
    <tableColumn id="16199" xr3:uid="{99930E1E-60EE-45E7-9AE8-649722646B1B}" name="Column16199"/>
    <tableColumn id="16200" xr3:uid="{0D081825-FECE-40EF-8B22-E620E0C1F4E3}" name="Column16200"/>
    <tableColumn id="16201" xr3:uid="{823F33FA-F888-409E-B1AD-89D698251F41}" name="Column16201"/>
    <tableColumn id="16202" xr3:uid="{BB26E7CC-529C-4043-AC0D-3EC8D4632CD6}" name="Column16202"/>
    <tableColumn id="16203" xr3:uid="{DA8293B7-A037-4EEA-B156-BC54F25A9F90}" name="Column16203"/>
    <tableColumn id="16204" xr3:uid="{A0F4710B-369A-44D8-8C3E-E9C493E979F6}" name="Column16204"/>
    <tableColumn id="16205" xr3:uid="{F1E9512D-AA49-4A84-B993-51CC8F292B56}" name="Column16205"/>
    <tableColumn id="16206" xr3:uid="{0F2AE755-35D9-4DD2-9FDC-63FA2E63B587}" name="Column16206"/>
    <tableColumn id="16207" xr3:uid="{85E8F533-E4C7-42F6-86FF-7DCAD8A30C2F}" name="Column16207"/>
    <tableColumn id="16208" xr3:uid="{69FA8D2A-D7D3-446F-BD35-15681691254C}" name="Column16208"/>
    <tableColumn id="16209" xr3:uid="{3C05AD4E-809D-41DD-A17B-755D72D08745}" name="Column16209"/>
    <tableColumn id="16210" xr3:uid="{D49F0A67-B06E-4228-B36E-EFF9ADB1AC2C}" name="Column16210"/>
    <tableColumn id="16211" xr3:uid="{08AE9463-1658-41FC-8995-27A5D63D8FD7}" name="Column16211"/>
    <tableColumn id="16212" xr3:uid="{F211CBC7-AFD7-44E0-84E3-1970715BA69D}" name="Column16212"/>
    <tableColumn id="16213" xr3:uid="{09F044DF-1260-4BA9-9699-3FBCFAED45D9}" name="Column16213"/>
    <tableColumn id="16214" xr3:uid="{532DB0ED-7322-4AB1-A295-9F2AA67F97B8}" name="Column16214"/>
    <tableColumn id="16215" xr3:uid="{8BF30FED-478F-4929-8179-1D8758DEB42E}" name="Column16215"/>
    <tableColumn id="16216" xr3:uid="{DBFA0492-77B6-4B96-8026-330065CA18CD}" name="Column16216"/>
    <tableColumn id="16217" xr3:uid="{9C6BBC12-7B2C-4DF5-B634-ABC44DBE3AB9}" name="Column16217"/>
    <tableColumn id="16218" xr3:uid="{A9334B1B-DDD4-40A2-AD6A-089C83BA7F40}" name="Column16218"/>
    <tableColumn id="16219" xr3:uid="{F3B669A6-C894-462A-BF77-55A80207F642}" name="Column16219"/>
    <tableColumn id="16220" xr3:uid="{4C1D8804-6251-400A-A01E-22901E539FBF}" name="Column16220"/>
    <tableColumn id="16221" xr3:uid="{C0A96D64-46B5-4ABB-8A7F-126992DF91B4}" name="Column16221"/>
    <tableColumn id="16222" xr3:uid="{1F5320BF-E321-434C-AD36-9FB0C1B6C88B}" name="Column16222"/>
    <tableColumn id="16223" xr3:uid="{87A6DDF0-E249-4B1C-9985-05CA0FE15EB5}" name="Column16223"/>
    <tableColumn id="16224" xr3:uid="{8846C5B0-636D-428E-BAB6-0C0D6B74397C}" name="Column16224"/>
    <tableColumn id="16225" xr3:uid="{A5C86DB6-83FC-48C8-A11D-409B24927720}" name="Column16225"/>
    <tableColumn id="16226" xr3:uid="{20F764A4-02E6-4F0B-9676-842E69C02327}" name="Column16226"/>
    <tableColumn id="16227" xr3:uid="{B751F1C2-C7FF-409A-B109-3D84CFB965E6}" name="Column16227"/>
    <tableColumn id="16228" xr3:uid="{B6C19C4A-D8A4-400F-A1E8-8F6D2F8436EE}" name="Column16228"/>
    <tableColumn id="16229" xr3:uid="{63C1C08B-BBE1-4B78-8E77-DBD7A7F0FEF5}" name="Column16229"/>
    <tableColumn id="16230" xr3:uid="{3725588C-E33B-4C20-8A31-B721BE43A1F1}" name="Column16230"/>
    <tableColumn id="16231" xr3:uid="{748D9911-D89E-44B9-8D00-BA6D46FDEC0F}" name="Column16231"/>
    <tableColumn id="16232" xr3:uid="{FEC8DE85-069E-459C-AF8F-7C0B29567B33}" name="Column16232"/>
    <tableColumn id="16233" xr3:uid="{11AB9E53-98B3-4F64-9742-A3A990F53F53}" name="Column16233"/>
    <tableColumn id="16234" xr3:uid="{947A3F38-1944-4B68-8ACD-2B4E11D00385}" name="Column16234"/>
    <tableColumn id="16235" xr3:uid="{182B71D5-DC8B-4AB5-BC0A-00A1C1457A21}" name="Column16235"/>
    <tableColumn id="16236" xr3:uid="{2EBB7984-D5E5-4CEE-8B50-0B46D4241F2E}" name="Column16236"/>
    <tableColumn id="16237" xr3:uid="{CFE107B6-9659-4051-824F-3BB3DFF8ECF9}" name="Column16237"/>
    <tableColumn id="16238" xr3:uid="{F8289786-FF8D-48AA-8203-29C29BBDBBC7}" name="Column16238"/>
    <tableColumn id="16239" xr3:uid="{A31CC90D-D73E-441D-8B9A-AB0A63EC9BB8}" name="Column16239"/>
    <tableColumn id="16240" xr3:uid="{3166979B-6954-4423-9D09-E6D9B1F5581D}" name="Column16240"/>
    <tableColumn id="16241" xr3:uid="{F293955E-A927-419B-9051-D0B392F5F91D}" name="Column16241"/>
    <tableColumn id="16242" xr3:uid="{D7A5543B-E8D5-42B6-9BE8-B5A61BD720C6}" name="Column16242"/>
    <tableColumn id="16243" xr3:uid="{5EF2E7D6-E547-4555-ABEC-B41438DC67C9}" name="Column16243"/>
    <tableColumn id="16244" xr3:uid="{F9DAE92C-FEC7-49DB-9CB2-4B8116798FC3}" name="Column16244"/>
    <tableColumn id="16245" xr3:uid="{DB07FCAA-37A1-4ED2-854B-7793CF3B25E8}" name="Column16245"/>
    <tableColumn id="16246" xr3:uid="{8DA8CC46-2979-4BFA-9A0E-12D8DC933749}" name="Column16246"/>
    <tableColumn id="16247" xr3:uid="{F0C0B97E-2C9C-48F6-B22A-707B131732FD}" name="Column16247"/>
    <tableColumn id="16248" xr3:uid="{DA8F2138-DFCE-47C0-B51E-9080C1D6F630}" name="Column16248"/>
    <tableColumn id="16249" xr3:uid="{8D380CB7-E8BC-4260-ABBB-D71905E088B4}" name="Column16249"/>
    <tableColumn id="16250" xr3:uid="{36BEC4B6-4D7E-4E7D-B6C8-2BE17A43F491}" name="Column16250"/>
    <tableColumn id="16251" xr3:uid="{D0033A3E-254D-4AD8-ADF8-3881B6209863}" name="Column16251"/>
    <tableColumn id="16252" xr3:uid="{1265919F-F487-48D1-B5CF-8CDA053EF38E}" name="Column16252"/>
    <tableColumn id="16253" xr3:uid="{D4A1894C-37FA-49E7-AA82-BB63ED365101}" name="Column16253"/>
    <tableColumn id="16254" xr3:uid="{8EA9662C-196C-4429-8702-F0DB7B5A21E9}" name="Column16254"/>
    <tableColumn id="16255" xr3:uid="{9D9AED08-6BF6-4033-98ED-2CBF8DED4734}" name="Column16255"/>
    <tableColumn id="16256" xr3:uid="{555613D6-42DC-4460-86D3-AC069BD8F4F0}" name="Column16256"/>
    <tableColumn id="16257" xr3:uid="{BA63802A-CC4A-457A-B7AB-9A9C2D199EBF}" name="Column16257"/>
    <tableColumn id="16258" xr3:uid="{CB91F82E-D488-4D77-B543-0D4568941E4D}" name="Column16258"/>
    <tableColumn id="16259" xr3:uid="{75B89AB7-0D83-46A6-8F7C-71F6F544C44B}" name="Column16259"/>
    <tableColumn id="16260" xr3:uid="{3EBE1E50-B23C-4E2E-9602-D5953287B51C}" name="Column16260"/>
    <tableColumn id="16261" xr3:uid="{2B749556-EFB3-4410-876D-2BD5623E2DE2}" name="Column16261"/>
    <tableColumn id="16262" xr3:uid="{9C9F48DE-E9F1-4368-BA24-6ACD9AEE6BB4}" name="Column16262"/>
    <tableColumn id="16263" xr3:uid="{3EA0A4C6-B831-4025-97A1-841592A04B7E}" name="Column16263"/>
    <tableColumn id="16264" xr3:uid="{34272DA9-8730-4DB7-B7D6-A5668B004EBC}" name="Column16264"/>
    <tableColumn id="16265" xr3:uid="{50DED669-4763-44A4-9E2B-E8EB1EF56451}" name="Column16265"/>
    <tableColumn id="16266" xr3:uid="{8B844A41-BCBC-4AB4-8BDA-418453ECBB14}" name="Column16266"/>
    <tableColumn id="16267" xr3:uid="{DC87A015-39C0-4C1B-96CA-A90C062275E2}" name="Column16267"/>
    <tableColumn id="16268" xr3:uid="{3BB60527-79AD-497A-9BEC-589813834D8C}" name="Column16268"/>
    <tableColumn id="16269" xr3:uid="{153ED16B-2D6C-492E-8041-80B3B4F6C641}" name="Column16269"/>
    <tableColumn id="16270" xr3:uid="{C37F926B-7488-4DF2-BA35-27E4161C62D4}" name="Column16270"/>
    <tableColumn id="16271" xr3:uid="{DE7764A9-F89D-4AE7-A01D-115F7B781D5E}" name="Column16271"/>
    <tableColumn id="16272" xr3:uid="{49E2D1A2-4FA8-4E18-9260-D589C4F31274}" name="Column16272"/>
    <tableColumn id="16273" xr3:uid="{34E533F3-CBF1-4703-A48B-82E987B5B8C7}" name="Column16273"/>
    <tableColumn id="16274" xr3:uid="{D3C776DE-CB40-4B75-892E-5F6153D6E8C0}" name="Column16274"/>
    <tableColumn id="16275" xr3:uid="{735FF4A5-94F6-402A-9E2C-4BE63A453369}" name="Column16275"/>
    <tableColumn id="16276" xr3:uid="{C9342127-491F-44AC-B441-4175237813F5}" name="Column16276"/>
    <tableColumn id="16277" xr3:uid="{2F4D48E2-96BD-4C6A-B8C0-5A61A53B045A}" name="Column16277"/>
    <tableColumn id="16278" xr3:uid="{54F02AF9-6B52-4F9E-8B97-03113E7EEC1C}" name="Column16278"/>
    <tableColumn id="16279" xr3:uid="{2CA0EAD5-9AD7-4EC1-AE75-05CE25BB687A}" name="Column16279"/>
    <tableColumn id="16280" xr3:uid="{4356B11E-38D4-4034-BBF9-4ECC0E7C04E4}" name="Column16280"/>
    <tableColumn id="16281" xr3:uid="{942E820F-5D27-4882-A53B-ADC44AC80C15}" name="Column16281"/>
    <tableColumn id="16282" xr3:uid="{C9615B85-ED0A-45DB-BC1F-01E06859782C}" name="Column16282"/>
    <tableColumn id="16283" xr3:uid="{D974E430-BD18-4005-A673-21F58E8A2712}" name="Column16283"/>
    <tableColumn id="16284" xr3:uid="{7400B8BD-A284-49C5-9EA6-740715DFC275}" name="Column16284"/>
    <tableColumn id="16285" xr3:uid="{12DD3EC0-2708-4624-B601-F5D20A694118}" name="Column16285"/>
    <tableColumn id="16286" xr3:uid="{669BA509-7448-46ED-B733-B1B13E9E1BEE}" name="Column16286"/>
    <tableColumn id="16287" xr3:uid="{D8EDDB97-CA2B-4785-A297-D90C48D21DCD}" name="Column16287"/>
    <tableColumn id="16288" xr3:uid="{0E646E95-A17A-4FC5-AD1A-E58887C44516}" name="Column16288"/>
    <tableColumn id="16289" xr3:uid="{62CBCA56-25DE-4E23-B26C-DB43A5B0FEFB}" name="Column16289"/>
    <tableColumn id="16290" xr3:uid="{89C6ADB6-BE35-4387-AE96-C5D1928E60D4}" name="Column16290"/>
    <tableColumn id="16291" xr3:uid="{49A47E5A-6482-4B94-9643-D0FDCF5A721A}" name="Column16291"/>
    <tableColumn id="16292" xr3:uid="{97389FD4-548D-4788-9D6D-42EE5FF95B81}" name="Column16292"/>
    <tableColumn id="16293" xr3:uid="{4151A4D3-8101-4DAF-85D1-729E565A5BF2}" name="Column16293"/>
    <tableColumn id="16294" xr3:uid="{C1A506A5-5266-4858-94E8-D46802EBAEA4}" name="Column16294"/>
    <tableColumn id="16295" xr3:uid="{0DD43525-D050-443E-8787-70F0C72E01D8}" name="Column16295"/>
    <tableColumn id="16296" xr3:uid="{C45929ED-0232-4895-9729-67248C5900D6}" name="Column16296"/>
    <tableColumn id="16297" xr3:uid="{7906170E-EFB7-481F-A566-07D1ECBD6290}" name="Column16297"/>
    <tableColumn id="16298" xr3:uid="{B30C2B0B-3F85-415A-AA7A-334849239DC9}" name="Column16298"/>
    <tableColumn id="16299" xr3:uid="{CDC54244-751A-4A9A-8BFD-0C9E49A6B456}" name="Column16299"/>
    <tableColumn id="16300" xr3:uid="{9539671F-86C9-4917-8CFA-7AEB32443627}" name="Column16300"/>
    <tableColumn id="16301" xr3:uid="{FDCCAA69-10C2-4BB1-BC58-C5C89B92263A}" name="Column16301"/>
    <tableColumn id="16302" xr3:uid="{106F0E71-DDE3-4039-AA90-BBB5409BE8F0}" name="Column16302"/>
    <tableColumn id="16303" xr3:uid="{36477587-22F4-4954-9654-B22FDB521400}" name="Column16303"/>
    <tableColumn id="16304" xr3:uid="{F06CE19F-B02B-456B-9E2A-E3ED509AE4D8}" name="Column16304"/>
    <tableColumn id="16305" xr3:uid="{57091267-CEDA-4A0F-9936-EA63305925B8}" name="Column16305"/>
    <tableColumn id="16306" xr3:uid="{ED8288E3-CE36-4263-84DC-43CB8BD89DE9}" name="Column16306"/>
    <tableColumn id="16307" xr3:uid="{13DC0827-2276-4FA3-B85A-06BD7E8E321D}" name="Column16307"/>
    <tableColumn id="16308" xr3:uid="{89BA9B99-F1DD-4DE7-AA4F-EF873EBD9AB5}" name="Column16308"/>
    <tableColumn id="16309" xr3:uid="{1FA4D9FB-E02C-4C41-AC62-A1E0C4239108}" name="Column16309"/>
    <tableColumn id="16310" xr3:uid="{2398A93A-27A3-4129-8B0E-8CFC5DA27B9F}" name="Column16310"/>
    <tableColumn id="16311" xr3:uid="{751116A7-8FEA-4F35-8929-F962CF211A07}" name="Column16311"/>
    <tableColumn id="16312" xr3:uid="{6B416340-8FD4-41DF-BA31-E74DB5716497}" name="Column16312"/>
    <tableColumn id="16313" xr3:uid="{3239EE1A-AF55-4EB8-BE04-75310D5775E8}" name="Column16313"/>
    <tableColumn id="16314" xr3:uid="{78998D13-0D64-482C-8C00-72E37D644380}" name="Column16314"/>
    <tableColumn id="16315" xr3:uid="{BDFFD74D-F34C-4C4A-A5D2-4CCE562352A8}" name="Column16315"/>
    <tableColumn id="16316" xr3:uid="{84D6FD74-4C2D-4E84-B50E-69B0F13AA9DD}" name="Column16316"/>
    <tableColumn id="16317" xr3:uid="{B4980408-0664-4C7B-A2A5-67D63FB3D15F}" name="Column16317"/>
    <tableColumn id="16318" xr3:uid="{84FCBDE4-716B-46E7-8DF0-B9BD5544D33A}" name="Column16318"/>
    <tableColumn id="16319" xr3:uid="{CE52B016-A773-4F33-BF05-F1DDBF6EF516}" name="Column16319"/>
    <tableColumn id="16320" xr3:uid="{5EA940B8-ECD4-43E2-889C-3A72BC6A07DC}" name="Column16320"/>
    <tableColumn id="16321" xr3:uid="{AACC7DF1-0752-40FA-98DA-E1B23C545810}" name="Column16321"/>
    <tableColumn id="16322" xr3:uid="{62C7EA3B-CD09-48E2-ADD2-60D64EEAF4E9}" name="Column16322"/>
    <tableColumn id="16323" xr3:uid="{9684C53E-2761-47D3-A6E4-9C3D6D882171}" name="Column16323"/>
    <tableColumn id="16324" xr3:uid="{B5740FAD-2C1E-4BB1-898C-D36E20C1F4F7}" name="Column16324"/>
    <tableColumn id="16325" xr3:uid="{4FE89635-51F4-4B17-A4AF-7295361545A2}" name="Column16325"/>
    <tableColumn id="16326" xr3:uid="{A16DDC70-E123-4394-920A-B9582F04553C}" name="Column16326"/>
    <tableColumn id="16327" xr3:uid="{49D906A7-ED29-4EB5-B786-1996D85D184E}" name="Column16327"/>
    <tableColumn id="16328" xr3:uid="{752A2E3F-2E00-44C5-B139-D92A8DE37F9F}" name="Column16328"/>
    <tableColumn id="16329" xr3:uid="{729A9D2F-B515-4BF5-8DAC-E754DA5C3D1F}" name="Column16329"/>
    <tableColumn id="16330" xr3:uid="{DC9D0685-29C4-429F-AE49-F4BF2059DACE}" name="Column16330"/>
    <tableColumn id="16331" xr3:uid="{279CA9B2-6C8A-4C1E-B2EB-BF5D97B352EC}" name="Column16331"/>
    <tableColumn id="16332" xr3:uid="{681E7EB7-988A-45AF-8FD8-F65B0B5BCA2C}" name="Column16332"/>
    <tableColumn id="16333" xr3:uid="{56572111-CB14-4098-9BF2-D5ADF124BB84}" name="Column16333"/>
    <tableColumn id="16334" xr3:uid="{C1416742-D2A9-4E1A-B5B8-103386029259}" name="Column16334"/>
    <tableColumn id="16335" xr3:uid="{97412729-B291-4411-9C92-5A890EB30913}" name="Column16335"/>
    <tableColumn id="16336" xr3:uid="{C93042DD-7A1E-4EE8-A625-92B03BA3FFB9}" name="Column16336"/>
    <tableColumn id="16337" xr3:uid="{B1C51110-E34A-4B98-954E-20D7BB4B8DF2}" name="Column16337"/>
    <tableColumn id="16338" xr3:uid="{31211EE0-BED1-420A-9DA9-6C7A1DFAAE97}" name="Column16338"/>
    <tableColumn id="16339" xr3:uid="{357377DB-0565-455B-AA07-52F31B2CEB77}" name="Column16339"/>
    <tableColumn id="16340" xr3:uid="{5426F6B8-97FC-47B5-9F8A-E0CA1E3E09D0}" name="Column16340"/>
    <tableColumn id="16341" xr3:uid="{CFFFDF4D-50D9-4144-B75C-DB5EF435F866}" name="Column16341"/>
    <tableColumn id="16342" xr3:uid="{90963CE4-09F9-49ED-81F6-CE2C4F153B00}" name="Column16342"/>
    <tableColumn id="16343" xr3:uid="{D0D7F9FB-9816-4A45-A9B5-CDA22DF24C8D}" name="Column16343"/>
    <tableColumn id="16344" xr3:uid="{1D81EECA-791F-4AD6-BBC9-34DDF2CA8DB6}" name="Column16344"/>
    <tableColumn id="16345" xr3:uid="{71D906A1-6BEC-4AC7-914E-28A4CA3F6963}" name="Column16345"/>
    <tableColumn id="16346" xr3:uid="{B75E4F59-1214-47BA-9282-EC43E3AB4E68}" name="Column16346"/>
    <tableColumn id="16347" xr3:uid="{E4111740-027F-4528-B3A1-71A4DAB75080}" name="Column16347"/>
    <tableColumn id="16348" xr3:uid="{39FC66B4-AD87-4CF4-903C-3D5A247036F1}" name="Column16348"/>
    <tableColumn id="16349" xr3:uid="{588E96E0-C135-46AC-A279-F614C087A06D}" name="Column16349"/>
    <tableColumn id="16350" xr3:uid="{6698F318-A4F7-45CA-A6B5-6F938831B265}" name="Column16350"/>
    <tableColumn id="16351" xr3:uid="{3F13566C-EACD-4679-919A-E4579C9C985A}" name="Column16351"/>
    <tableColumn id="16352" xr3:uid="{99654BA2-1479-498B-8CFA-B2C7BCFF1D22}" name="Column16352"/>
    <tableColumn id="16353" xr3:uid="{C8DFC5D6-1A3D-4240-8C5B-A89DF401D715}" name="Column16353"/>
    <tableColumn id="16354" xr3:uid="{9BA952A1-D31C-45BE-9FE6-D563A63CDFE0}" name="Column16354"/>
    <tableColumn id="16355" xr3:uid="{AC0C9A40-8EF8-41BC-81E7-64169F22AD19}" name="Column16355"/>
    <tableColumn id="16356" xr3:uid="{3B162F55-864B-4160-BED9-D67104E53473}" name="Column16356"/>
    <tableColumn id="16357" xr3:uid="{F2777CE2-DC38-4A3A-80CD-2CAA3B29E643}" name="Column16357"/>
    <tableColumn id="16358" xr3:uid="{BA657DAC-6B6D-4832-BF28-DC085736D7DA}" name="Column16358"/>
    <tableColumn id="16359" xr3:uid="{49F0DD24-68F0-4D1F-BF73-4B5327154B69}" name="Column16359"/>
    <tableColumn id="16360" xr3:uid="{69ABC09D-CB32-4BB5-BDB7-404FB709C856}" name="Column16360"/>
    <tableColumn id="16361" xr3:uid="{F927E150-0AED-43CF-AFF4-AA53A4A5AD92}" name="Column16361"/>
    <tableColumn id="16362" xr3:uid="{80EA878E-A4A1-4ECB-B185-B65F2A07275F}" name="Column16362"/>
    <tableColumn id="16363" xr3:uid="{44599BFD-36BF-4336-A9A5-7130E82C3921}" name="Column16363"/>
    <tableColumn id="16364" xr3:uid="{C9AC1741-98AD-49A4-BC02-4DCCAF75887D}" name="Column16364"/>
    <tableColumn id="16365" xr3:uid="{E2695CED-6201-43FD-9A51-10D0620E29F1}" name="Column16365"/>
    <tableColumn id="16366" xr3:uid="{8213B7C2-16A7-4ADD-A046-C541812B122F}" name="Column16366"/>
    <tableColumn id="16367" xr3:uid="{48C5CA62-668A-4FA0-B8D6-B98027BF7EDB}" name="Column16367"/>
    <tableColumn id="16368" xr3:uid="{0D77B6C0-5667-4188-AF21-76D71D0B3252}" name="Column16368"/>
    <tableColumn id="16369" xr3:uid="{0195C580-04AB-42CA-B9F3-E948E438A41B}" name="Column16369"/>
    <tableColumn id="16370" xr3:uid="{28CE4617-4FF7-4025-B24E-D8455F01AF8D}" name="Column16370"/>
    <tableColumn id="16371" xr3:uid="{57DD014D-7215-432F-975D-FD7F50C90881}" name="Column16371"/>
    <tableColumn id="16372" xr3:uid="{ED87EE07-C071-4DE4-974D-66AD6DBA393A}" name="Column16372"/>
    <tableColumn id="16373" xr3:uid="{9B749FE0-DA16-4114-BB23-D00627F9D039}" name="Column16373"/>
    <tableColumn id="16374" xr3:uid="{9AFE7FAD-8BF2-490F-A20D-A4A787AF760C}" name="Column16374"/>
    <tableColumn id="16375" xr3:uid="{DCC18A1F-47F9-4987-B543-CB2D9514CA93}" name="Column16375"/>
    <tableColumn id="16376" xr3:uid="{D8668562-F5F6-47E2-84B3-716E57C983A3}" name="Column16376"/>
    <tableColumn id="16377" xr3:uid="{9BC44EAE-704D-4850-8D6F-E98B7A4678B2}" name="Column16377"/>
    <tableColumn id="16378" xr3:uid="{B221C7AB-906F-4EC8-9294-202E5D1AC774}" name="Column16378"/>
    <tableColumn id="16379" xr3:uid="{DB69BF78-90C6-45DA-A6B8-1F0EEDE23C25}" name="Column16379"/>
    <tableColumn id="16380" xr3:uid="{58771637-38AE-4F50-B6DE-20DD5602358A}" name="Column16380"/>
    <tableColumn id="16381" xr3:uid="{D90EA152-22B2-452F-AFC5-D04B13FB0BEC}" name="Column16381"/>
    <tableColumn id="16382" xr3:uid="{A957D1F3-5AC6-4EFA-8221-0331961E4A41}" name="Column16382"/>
    <tableColumn id="16383" xr3:uid="{49DD1E59-9777-4CFE-9D9C-5A7845ABFA5A}" name="Column16383"/>
    <tableColumn id="16384" xr3:uid="{7A8665CA-0A40-4C46-BD54-27B71AA3ED64}" name="Column16384"/>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5B9DF2-54A5-46DB-862F-AB045E413A9A}">
  <dimension ref="A1:T612"/>
  <sheetViews>
    <sheetView tabSelected="1" workbookViewId="0">
      <selection activeCell="C20" sqref="C20"/>
    </sheetView>
  </sheetViews>
  <sheetFormatPr defaultRowHeight="14.4" x14ac:dyDescent="0.3"/>
  <cols>
    <col min="1" max="1" width="10" customWidth="1"/>
    <col min="2" max="2" width="10.33203125" bestFit="1" customWidth="1"/>
    <col min="3" max="9" width="10" customWidth="1"/>
    <col min="10" max="12" width="11" customWidth="1"/>
    <col min="14" max="99" width="11" customWidth="1"/>
    <col min="100" max="999" width="12" customWidth="1"/>
    <col min="1000" max="9999" width="13" customWidth="1"/>
    <col min="10000" max="16384" width="14" customWidth="1"/>
  </cols>
  <sheetData>
    <row r="1" spans="1:19" x14ac:dyDescent="0.3">
      <c r="K1" s="1"/>
    </row>
    <row r="2" spans="1:19" x14ac:dyDescent="0.3">
      <c r="A2" s="2" t="s">
        <v>0</v>
      </c>
      <c r="B2" s="3"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row>
    <row r="3" spans="1:19" x14ac:dyDescent="0.3">
      <c r="A3" s="2">
        <v>1</v>
      </c>
      <c r="B3" s="4">
        <v>40544</v>
      </c>
      <c r="C3" s="2">
        <v>1</v>
      </c>
      <c r="D3" s="2">
        <v>0</v>
      </c>
      <c r="E3" s="2">
        <v>1</v>
      </c>
      <c r="F3" s="2" t="s">
        <v>18</v>
      </c>
      <c r="G3" s="2">
        <v>0</v>
      </c>
      <c r="H3" s="2" t="b">
        <v>0</v>
      </c>
      <c r="I3" s="2">
        <v>6</v>
      </c>
      <c r="J3" s="2" t="s">
        <v>19</v>
      </c>
      <c r="K3" s="2">
        <v>1</v>
      </c>
      <c r="L3" s="2">
        <v>0.24</v>
      </c>
      <c r="M3" s="2">
        <v>0.28789999999999999</v>
      </c>
      <c r="N3" s="2">
        <v>0.81</v>
      </c>
      <c r="O3" s="2">
        <v>0</v>
      </c>
      <c r="P3" s="2">
        <v>3</v>
      </c>
      <c r="Q3" s="2">
        <v>13</v>
      </c>
      <c r="R3" s="2">
        <v>16</v>
      </c>
    </row>
    <row r="4" spans="1:19" x14ac:dyDescent="0.3">
      <c r="A4" s="2">
        <v>2</v>
      </c>
      <c r="B4" s="4">
        <v>40544</v>
      </c>
      <c r="C4" s="2">
        <v>1</v>
      </c>
      <c r="D4" s="2">
        <v>0</v>
      </c>
      <c r="E4" s="2">
        <v>1</v>
      </c>
      <c r="F4" s="2" t="s">
        <v>18</v>
      </c>
      <c r="G4" s="2">
        <v>1</v>
      </c>
      <c r="H4" s="2" t="b">
        <v>0</v>
      </c>
      <c r="I4" s="2">
        <v>6</v>
      </c>
      <c r="J4" s="2" t="s">
        <v>19</v>
      </c>
      <c r="K4" s="2">
        <v>1</v>
      </c>
      <c r="L4" s="2">
        <v>0.22</v>
      </c>
      <c r="M4" s="2">
        <v>0.2727</v>
      </c>
      <c r="N4" s="2">
        <v>0.8</v>
      </c>
      <c r="O4" s="2">
        <v>0</v>
      </c>
      <c r="P4" s="2">
        <v>8</v>
      </c>
      <c r="Q4" s="2">
        <v>32</v>
      </c>
      <c r="R4" s="2">
        <v>40</v>
      </c>
      <c r="S4" t="s">
        <v>20</v>
      </c>
    </row>
    <row r="5" spans="1:19" x14ac:dyDescent="0.3">
      <c r="A5" s="2">
        <v>3</v>
      </c>
      <c r="B5" s="4">
        <v>40544</v>
      </c>
      <c r="C5" s="2">
        <v>1</v>
      </c>
      <c r="D5" s="2">
        <v>0</v>
      </c>
      <c r="E5" s="2">
        <v>1</v>
      </c>
      <c r="F5" s="2" t="s">
        <v>18</v>
      </c>
      <c r="G5" s="2">
        <v>2</v>
      </c>
      <c r="H5" s="2" t="b">
        <v>0</v>
      </c>
      <c r="I5" s="2">
        <v>6</v>
      </c>
      <c r="J5" s="2" t="s">
        <v>19</v>
      </c>
      <c r="K5" s="2">
        <v>1</v>
      </c>
      <c r="L5" s="2">
        <v>0.22</v>
      </c>
      <c r="M5" s="2">
        <v>0.2727</v>
      </c>
      <c r="N5" s="2">
        <v>0.8</v>
      </c>
      <c r="O5" s="2">
        <v>0</v>
      </c>
      <c r="P5" s="2">
        <v>5</v>
      </c>
      <c r="Q5" s="2">
        <v>27</v>
      </c>
      <c r="R5" s="2">
        <v>32</v>
      </c>
      <c r="S5" t="s">
        <v>21</v>
      </c>
    </row>
    <row r="6" spans="1:19" x14ac:dyDescent="0.3">
      <c r="A6" s="2">
        <v>4</v>
      </c>
      <c r="B6" s="4">
        <v>40544</v>
      </c>
      <c r="C6" s="2">
        <v>1</v>
      </c>
      <c r="D6" s="2">
        <v>0</v>
      </c>
      <c r="E6" s="2">
        <v>1</v>
      </c>
      <c r="F6" s="2" t="s">
        <v>18</v>
      </c>
      <c r="G6" s="2">
        <v>3</v>
      </c>
      <c r="H6" s="2" t="b">
        <v>0</v>
      </c>
      <c r="I6" s="2">
        <v>6</v>
      </c>
      <c r="J6" s="2" t="s">
        <v>19</v>
      </c>
      <c r="K6" s="2">
        <v>1</v>
      </c>
      <c r="L6" s="2">
        <v>0.24</v>
      </c>
      <c r="M6" s="2">
        <v>0.28789999999999999</v>
      </c>
      <c r="N6" s="2">
        <v>0.75</v>
      </c>
      <c r="O6" s="2">
        <v>0</v>
      </c>
      <c r="P6" s="2">
        <v>3</v>
      </c>
      <c r="Q6" s="2">
        <v>10</v>
      </c>
      <c r="R6" s="2">
        <v>13</v>
      </c>
      <c r="S6" t="s">
        <v>22</v>
      </c>
    </row>
    <row r="7" spans="1:19" x14ac:dyDescent="0.3">
      <c r="A7" s="2">
        <v>5</v>
      </c>
      <c r="B7" s="4">
        <v>40544</v>
      </c>
      <c r="C7" s="2">
        <v>1</v>
      </c>
      <c r="D7" s="2">
        <v>0</v>
      </c>
      <c r="E7" s="2">
        <v>1</v>
      </c>
      <c r="F7" s="2" t="s">
        <v>18</v>
      </c>
      <c r="G7" s="2">
        <v>4</v>
      </c>
      <c r="H7" s="2" t="b">
        <v>0</v>
      </c>
      <c r="I7" s="2">
        <v>6</v>
      </c>
      <c r="J7" s="2" t="s">
        <v>19</v>
      </c>
      <c r="K7" s="2">
        <v>1</v>
      </c>
      <c r="L7" s="2">
        <v>0.24</v>
      </c>
      <c r="M7" s="2">
        <v>0.28789999999999999</v>
      </c>
      <c r="N7" s="2">
        <v>0.75</v>
      </c>
      <c r="O7" s="2">
        <v>0</v>
      </c>
      <c r="P7" s="2">
        <v>0</v>
      </c>
      <c r="Q7" s="2">
        <v>1</v>
      </c>
      <c r="R7" s="2">
        <v>1</v>
      </c>
    </row>
    <row r="8" spans="1:19" x14ac:dyDescent="0.3">
      <c r="A8" s="2">
        <v>6</v>
      </c>
      <c r="B8" s="4">
        <v>40544</v>
      </c>
      <c r="C8" s="2">
        <v>1</v>
      </c>
      <c r="D8" s="2">
        <v>0</v>
      </c>
      <c r="E8" s="2">
        <v>1</v>
      </c>
      <c r="F8" s="2" t="s">
        <v>18</v>
      </c>
      <c r="G8" s="2">
        <v>5</v>
      </c>
      <c r="H8" s="2" t="b">
        <v>0</v>
      </c>
      <c r="I8" s="2">
        <v>6</v>
      </c>
      <c r="J8" s="2" t="s">
        <v>19</v>
      </c>
      <c r="K8" s="2">
        <v>2</v>
      </c>
      <c r="L8" s="2">
        <v>0.24</v>
      </c>
      <c r="M8" s="2">
        <v>0.2576</v>
      </c>
      <c r="N8" s="2">
        <v>0.75</v>
      </c>
      <c r="O8" s="2">
        <v>8.9599999999999999E-2</v>
      </c>
      <c r="P8" s="2">
        <v>0</v>
      </c>
      <c r="Q8" s="2">
        <v>1</v>
      </c>
      <c r="R8" s="2">
        <v>1</v>
      </c>
    </row>
    <row r="9" spans="1:19" x14ac:dyDescent="0.3">
      <c r="A9" s="2">
        <v>7</v>
      </c>
      <c r="B9" s="4">
        <v>40544</v>
      </c>
      <c r="C9" s="2">
        <v>1</v>
      </c>
      <c r="D9" s="2">
        <v>0</v>
      </c>
      <c r="E9" s="2">
        <v>1</v>
      </c>
      <c r="F9" s="2" t="s">
        <v>18</v>
      </c>
      <c r="G9" s="2">
        <v>6</v>
      </c>
      <c r="H9" s="2" t="b">
        <v>0</v>
      </c>
      <c r="I9" s="2">
        <v>6</v>
      </c>
      <c r="J9" s="2" t="s">
        <v>19</v>
      </c>
      <c r="K9" s="2">
        <v>1</v>
      </c>
      <c r="L9" s="2">
        <v>0.22</v>
      </c>
      <c r="M9" s="2">
        <v>0.2727</v>
      </c>
      <c r="N9" s="2">
        <v>0.8</v>
      </c>
      <c r="O9" s="2">
        <v>0</v>
      </c>
      <c r="P9" s="2">
        <v>2</v>
      </c>
      <c r="Q9" s="2">
        <v>0</v>
      </c>
      <c r="R9" s="2">
        <v>2</v>
      </c>
    </row>
    <row r="10" spans="1:19" x14ac:dyDescent="0.3">
      <c r="A10" s="2">
        <v>8</v>
      </c>
      <c r="B10" s="4">
        <v>40544</v>
      </c>
      <c r="C10" s="2">
        <v>1</v>
      </c>
      <c r="D10" s="2">
        <v>0</v>
      </c>
      <c r="E10" s="2">
        <v>1</v>
      </c>
      <c r="F10" s="2" t="s">
        <v>18</v>
      </c>
      <c r="G10" s="2">
        <v>7</v>
      </c>
      <c r="H10" s="2" t="b">
        <v>0</v>
      </c>
      <c r="I10" s="2">
        <v>6</v>
      </c>
      <c r="J10" s="2" t="s">
        <v>19</v>
      </c>
      <c r="K10" s="2">
        <v>1</v>
      </c>
      <c r="L10" s="2">
        <v>0.2</v>
      </c>
      <c r="M10" s="2">
        <v>0.2576</v>
      </c>
      <c r="N10" s="2">
        <v>0.86</v>
      </c>
      <c r="O10" s="2">
        <v>0</v>
      </c>
      <c r="P10" s="2">
        <v>1</v>
      </c>
      <c r="Q10" s="2">
        <v>2</v>
      </c>
      <c r="R10" s="2">
        <v>3</v>
      </c>
    </row>
    <row r="11" spans="1:19" x14ac:dyDescent="0.3">
      <c r="A11" s="2">
        <v>9</v>
      </c>
      <c r="B11" s="4">
        <v>40544</v>
      </c>
      <c r="C11" s="2">
        <v>1</v>
      </c>
      <c r="D11" s="2">
        <v>0</v>
      </c>
      <c r="E11" s="2">
        <v>1</v>
      </c>
      <c r="F11" s="2" t="s">
        <v>18</v>
      </c>
      <c r="G11" s="2">
        <v>8</v>
      </c>
      <c r="H11" s="2" t="b">
        <v>0</v>
      </c>
      <c r="I11" s="2">
        <v>6</v>
      </c>
      <c r="J11" s="2" t="s">
        <v>19</v>
      </c>
      <c r="K11" s="2">
        <v>1</v>
      </c>
      <c r="L11" s="2">
        <v>0.24</v>
      </c>
      <c r="M11" s="2">
        <f>AVERAGE(M3:M10,M47:M50,M59:M60,M62:M67,M82:M86,M88:M95,M98:M100,M102:M107,M111:M115,M117,M127:M158,M175:M179,M201:M204,M224:M230,M244:M248,M267:M274,M291:M298,M315:M321,M338:M340,M351:M369,M373:M376,M390:M392,M399:M421,M434:M445,M447,M452:M472,M559:M563,M569:M593,M598:M601,M611:M624,M632:M639,M654,M656:M657,M661:M671,M702:M726,M733:M739,M749:M757,M760:M761,M770:M775,M777:M803,M805:M817,M827:M837,M841:M842,M854,M856:M874,M893:M896,M916:M918,M935:M936,M942:M946,M958,M966:M980,)</f>
        <v>0.22347530364372456</v>
      </c>
      <c r="N11" s="2">
        <v>0.75</v>
      </c>
      <c r="O11" s="2">
        <v>0</v>
      </c>
      <c r="P11" s="2">
        <v>1</v>
      </c>
      <c r="Q11" s="2">
        <v>7</v>
      </c>
      <c r="R11" s="2">
        <v>8</v>
      </c>
    </row>
    <row r="12" spans="1:19" x14ac:dyDescent="0.3">
      <c r="A12" s="2">
        <v>10</v>
      </c>
      <c r="B12" s="4">
        <v>40544</v>
      </c>
      <c r="C12" s="2">
        <v>1</v>
      </c>
      <c r="D12" s="2">
        <v>0</v>
      </c>
      <c r="E12" s="2">
        <v>1</v>
      </c>
      <c r="F12" s="2" t="s">
        <v>18</v>
      </c>
      <c r="G12" s="2">
        <v>9</v>
      </c>
      <c r="H12" s="2" t="b">
        <v>0</v>
      </c>
      <c r="I12" s="2">
        <v>6</v>
      </c>
      <c r="J12" s="2" t="s">
        <v>19</v>
      </c>
      <c r="K12" s="2">
        <v>1</v>
      </c>
      <c r="L12" s="2">
        <v>0.32</v>
      </c>
      <c r="M12" s="2">
        <v>0.34849999999999998</v>
      </c>
      <c r="N12" s="2">
        <v>0.76</v>
      </c>
      <c r="O12" s="2">
        <v>0</v>
      </c>
      <c r="P12" s="2">
        <v>8</v>
      </c>
      <c r="Q12" s="2">
        <v>6</v>
      </c>
      <c r="R12" s="2">
        <v>14</v>
      </c>
    </row>
    <row r="13" spans="1:19" x14ac:dyDescent="0.3">
      <c r="A13" s="2">
        <v>11</v>
      </c>
      <c r="B13" s="4">
        <v>40544</v>
      </c>
      <c r="C13" s="2">
        <v>1</v>
      </c>
      <c r="D13" s="2">
        <v>0</v>
      </c>
      <c r="E13" s="2">
        <v>1</v>
      </c>
      <c r="F13" s="2" t="s">
        <v>18</v>
      </c>
      <c r="G13" s="2">
        <v>10</v>
      </c>
      <c r="H13" s="2" t="b">
        <v>0</v>
      </c>
      <c r="I13" s="2">
        <v>6</v>
      </c>
      <c r="J13" s="2" t="s">
        <v>19</v>
      </c>
      <c r="K13" s="2">
        <v>1</v>
      </c>
      <c r="L13" s="2">
        <v>0.38</v>
      </c>
      <c r="M13" s="2">
        <v>0.39389999999999997</v>
      </c>
      <c r="N13" s="2">
        <v>0.76</v>
      </c>
      <c r="O13" s="2">
        <v>0.25369999999999998</v>
      </c>
      <c r="P13" s="2">
        <v>12</v>
      </c>
      <c r="Q13" s="2">
        <v>24</v>
      </c>
      <c r="R13" s="2">
        <v>36</v>
      </c>
    </row>
    <row r="14" spans="1:19" x14ac:dyDescent="0.3">
      <c r="A14" s="2">
        <v>12</v>
      </c>
      <c r="B14" s="4">
        <v>40544</v>
      </c>
      <c r="C14" s="2">
        <v>1</v>
      </c>
      <c r="D14" s="2">
        <v>0</v>
      </c>
      <c r="E14" s="2">
        <v>1</v>
      </c>
      <c r="F14" s="2" t="s">
        <v>18</v>
      </c>
      <c r="G14" s="2">
        <v>11</v>
      </c>
      <c r="H14" s="2" t="b">
        <v>0</v>
      </c>
      <c r="I14" s="2">
        <v>6</v>
      </c>
      <c r="J14" s="2" t="s">
        <v>19</v>
      </c>
      <c r="K14" s="2">
        <v>1</v>
      </c>
      <c r="L14" s="2">
        <v>0.36</v>
      </c>
      <c r="M14" s="2">
        <v>0.33329999999999999</v>
      </c>
      <c r="N14" s="2">
        <v>0.81</v>
      </c>
      <c r="O14" s="2">
        <v>0.28360000000000002</v>
      </c>
      <c r="P14" s="2">
        <v>26</v>
      </c>
      <c r="Q14" s="2">
        <v>30</v>
      </c>
      <c r="R14" s="2">
        <v>56</v>
      </c>
    </row>
    <row r="15" spans="1:19" x14ac:dyDescent="0.3">
      <c r="A15" s="2">
        <v>13</v>
      </c>
      <c r="B15" s="4">
        <v>40544</v>
      </c>
      <c r="C15" s="2">
        <v>1</v>
      </c>
      <c r="D15" s="2">
        <v>0</v>
      </c>
      <c r="E15" s="2">
        <v>1</v>
      </c>
      <c r="F15" s="2" t="s">
        <v>18</v>
      </c>
      <c r="G15" s="2">
        <v>12</v>
      </c>
      <c r="H15" s="2" t="b">
        <v>0</v>
      </c>
      <c r="I15" s="2">
        <v>6</v>
      </c>
      <c r="J15" s="2" t="s">
        <v>19</v>
      </c>
      <c r="K15" s="2">
        <v>1</v>
      </c>
      <c r="L15" s="2">
        <v>0.42</v>
      </c>
      <c r="M15" s="2">
        <v>0.42420000000000002</v>
      </c>
      <c r="N15" s="2">
        <v>0.77</v>
      </c>
      <c r="O15" s="2">
        <v>0.28360000000000002</v>
      </c>
      <c r="P15" s="2">
        <v>29</v>
      </c>
      <c r="Q15" s="2">
        <v>55</v>
      </c>
      <c r="R15" s="2">
        <v>84</v>
      </c>
    </row>
    <row r="16" spans="1:19" x14ac:dyDescent="0.3">
      <c r="A16" s="2">
        <v>14</v>
      </c>
      <c r="B16" s="4">
        <v>40544</v>
      </c>
      <c r="C16" s="2">
        <v>1</v>
      </c>
      <c r="D16" s="2">
        <v>0</v>
      </c>
      <c r="E16" s="2">
        <v>1</v>
      </c>
      <c r="F16" s="2" t="s">
        <v>18</v>
      </c>
      <c r="G16" s="2">
        <v>13</v>
      </c>
      <c r="H16" s="2" t="b">
        <v>0</v>
      </c>
      <c r="I16" s="2">
        <v>6</v>
      </c>
      <c r="J16" s="2" t="s">
        <v>19</v>
      </c>
      <c r="K16" s="2">
        <v>2</v>
      </c>
      <c r="L16" s="2">
        <v>0.46</v>
      </c>
      <c r="M16" s="2">
        <v>0.45450000000000002</v>
      </c>
      <c r="N16" s="2">
        <v>0.72</v>
      </c>
      <c r="O16" s="2">
        <v>0.29849999999999999</v>
      </c>
      <c r="P16" s="2">
        <v>47</v>
      </c>
      <c r="Q16" s="2">
        <v>47</v>
      </c>
      <c r="R16" s="2">
        <v>94</v>
      </c>
    </row>
    <row r="17" spans="1:20" x14ac:dyDescent="0.3">
      <c r="A17" s="2">
        <v>15</v>
      </c>
      <c r="B17" s="4">
        <v>40544</v>
      </c>
      <c r="C17" s="2">
        <v>1</v>
      </c>
      <c r="D17" s="2">
        <v>0</v>
      </c>
      <c r="E17" s="2">
        <v>1</v>
      </c>
      <c r="F17" s="2" t="s">
        <v>18</v>
      </c>
      <c r="G17" s="2">
        <v>14</v>
      </c>
      <c r="H17" s="2" t="b">
        <v>0</v>
      </c>
      <c r="I17" s="2">
        <v>6</v>
      </c>
      <c r="J17" s="2" t="s">
        <v>19</v>
      </c>
      <c r="K17" s="2">
        <v>2</v>
      </c>
      <c r="L17" s="2">
        <v>0.46</v>
      </c>
      <c r="M17" s="2">
        <v>0.45450000000000002</v>
      </c>
      <c r="N17" s="2">
        <v>0.72</v>
      </c>
      <c r="O17" s="2">
        <v>0.28360000000000002</v>
      </c>
      <c r="P17" s="2">
        <v>35</v>
      </c>
      <c r="Q17" s="2">
        <v>71</v>
      </c>
      <c r="R17" s="2">
        <v>106</v>
      </c>
    </row>
    <row r="18" spans="1:20" x14ac:dyDescent="0.3">
      <c r="A18" s="2">
        <v>16</v>
      </c>
      <c r="B18" s="4">
        <v>40544</v>
      </c>
      <c r="C18" s="2">
        <v>1</v>
      </c>
      <c r="D18" s="2">
        <v>0</v>
      </c>
      <c r="E18" s="2">
        <v>1</v>
      </c>
      <c r="F18" s="2" t="s">
        <v>18</v>
      </c>
      <c r="G18" s="2">
        <v>15</v>
      </c>
      <c r="H18" s="2" t="b">
        <v>0</v>
      </c>
      <c r="I18" s="2">
        <v>6</v>
      </c>
      <c r="J18" s="2" t="s">
        <v>19</v>
      </c>
      <c r="K18" s="2">
        <v>2</v>
      </c>
      <c r="L18" s="2">
        <v>0.44</v>
      </c>
      <c r="M18" s="2">
        <v>0.43940000000000001</v>
      </c>
      <c r="N18" s="2">
        <v>0.77</v>
      </c>
      <c r="O18" s="2">
        <v>0.29849999999999999</v>
      </c>
      <c r="P18" s="2">
        <v>40</v>
      </c>
      <c r="Q18" s="2">
        <v>70</v>
      </c>
      <c r="R18" s="2">
        <v>110</v>
      </c>
    </row>
    <row r="19" spans="1:20" x14ac:dyDescent="0.3">
      <c r="A19" s="2">
        <v>17</v>
      </c>
      <c r="B19" s="4">
        <v>40544</v>
      </c>
      <c r="C19" s="2">
        <v>1</v>
      </c>
      <c r="D19" s="2">
        <v>0</v>
      </c>
      <c r="E19" s="2">
        <v>1</v>
      </c>
      <c r="F19" s="2" t="s">
        <v>18</v>
      </c>
      <c r="G19" s="2">
        <v>16</v>
      </c>
      <c r="H19" s="2" t="b">
        <v>0</v>
      </c>
      <c r="I19" s="2">
        <v>6</v>
      </c>
      <c r="J19" s="2" t="s">
        <v>19</v>
      </c>
      <c r="K19" s="2">
        <v>2</v>
      </c>
      <c r="L19" s="2">
        <v>0.42</v>
      </c>
      <c r="M19" s="2">
        <v>0.42420000000000002</v>
      </c>
      <c r="N19" s="2">
        <v>0.82</v>
      </c>
      <c r="O19" s="2">
        <v>0.29849999999999999</v>
      </c>
      <c r="P19" s="2">
        <v>41</v>
      </c>
      <c r="Q19" s="2">
        <v>52</v>
      </c>
      <c r="R19" s="2">
        <v>93</v>
      </c>
    </row>
    <row r="20" spans="1:20" x14ac:dyDescent="0.3">
      <c r="A20" s="2">
        <v>18</v>
      </c>
      <c r="B20" s="4">
        <v>40544</v>
      </c>
      <c r="C20" s="2">
        <v>1</v>
      </c>
      <c r="D20" s="2">
        <v>0</v>
      </c>
      <c r="E20" s="2">
        <v>1</v>
      </c>
      <c r="F20" s="2" t="s">
        <v>18</v>
      </c>
      <c r="G20" s="2">
        <v>17</v>
      </c>
      <c r="H20" s="2" t="b">
        <v>0</v>
      </c>
      <c r="I20" s="2">
        <v>6</v>
      </c>
      <c r="J20" s="2" t="s">
        <v>19</v>
      </c>
      <c r="K20" s="2">
        <v>2</v>
      </c>
      <c r="L20" s="2">
        <v>0.44</v>
      </c>
      <c r="M20" s="2">
        <f>AVERAGE(L15:L34,L423:L425,L985:L994,)</f>
        <v>0.40833333333333344</v>
      </c>
      <c r="N20" s="2">
        <v>0.82</v>
      </c>
      <c r="O20" s="2">
        <v>0.28360000000000002</v>
      </c>
      <c r="P20" s="2">
        <v>15</v>
      </c>
      <c r="Q20" s="2">
        <v>52</v>
      </c>
      <c r="R20" s="2">
        <v>67</v>
      </c>
    </row>
    <row r="21" spans="1:20" x14ac:dyDescent="0.3">
      <c r="A21" s="2">
        <v>19</v>
      </c>
      <c r="B21" s="4">
        <v>40544</v>
      </c>
      <c r="C21" s="2">
        <v>1</v>
      </c>
      <c r="D21" s="2">
        <v>0</v>
      </c>
      <c r="E21" s="2">
        <v>1</v>
      </c>
      <c r="F21" s="2" t="s">
        <v>18</v>
      </c>
      <c r="G21" s="2">
        <v>18</v>
      </c>
      <c r="H21" s="2" t="b">
        <v>0</v>
      </c>
      <c r="I21" s="2">
        <v>6</v>
      </c>
      <c r="J21" s="2" t="s">
        <v>19</v>
      </c>
      <c r="K21" s="2">
        <v>3</v>
      </c>
      <c r="L21" s="2">
        <v>0.42</v>
      </c>
      <c r="M21" s="2">
        <v>0.42420000000000002</v>
      </c>
      <c r="N21" s="2">
        <v>0.88</v>
      </c>
      <c r="O21" s="2">
        <v>0.25369999999999998</v>
      </c>
      <c r="P21" s="2">
        <v>9</v>
      </c>
      <c r="Q21" s="2">
        <v>26</v>
      </c>
      <c r="R21" s="2">
        <v>35</v>
      </c>
      <c r="T21" s="5"/>
    </row>
    <row r="22" spans="1:20" x14ac:dyDescent="0.3">
      <c r="A22" s="2">
        <v>20</v>
      </c>
      <c r="B22" s="4">
        <v>40544</v>
      </c>
      <c r="C22" s="2">
        <v>1</v>
      </c>
      <c r="D22" s="2">
        <v>0</v>
      </c>
      <c r="E22" s="2">
        <v>1</v>
      </c>
      <c r="F22" s="2" t="s">
        <v>18</v>
      </c>
      <c r="G22" s="2">
        <v>19</v>
      </c>
      <c r="H22" s="2" t="b">
        <v>0</v>
      </c>
      <c r="I22" s="2">
        <v>6</v>
      </c>
      <c r="J22" s="2" t="s">
        <v>19</v>
      </c>
      <c r="K22" s="2">
        <v>3</v>
      </c>
      <c r="L22" s="2">
        <v>0.42</v>
      </c>
      <c r="M22" s="2">
        <v>0.42420000000000002</v>
      </c>
      <c r="N22" s="2">
        <v>0.88</v>
      </c>
      <c r="O22" s="2">
        <v>0.25369999999999998</v>
      </c>
      <c r="P22" s="2">
        <v>6</v>
      </c>
      <c r="Q22" s="2">
        <v>31</v>
      </c>
      <c r="R22" s="2">
        <v>37</v>
      </c>
      <c r="T22" s="5"/>
    </row>
    <row r="23" spans="1:20" x14ac:dyDescent="0.3">
      <c r="A23" s="2">
        <v>21</v>
      </c>
      <c r="B23" s="4">
        <v>40544</v>
      </c>
      <c r="C23" s="2">
        <v>1</v>
      </c>
      <c r="D23" s="2">
        <v>0</v>
      </c>
      <c r="E23" s="2">
        <v>1</v>
      </c>
      <c r="F23" s="2" t="s">
        <v>18</v>
      </c>
      <c r="G23" s="2">
        <v>20</v>
      </c>
      <c r="H23" s="2" t="b">
        <v>0</v>
      </c>
      <c r="I23" s="2">
        <v>6</v>
      </c>
      <c r="J23" s="2" t="s">
        <v>19</v>
      </c>
      <c r="K23" s="2">
        <v>2</v>
      </c>
      <c r="L23" s="2">
        <v>0.4</v>
      </c>
      <c r="M23" s="2">
        <v>0.40910000000000002</v>
      </c>
      <c r="N23" s="2">
        <v>0.87</v>
      </c>
      <c r="O23" s="2">
        <v>0.25369999999999998</v>
      </c>
      <c r="P23" s="2">
        <v>11</v>
      </c>
      <c r="Q23" s="2">
        <v>25</v>
      </c>
      <c r="R23" s="2">
        <v>36</v>
      </c>
      <c r="T23" s="5"/>
    </row>
    <row r="24" spans="1:20" x14ac:dyDescent="0.3">
      <c r="A24" s="2">
        <v>22</v>
      </c>
      <c r="B24" s="4">
        <v>40544</v>
      </c>
      <c r="C24" s="2">
        <v>1</v>
      </c>
      <c r="D24" s="2">
        <v>0</v>
      </c>
      <c r="E24" s="2">
        <v>1</v>
      </c>
      <c r="F24" s="2" t="s">
        <v>18</v>
      </c>
      <c r="G24" s="2">
        <v>21</v>
      </c>
      <c r="H24" s="2" t="b">
        <v>0</v>
      </c>
      <c r="I24" s="2">
        <v>6</v>
      </c>
      <c r="J24" s="2" t="s">
        <v>19</v>
      </c>
      <c r="K24" s="2">
        <v>2</v>
      </c>
      <c r="L24" s="2">
        <v>0.4</v>
      </c>
      <c r="M24" s="2">
        <v>0.40910000000000002</v>
      </c>
      <c r="N24" s="2">
        <v>0.87</v>
      </c>
      <c r="O24" s="2">
        <v>0.19400000000000001</v>
      </c>
      <c r="P24" s="2">
        <v>3</v>
      </c>
      <c r="Q24" s="2">
        <v>31</v>
      </c>
      <c r="R24" s="2">
        <v>34</v>
      </c>
    </row>
    <row r="25" spans="1:20" x14ac:dyDescent="0.3">
      <c r="A25" s="2">
        <v>23</v>
      </c>
      <c r="B25" s="4">
        <v>40544</v>
      </c>
      <c r="C25" s="2">
        <v>1</v>
      </c>
      <c r="D25" s="2">
        <v>0</v>
      </c>
      <c r="E25" s="2">
        <v>1</v>
      </c>
      <c r="F25" s="2" t="s">
        <v>18</v>
      </c>
      <c r="G25" s="2">
        <v>22</v>
      </c>
      <c r="H25" s="2" t="b">
        <v>0</v>
      </c>
      <c r="I25" s="2">
        <v>6</v>
      </c>
      <c r="J25" s="2" t="s">
        <v>19</v>
      </c>
      <c r="K25" s="2">
        <v>2</v>
      </c>
      <c r="L25" s="2">
        <v>0.4</v>
      </c>
      <c r="M25" s="2">
        <v>0.40910000000000002</v>
      </c>
      <c r="N25" s="2">
        <v>0.94</v>
      </c>
      <c r="O25" s="2">
        <v>0.22389999999999999</v>
      </c>
      <c r="P25" s="2">
        <v>11</v>
      </c>
      <c r="Q25" s="2">
        <v>17</v>
      </c>
      <c r="R25" s="2">
        <v>28</v>
      </c>
    </row>
    <row r="26" spans="1:20" x14ac:dyDescent="0.3">
      <c r="A26" s="2">
        <v>24</v>
      </c>
      <c r="B26" s="4">
        <v>40544</v>
      </c>
      <c r="C26" s="2">
        <v>1</v>
      </c>
      <c r="D26" s="2">
        <v>0</v>
      </c>
      <c r="E26" s="2">
        <v>1</v>
      </c>
      <c r="F26" s="2" t="s">
        <v>18</v>
      </c>
      <c r="G26" s="2">
        <v>23</v>
      </c>
      <c r="H26" s="2" t="b">
        <v>0</v>
      </c>
      <c r="I26" s="2">
        <v>6</v>
      </c>
      <c r="J26" s="2" t="s">
        <v>19</v>
      </c>
      <c r="K26" s="2">
        <v>2</v>
      </c>
      <c r="L26" s="2">
        <v>0.46</v>
      </c>
      <c r="M26" s="2">
        <f>AVERAGE(L15:L34,L985:L994,)</f>
        <v>0.40952380952380957</v>
      </c>
      <c r="N26" s="2">
        <v>0.88</v>
      </c>
      <c r="O26" s="2">
        <v>0.29849999999999999</v>
      </c>
      <c r="P26" s="2">
        <v>15</v>
      </c>
      <c r="Q26" s="2">
        <v>24</v>
      </c>
      <c r="R26" s="2">
        <v>39</v>
      </c>
    </row>
    <row r="27" spans="1:20" x14ac:dyDescent="0.3">
      <c r="A27" s="2">
        <v>25</v>
      </c>
      <c r="B27" s="4">
        <v>40545</v>
      </c>
      <c r="C27" s="2">
        <v>1</v>
      </c>
      <c r="D27" s="2">
        <v>0</v>
      </c>
      <c r="E27" s="2">
        <v>1</v>
      </c>
      <c r="F27" s="2" t="s">
        <v>18</v>
      </c>
      <c r="G27" s="2">
        <v>0</v>
      </c>
      <c r="H27" s="2" t="b">
        <v>0</v>
      </c>
      <c r="I27" s="2">
        <v>0</v>
      </c>
      <c r="J27" s="2" t="s">
        <v>23</v>
      </c>
      <c r="K27" s="2">
        <v>2</v>
      </c>
      <c r="L27" s="2">
        <v>0.46</v>
      </c>
      <c r="M27" s="2">
        <v>0.45450000000000002</v>
      </c>
      <c r="N27" s="2">
        <v>0.88</v>
      </c>
      <c r="O27" s="2">
        <v>0.29849999999999999</v>
      </c>
      <c r="P27" s="2">
        <v>4</v>
      </c>
      <c r="Q27" s="2">
        <v>13</v>
      </c>
      <c r="R27" s="2">
        <v>17</v>
      </c>
    </row>
    <row r="28" spans="1:20" x14ac:dyDescent="0.3">
      <c r="A28" s="2">
        <v>26</v>
      </c>
      <c r="B28" s="4">
        <v>40545</v>
      </c>
      <c r="C28" s="2">
        <v>1</v>
      </c>
      <c r="D28" s="2">
        <v>0</v>
      </c>
      <c r="E28" s="2">
        <v>1</v>
      </c>
      <c r="F28" s="2" t="s">
        <v>18</v>
      </c>
      <c r="G28" s="2">
        <v>1</v>
      </c>
      <c r="H28" s="2" t="b">
        <v>0</v>
      </c>
      <c r="I28" s="2">
        <v>0</v>
      </c>
      <c r="J28" s="2" t="s">
        <v>23</v>
      </c>
      <c r="K28" s="2">
        <v>2</v>
      </c>
      <c r="L28" s="2">
        <v>0.44</v>
      </c>
      <c r="M28" s="2">
        <v>0.43940000000000001</v>
      </c>
      <c r="N28" s="2">
        <v>0.94</v>
      </c>
      <c r="O28" s="2">
        <v>0.25369999999999998</v>
      </c>
      <c r="P28" s="2">
        <v>1</v>
      </c>
      <c r="Q28" s="2">
        <v>16</v>
      </c>
      <c r="R28" s="2">
        <v>17</v>
      </c>
    </row>
    <row r="29" spans="1:20" x14ac:dyDescent="0.3">
      <c r="A29" s="2">
        <v>27</v>
      </c>
      <c r="B29" s="4">
        <v>40545</v>
      </c>
      <c r="C29" s="2">
        <v>1</v>
      </c>
      <c r="D29" s="2">
        <v>0</v>
      </c>
      <c r="E29" s="2">
        <v>1</v>
      </c>
      <c r="F29" s="2" t="s">
        <v>18</v>
      </c>
      <c r="G29" s="2">
        <v>2</v>
      </c>
      <c r="H29" s="2" t="b">
        <v>0</v>
      </c>
      <c r="I29" s="2">
        <v>0</v>
      </c>
      <c r="J29" s="2" t="s">
        <v>23</v>
      </c>
      <c r="K29" s="2">
        <v>2</v>
      </c>
      <c r="L29" s="2">
        <v>0.42</v>
      </c>
      <c r="M29" s="2">
        <v>0.42420000000000002</v>
      </c>
      <c r="N29" s="2">
        <v>1</v>
      </c>
      <c r="O29" s="2">
        <v>0.28360000000000002</v>
      </c>
      <c r="P29" s="2">
        <v>1</v>
      </c>
      <c r="Q29" s="2">
        <v>8</v>
      </c>
      <c r="R29" s="2">
        <v>9</v>
      </c>
    </row>
    <row r="30" spans="1:20" x14ac:dyDescent="0.3">
      <c r="A30" s="2">
        <v>28</v>
      </c>
      <c r="B30" s="4">
        <v>40545</v>
      </c>
      <c r="C30" s="2">
        <v>1</v>
      </c>
      <c r="D30" s="2">
        <v>0</v>
      </c>
      <c r="E30" s="2">
        <v>1</v>
      </c>
      <c r="F30" s="2" t="s">
        <v>18</v>
      </c>
      <c r="G30" s="2">
        <v>3</v>
      </c>
      <c r="H30" s="2" t="b">
        <v>0</v>
      </c>
      <c r="I30" s="2">
        <v>0</v>
      </c>
      <c r="J30" s="2" t="s">
        <v>23</v>
      </c>
      <c r="K30" s="2">
        <v>2</v>
      </c>
      <c r="L30" s="2">
        <v>0.46</v>
      </c>
      <c r="M30" s="2">
        <v>0.45450000000000002</v>
      </c>
      <c r="N30" s="2">
        <v>0.94</v>
      </c>
      <c r="O30" s="2">
        <v>0.19400000000000001</v>
      </c>
      <c r="P30" s="2">
        <v>2</v>
      </c>
      <c r="Q30" s="2">
        <v>4</v>
      </c>
      <c r="R30" s="2">
        <v>6</v>
      </c>
    </row>
    <row r="31" spans="1:20" x14ac:dyDescent="0.3">
      <c r="A31" s="2">
        <v>29</v>
      </c>
      <c r="B31" s="4">
        <v>40545</v>
      </c>
      <c r="C31" s="2">
        <v>1</v>
      </c>
      <c r="D31" s="2">
        <v>0</v>
      </c>
      <c r="E31" s="2">
        <v>1</v>
      </c>
      <c r="F31" s="2" t="s">
        <v>18</v>
      </c>
      <c r="G31" s="2">
        <v>4</v>
      </c>
      <c r="H31" s="2" t="b">
        <v>0</v>
      </c>
      <c r="I31" s="2">
        <v>0</v>
      </c>
      <c r="J31" s="2" t="s">
        <v>23</v>
      </c>
      <c r="K31" s="2">
        <v>2</v>
      </c>
      <c r="L31" s="2">
        <v>0.46</v>
      </c>
      <c r="M31" s="2">
        <v>0.45450000000000002</v>
      </c>
      <c r="N31" s="2">
        <v>0.94</v>
      </c>
      <c r="O31" s="2">
        <v>0.19400000000000001</v>
      </c>
      <c r="P31" s="2">
        <v>2</v>
      </c>
      <c r="Q31" s="2">
        <v>1</v>
      </c>
      <c r="R31" s="2">
        <v>3</v>
      </c>
    </row>
    <row r="32" spans="1:20" x14ac:dyDescent="0.3">
      <c r="A32" s="2">
        <v>30</v>
      </c>
      <c r="B32" s="4">
        <v>40545</v>
      </c>
      <c r="C32" s="2">
        <v>1</v>
      </c>
      <c r="D32" s="2">
        <v>0</v>
      </c>
      <c r="E32" s="2">
        <v>1</v>
      </c>
      <c r="F32" s="2" t="s">
        <v>18</v>
      </c>
      <c r="G32" s="2">
        <v>6</v>
      </c>
      <c r="H32" s="2" t="b">
        <v>0</v>
      </c>
      <c r="I32" s="2">
        <v>0</v>
      </c>
      <c r="J32" s="2" t="s">
        <v>23</v>
      </c>
      <c r="K32" s="2">
        <v>3</v>
      </c>
      <c r="L32" s="2">
        <v>0.42</v>
      </c>
      <c r="M32" s="2">
        <v>0.42420000000000002</v>
      </c>
      <c r="N32" s="2">
        <v>0.77</v>
      </c>
      <c r="O32" s="2">
        <v>0.29849999999999999</v>
      </c>
      <c r="P32" s="2">
        <v>0</v>
      </c>
      <c r="Q32" s="2">
        <v>2</v>
      </c>
      <c r="R32" s="2">
        <v>2</v>
      </c>
    </row>
    <row r="33" spans="1:18" x14ac:dyDescent="0.3">
      <c r="A33" s="2">
        <v>31</v>
      </c>
      <c r="B33" s="4">
        <v>40545</v>
      </c>
      <c r="C33" s="2">
        <v>1</v>
      </c>
      <c r="D33" s="2">
        <v>0</v>
      </c>
      <c r="E33" s="2">
        <v>1</v>
      </c>
      <c r="F33" s="2" t="s">
        <v>18</v>
      </c>
      <c r="G33" s="2">
        <v>7</v>
      </c>
      <c r="H33" s="2" t="b">
        <v>0</v>
      </c>
      <c r="I33" s="2">
        <v>0</v>
      </c>
      <c r="J33" s="2" t="s">
        <v>23</v>
      </c>
      <c r="K33" s="2">
        <v>2</v>
      </c>
      <c r="L33" s="2">
        <v>0.4</v>
      </c>
      <c r="M33" s="2">
        <v>0.40910000000000002</v>
      </c>
      <c r="N33" s="2">
        <v>0.76</v>
      </c>
      <c r="O33" s="2">
        <v>0.19400000000000001</v>
      </c>
      <c r="P33" s="2">
        <v>0</v>
      </c>
      <c r="Q33" s="2">
        <v>1</v>
      </c>
      <c r="R33" s="2">
        <v>1</v>
      </c>
    </row>
    <row r="34" spans="1:18" x14ac:dyDescent="0.3">
      <c r="A34" s="2">
        <v>32</v>
      </c>
      <c r="B34" s="4">
        <v>40545</v>
      </c>
      <c r="C34" s="2">
        <v>1</v>
      </c>
      <c r="D34" s="2">
        <v>0</v>
      </c>
      <c r="E34" s="2">
        <v>1</v>
      </c>
      <c r="F34" s="2" t="s">
        <v>18</v>
      </c>
      <c r="G34" s="2">
        <v>8</v>
      </c>
      <c r="H34" s="2" t="b">
        <v>0</v>
      </c>
      <c r="I34" s="2">
        <v>0</v>
      </c>
      <c r="J34" s="2" t="s">
        <v>23</v>
      </c>
      <c r="K34" s="2">
        <v>3</v>
      </c>
      <c r="L34" s="2">
        <v>0.4</v>
      </c>
      <c r="M34" s="2">
        <v>0.40910000000000002</v>
      </c>
      <c r="N34" s="2">
        <v>0.71</v>
      </c>
      <c r="O34" s="2">
        <v>0.22389999999999999</v>
      </c>
      <c r="P34" s="2">
        <v>0</v>
      </c>
      <c r="Q34" s="2">
        <v>8</v>
      </c>
      <c r="R34" s="2">
        <v>8</v>
      </c>
    </row>
    <row r="35" spans="1:18" x14ac:dyDescent="0.3">
      <c r="A35" s="2">
        <v>33</v>
      </c>
      <c r="B35" s="4">
        <v>40545</v>
      </c>
      <c r="C35" s="2">
        <v>1</v>
      </c>
      <c r="D35" s="2">
        <v>0</v>
      </c>
      <c r="E35" s="2">
        <v>1</v>
      </c>
      <c r="F35" s="2" t="s">
        <v>18</v>
      </c>
      <c r="G35" s="2">
        <v>9</v>
      </c>
      <c r="H35" s="2" t="b">
        <v>0</v>
      </c>
      <c r="I35" s="2">
        <v>0</v>
      </c>
      <c r="J35" s="2" t="s">
        <v>23</v>
      </c>
      <c r="K35" s="2">
        <v>2</v>
      </c>
      <c r="L35" s="2">
        <v>0.38</v>
      </c>
      <c r="M35" s="2">
        <f>AVERAGE(L35:L46,L12:L14,L87,L108:L110,L341:L350,L422,L426:L433,L446,L448:L451,L564:L568,L655,L658:L660,L686,L727:L732,L776,L804,L818:L826,L843:L853,L855,L938:L941,L959:L965,L981:L984,L995:L1002,)</f>
        <v>0.31795918367346959</v>
      </c>
      <c r="N35" s="2">
        <v>0.76</v>
      </c>
      <c r="O35" s="2">
        <v>0.22389999999999999</v>
      </c>
      <c r="P35" s="2">
        <v>1</v>
      </c>
      <c r="Q35" s="2">
        <v>19</v>
      </c>
      <c r="R35" s="2">
        <v>20</v>
      </c>
    </row>
    <row r="36" spans="1:18" x14ac:dyDescent="0.3">
      <c r="A36" s="2">
        <v>34</v>
      </c>
      <c r="B36" s="4">
        <v>40545</v>
      </c>
      <c r="C36" s="2">
        <v>1</v>
      </c>
      <c r="D36" s="2">
        <v>0</v>
      </c>
      <c r="E36" s="2">
        <v>1</v>
      </c>
      <c r="F36" s="2" t="s">
        <v>18</v>
      </c>
      <c r="G36" s="2">
        <v>10</v>
      </c>
      <c r="H36" s="2" t="b">
        <v>0</v>
      </c>
      <c r="I36" s="2">
        <v>0</v>
      </c>
      <c r="J36" s="2" t="s">
        <v>23</v>
      </c>
      <c r="K36" s="2">
        <v>2</v>
      </c>
      <c r="L36" s="2">
        <v>0.36</v>
      </c>
      <c r="M36" s="2">
        <v>0.34849999999999998</v>
      </c>
      <c r="N36" s="2">
        <v>0.81</v>
      </c>
      <c r="O36" s="2">
        <v>0.22389999999999999</v>
      </c>
      <c r="P36" s="2">
        <v>7</v>
      </c>
      <c r="Q36" s="2">
        <v>46</v>
      </c>
      <c r="R36" s="2">
        <v>53</v>
      </c>
    </row>
    <row r="37" spans="1:18" x14ac:dyDescent="0.3">
      <c r="A37" s="2">
        <v>35</v>
      </c>
      <c r="B37" s="4">
        <v>40545</v>
      </c>
      <c r="C37" s="2">
        <v>1</v>
      </c>
      <c r="D37" s="2">
        <v>0</v>
      </c>
      <c r="E37" s="2">
        <v>1</v>
      </c>
      <c r="F37" s="2" t="s">
        <v>18</v>
      </c>
      <c r="G37" s="2">
        <v>11</v>
      </c>
      <c r="H37" s="2" t="b">
        <v>0</v>
      </c>
      <c r="I37" s="2">
        <v>0</v>
      </c>
      <c r="J37" s="2" t="s">
        <v>23</v>
      </c>
      <c r="K37" s="2">
        <v>2</v>
      </c>
      <c r="L37" s="2">
        <v>0.36</v>
      </c>
      <c r="M37" s="2">
        <v>0.33329999999999999</v>
      </c>
      <c r="N37" s="2">
        <v>0.71</v>
      </c>
      <c r="O37" s="2">
        <v>0.25369999999999998</v>
      </c>
      <c r="P37" s="2">
        <v>16</v>
      </c>
      <c r="Q37" s="2">
        <v>54</v>
      </c>
      <c r="R37" s="2">
        <v>70</v>
      </c>
    </row>
    <row r="38" spans="1:18" x14ac:dyDescent="0.3">
      <c r="A38" s="2">
        <v>36</v>
      </c>
      <c r="B38" s="4">
        <v>40545</v>
      </c>
      <c r="C38" s="2">
        <v>1</v>
      </c>
      <c r="D38" s="2">
        <v>0</v>
      </c>
      <c r="E38" s="2">
        <v>1</v>
      </c>
      <c r="F38" s="2" t="s">
        <v>18</v>
      </c>
      <c r="G38" s="2">
        <v>12</v>
      </c>
      <c r="H38" s="2" t="b">
        <v>0</v>
      </c>
      <c r="I38" s="2">
        <v>0</v>
      </c>
      <c r="J38" s="2" t="s">
        <v>23</v>
      </c>
      <c r="K38" s="2">
        <v>2</v>
      </c>
      <c r="L38" s="2">
        <v>0.36</v>
      </c>
      <c r="M38" s="2">
        <v>0.33329999999999999</v>
      </c>
      <c r="N38" s="2">
        <v>0.66</v>
      </c>
      <c r="O38" s="2">
        <v>0.29849999999999999</v>
      </c>
      <c r="P38" s="2">
        <v>20</v>
      </c>
      <c r="Q38" s="2">
        <v>73</v>
      </c>
      <c r="R38" s="2">
        <v>93</v>
      </c>
    </row>
    <row r="39" spans="1:18" x14ac:dyDescent="0.3">
      <c r="A39" s="2">
        <v>37</v>
      </c>
      <c r="B39" s="4">
        <v>40545</v>
      </c>
      <c r="C39" s="2">
        <v>1</v>
      </c>
      <c r="D39" s="2">
        <v>0</v>
      </c>
      <c r="E39" s="2">
        <v>1</v>
      </c>
      <c r="F39" s="2" t="s">
        <v>18</v>
      </c>
      <c r="G39" s="2">
        <v>13</v>
      </c>
      <c r="H39" s="2" t="b">
        <v>0</v>
      </c>
      <c r="I39" s="2">
        <v>0</v>
      </c>
      <c r="J39" s="2" t="s">
        <v>23</v>
      </c>
      <c r="K39" s="2">
        <v>2</v>
      </c>
      <c r="L39" s="2">
        <v>0.36</v>
      </c>
      <c r="M39" s="2">
        <v>0.34849999999999998</v>
      </c>
      <c r="N39" s="2">
        <v>0.66</v>
      </c>
      <c r="O39" s="2">
        <v>0.1343</v>
      </c>
      <c r="P39" s="2">
        <v>11</v>
      </c>
      <c r="Q39" s="2">
        <v>64</v>
      </c>
      <c r="R39" s="2">
        <v>75</v>
      </c>
    </row>
    <row r="40" spans="1:18" x14ac:dyDescent="0.3">
      <c r="A40" s="2">
        <v>38</v>
      </c>
      <c r="B40" s="4">
        <v>40545</v>
      </c>
      <c r="C40" s="2">
        <v>1</v>
      </c>
      <c r="D40" s="2">
        <v>0</v>
      </c>
      <c r="E40" s="2">
        <v>1</v>
      </c>
      <c r="F40" s="2" t="s">
        <v>18</v>
      </c>
      <c r="G40" s="2">
        <v>14</v>
      </c>
      <c r="H40" s="2" t="b">
        <v>0</v>
      </c>
      <c r="I40" s="2">
        <v>0</v>
      </c>
      <c r="J40" s="2" t="s">
        <v>23</v>
      </c>
      <c r="K40" s="2">
        <v>3</v>
      </c>
      <c r="L40" s="2">
        <v>0.36</v>
      </c>
      <c r="M40" s="2">
        <v>0.34849999999999998</v>
      </c>
      <c r="N40" s="2">
        <v>0.76</v>
      </c>
      <c r="O40" s="2">
        <v>0.19400000000000001</v>
      </c>
      <c r="P40" s="2">
        <v>4</v>
      </c>
      <c r="Q40" s="2">
        <v>55</v>
      </c>
      <c r="R40" s="2">
        <v>59</v>
      </c>
    </row>
    <row r="41" spans="1:18" x14ac:dyDescent="0.3">
      <c r="A41" s="2">
        <v>39</v>
      </c>
      <c r="B41" s="4">
        <v>40545</v>
      </c>
      <c r="C41" s="2">
        <v>1</v>
      </c>
      <c r="D41" s="2">
        <v>0</v>
      </c>
      <c r="E41" s="2">
        <v>1</v>
      </c>
      <c r="F41" s="2" t="s">
        <v>18</v>
      </c>
      <c r="G41" s="2">
        <v>15</v>
      </c>
      <c r="H41" s="2" t="b">
        <v>0</v>
      </c>
      <c r="I41" s="2">
        <v>0</v>
      </c>
      <c r="J41" s="2" t="s">
        <v>23</v>
      </c>
      <c r="K41" s="2">
        <v>3</v>
      </c>
      <c r="L41" s="2">
        <v>0.34</v>
      </c>
      <c r="M41" s="2">
        <v>0.33329999999999999</v>
      </c>
      <c r="N41" s="2">
        <v>0.81</v>
      </c>
      <c r="O41" s="2">
        <v>0.16420000000000001</v>
      </c>
      <c r="P41" s="2">
        <v>19</v>
      </c>
      <c r="Q41" s="2">
        <v>55</v>
      </c>
      <c r="R41" s="2">
        <v>74</v>
      </c>
    </row>
    <row r="42" spans="1:18" x14ac:dyDescent="0.3">
      <c r="A42" s="2">
        <v>40</v>
      </c>
      <c r="B42" s="4">
        <v>40545</v>
      </c>
      <c r="C42" s="2">
        <v>1</v>
      </c>
      <c r="D42" s="2">
        <v>0</v>
      </c>
      <c r="E42" s="2">
        <v>1</v>
      </c>
      <c r="F42" s="2" t="s">
        <v>18</v>
      </c>
      <c r="G42" s="2">
        <v>16</v>
      </c>
      <c r="H42" s="2" t="b">
        <v>0</v>
      </c>
      <c r="I42" s="2">
        <v>0</v>
      </c>
      <c r="J42" s="2" t="s">
        <v>23</v>
      </c>
      <c r="K42" s="2">
        <v>3</v>
      </c>
      <c r="L42" s="2">
        <v>0.34</v>
      </c>
      <c r="M42" s="2">
        <v>0.33329999999999999</v>
      </c>
      <c r="N42" s="2">
        <v>0.71</v>
      </c>
      <c r="O42" s="2">
        <v>0.16420000000000001</v>
      </c>
      <c r="P42" s="2">
        <v>9</v>
      </c>
      <c r="Q42" s="2">
        <v>67</v>
      </c>
      <c r="R42" s="2">
        <v>76</v>
      </c>
    </row>
    <row r="43" spans="1:18" x14ac:dyDescent="0.3">
      <c r="A43" s="2">
        <v>41</v>
      </c>
      <c r="B43" s="4">
        <v>40545</v>
      </c>
      <c r="C43" s="2">
        <v>1</v>
      </c>
      <c r="D43" s="2">
        <v>0</v>
      </c>
      <c r="E43" s="2">
        <v>1</v>
      </c>
      <c r="F43" s="2" t="s">
        <v>18</v>
      </c>
      <c r="G43" s="2">
        <v>17</v>
      </c>
      <c r="H43" s="2" t="b">
        <v>0</v>
      </c>
      <c r="I43" s="2">
        <v>0</v>
      </c>
      <c r="J43" s="2" t="s">
        <v>23</v>
      </c>
      <c r="K43" s="2">
        <v>1</v>
      </c>
      <c r="L43" s="2">
        <v>0.34</v>
      </c>
      <c r="M43" s="2">
        <v>0.33329999999999999</v>
      </c>
      <c r="N43" s="2">
        <v>0.56999999999999995</v>
      </c>
      <c r="O43" s="2">
        <v>0.19400000000000001</v>
      </c>
      <c r="P43" s="2">
        <v>7</v>
      </c>
      <c r="Q43" s="2">
        <v>58</v>
      </c>
      <c r="R43" s="2">
        <v>65</v>
      </c>
    </row>
    <row r="44" spans="1:18" x14ac:dyDescent="0.3">
      <c r="A44" s="2">
        <v>42</v>
      </c>
      <c r="B44" s="4">
        <v>40545</v>
      </c>
      <c r="C44" s="2">
        <v>1</v>
      </c>
      <c r="D44" s="2">
        <v>0</v>
      </c>
      <c r="E44" s="2">
        <v>1</v>
      </c>
      <c r="F44" s="2" t="s">
        <v>18</v>
      </c>
      <c r="G44" s="2">
        <v>18</v>
      </c>
      <c r="H44" s="2" t="b">
        <v>0</v>
      </c>
      <c r="I44" s="2">
        <v>0</v>
      </c>
      <c r="J44" s="2" t="s">
        <v>23</v>
      </c>
      <c r="K44" s="2">
        <v>2</v>
      </c>
      <c r="L44" s="2">
        <v>0.36</v>
      </c>
      <c r="M44" s="2">
        <v>0.33329999999999999</v>
      </c>
      <c r="N44" s="2">
        <v>0.46</v>
      </c>
      <c r="O44" s="2">
        <v>0.32840000000000003</v>
      </c>
      <c r="P44" s="2">
        <v>10</v>
      </c>
      <c r="Q44" s="2">
        <v>43</v>
      </c>
      <c r="R44" s="2">
        <v>53</v>
      </c>
    </row>
    <row r="45" spans="1:18" x14ac:dyDescent="0.3">
      <c r="A45" s="2">
        <v>43</v>
      </c>
      <c r="B45" s="4">
        <v>40545</v>
      </c>
      <c r="C45" s="2">
        <v>1</v>
      </c>
      <c r="D45" s="2">
        <v>0</v>
      </c>
      <c r="E45" s="2">
        <v>1</v>
      </c>
      <c r="F45" s="2" t="s">
        <v>18</v>
      </c>
      <c r="G45" s="2">
        <v>19</v>
      </c>
      <c r="H45" s="2" t="b">
        <v>0</v>
      </c>
      <c r="I45" s="2">
        <v>0</v>
      </c>
      <c r="J45" s="2" t="s">
        <v>23</v>
      </c>
      <c r="K45" s="2">
        <v>1</v>
      </c>
      <c r="L45" s="2">
        <v>0.32</v>
      </c>
      <c r="M45" s="2">
        <v>0.28789999999999999</v>
      </c>
      <c r="N45" s="2">
        <v>0.42</v>
      </c>
      <c r="O45" s="2">
        <v>0.44779999999999998</v>
      </c>
      <c r="P45" s="2">
        <v>1</v>
      </c>
      <c r="Q45" s="2">
        <v>29</v>
      </c>
      <c r="R45" s="2">
        <v>30</v>
      </c>
    </row>
    <row r="46" spans="1:18" x14ac:dyDescent="0.3">
      <c r="A46" s="2">
        <v>44</v>
      </c>
      <c r="B46" s="4">
        <v>40545</v>
      </c>
      <c r="C46" s="2">
        <v>1</v>
      </c>
      <c r="D46" s="2">
        <v>0</v>
      </c>
      <c r="E46" s="2">
        <v>1</v>
      </c>
      <c r="F46" s="2" t="s">
        <v>18</v>
      </c>
      <c r="G46" s="2">
        <v>20</v>
      </c>
      <c r="H46" s="2" t="b">
        <v>0</v>
      </c>
      <c r="I46" s="2">
        <v>0</v>
      </c>
      <c r="J46" s="2" t="s">
        <v>23</v>
      </c>
      <c r="K46" s="2">
        <v>1</v>
      </c>
      <c r="L46" s="2">
        <v>0.3</v>
      </c>
      <c r="M46" s="2">
        <v>0.34849999999999998</v>
      </c>
      <c r="N46" s="2">
        <v>0.39</v>
      </c>
      <c r="O46" s="2">
        <v>0.35820000000000002</v>
      </c>
      <c r="P46" s="2">
        <v>5</v>
      </c>
      <c r="Q46" s="2">
        <v>17</v>
      </c>
      <c r="R46" s="2">
        <v>22</v>
      </c>
    </row>
    <row r="47" spans="1:18" x14ac:dyDescent="0.3">
      <c r="A47" s="2">
        <v>45</v>
      </c>
      <c r="B47" s="4">
        <v>40545</v>
      </c>
      <c r="C47" s="2">
        <v>1</v>
      </c>
      <c r="D47" s="2">
        <v>0</v>
      </c>
      <c r="E47" s="2">
        <v>1</v>
      </c>
      <c r="F47" s="2" t="s">
        <v>18</v>
      </c>
      <c r="G47" s="2">
        <v>21</v>
      </c>
      <c r="H47" s="2" t="b">
        <v>0</v>
      </c>
      <c r="I47" s="2">
        <v>0</v>
      </c>
      <c r="J47" s="2" t="s">
        <v>23</v>
      </c>
      <c r="K47" s="2">
        <v>1</v>
      </c>
      <c r="L47" s="2">
        <v>0.26</v>
      </c>
      <c r="M47" s="2">
        <v>0.2273</v>
      </c>
      <c r="N47" s="2">
        <v>0.44</v>
      </c>
      <c r="O47" s="2">
        <v>0.32840000000000003</v>
      </c>
      <c r="P47" s="2">
        <v>11</v>
      </c>
      <c r="Q47" s="2">
        <v>20</v>
      </c>
      <c r="R47" s="2">
        <v>31</v>
      </c>
    </row>
    <row r="48" spans="1:18" x14ac:dyDescent="0.3">
      <c r="A48" s="2">
        <v>46</v>
      </c>
      <c r="B48" s="4">
        <v>40545</v>
      </c>
      <c r="C48" s="2">
        <v>1</v>
      </c>
      <c r="D48" s="2">
        <v>0</v>
      </c>
      <c r="E48" s="2">
        <v>1</v>
      </c>
      <c r="F48" s="2" t="s">
        <v>18</v>
      </c>
      <c r="G48" s="2">
        <v>22</v>
      </c>
      <c r="H48" s="2" t="b">
        <v>0</v>
      </c>
      <c r="I48" s="2">
        <v>0</v>
      </c>
      <c r="J48" s="2" t="s">
        <v>23</v>
      </c>
      <c r="K48" s="2">
        <v>1</v>
      </c>
      <c r="L48" s="2">
        <v>0.24</v>
      </c>
      <c r="M48" s="2">
        <v>0.21210000000000001</v>
      </c>
      <c r="N48" s="2">
        <v>0.44</v>
      </c>
      <c r="O48" s="2">
        <v>0.29849999999999999</v>
      </c>
      <c r="P48" s="2">
        <v>0</v>
      </c>
      <c r="Q48" s="2">
        <v>9</v>
      </c>
      <c r="R48" s="2">
        <v>9</v>
      </c>
    </row>
    <row r="49" spans="1:18" x14ac:dyDescent="0.3">
      <c r="A49" s="2">
        <v>47</v>
      </c>
      <c r="B49" s="4">
        <v>40545</v>
      </c>
      <c r="C49" s="2">
        <v>1</v>
      </c>
      <c r="D49" s="2">
        <v>0</v>
      </c>
      <c r="E49" s="2">
        <v>1</v>
      </c>
      <c r="F49" s="2" t="s">
        <v>18</v>
      </c>
      <c r="G49" s="2">
        <v>23</v>
      </c>
      <c r="H49" s="2" t="b">
        <v>0</v>
      </c>
      <c r="I49" s="2">
        <v>0</v>
      </c>
      <c r="J49" s="2" t="s">
        <v>23</v>
      </c>
      <c r="K49" s="2">
        <v>1</v>
      </c>
      <c r="L49" s="2">
        <v>0.22</v>
      </c>
      <c r="M49" s="2">
        <v>0.2273</v>
      </c>
      <c r="N49" s="2">
        <v>0.47</v>
      </c>
      <c r="O49" s="2">
        <v>0.16420000000000001</v>
      </c>
      <c r="P49" s="2">
        <v>0</v>
      </c>
      <c r="Q49" s="2">
        <v>8</v>
      </c>
      <c r="R49" s="2">
        <v>8</v>
      </c>
    </row>
    <row r="50" spans="1:18" x14ac:dyDescent="0.3">
      <c r="A50" s="2">
        <v>48</v>
      </c>
      <c r="B50" s="4">
        <v>40546</v>
      </c>
      <c r="C50" s="2">
        <v>1</v>
      </c>
      <c r="D50" s="2">
        <v>0</v>
      </c>
      <c r="E50" s="2">
        <v>1</v>
      </c>
      <c r="F50" s="2" t="s">
        <v>18</v>
      </c>
      <c r="G50" s="2">
        <v>0</v>
      </c>
      <c r="H50" s="2" t="b">
        <v>0</v>
      </c>
      <c r="I50" s="2">
        <v>1</v>
      </c>
      <c r="J50" s="2" t="s">
        <v>24</v>
      </c>
      <c r="K50" s="2">
        <v>1</v>
      </c>
      <c r="L50" s="2">
        <v>0.22</v>
      </c>
      <c r="M50" s="2">
        <v>0.19700000000000001</v>
      </c>
      <c r="N50" s="2">
        <v>0.44</v>
      </c>
      <c r="O50" s="2">
        <v>0.35820000000000002</v>
      </c>
      <c r="P50" s="2">
        <v>0</v>
      </c>
      <c r="Q50" s="2">
        <v>5</v>
      </c>
      <c r="R50" s="2">
        <v>5</v>
      </c>
    </row>
    <row r="51" spans="1:18" x14ac:dyDescent="0.3">
      <c r="A51" s="2">
        <v>49</v>
      </c>
      <c r="B51" s="4">
        <v>40546</v>
      </c>
      <c r="C51" s="2">
        <v>1</v>
      </c>
      <c r="D51" s="2">
        <v>0</v>
      </c>
      <c r="E51" s="2">
        <v>1</v>
      </c>
      <c r="F51" s="2" t="s">
        <v>18</v>
      </c>
      <c r="G51" s="2">
        <v>1</v>
      </c>
      <c r="H51" s="2" t="b">
        <v>0</v>
      </c>
      <c r="I51" s="2">
        <v>1</v>
      </c>
      <c r="J51" s="2" t="s">
        <v>24</v>
      </c>
      <c r="K51" s="2">
        <v>1</v>
      </c>
      <c r="L51" s="2">
        <v>0.2</v>
      </c>
      <c r="M51" s="2">
        <v>0.2727</v>
      </c>
      <c r="N51" s="2">
        <v>0.44</v>
      </c>
      <c r="O51" s="2">
        <v>0.41789999999999999</v>
      </c>
      <c r="P51" s="2">
        <v>0</v>
      </c>
      <c r="Q51" s="2">
        <v>2</v>
      </c>
      <c r="R51" s="2">
        <v>2</v>
      </c>
    </row>
    <row r="52" spans="1:18" x14ac:dyDescent="0.3">
      <c r="A52" s="2">
        <v>50</v>
      </c>
      <c r="B52" s="4">
        <v>40546</v>
      </c>
      <c r="C52" s="2">
        <v>1</v>
      </c>
      <c r="D52" s="2">
        <v>0</v>
      </c>
      <c r="E52" s="2">
        <v>1</v>
      </c>
      <c r="F52" s="2" t="s">
        <v>18</v>
      </c>
      <c r="G52" s="2">
        <v>4</v>
      </c>
      <c r="H52" s="2" t="b">
        <v>0</v>
      </c>
      <c r="I52" s="2">
        <v>1</v>
      </c>
      <c r="J52" s="2" t="s">
        <v>24</v>
      </c>
      <c r="K52" s="2">
        <v>1</v>
      </c>
      <c r="L52" s="2">
        <v>0.16</v>
      </c>
      <c r="M52" s="2">
        <v>0.13639999999999999</v>
      </c>
      <c r="N52" s="2">
        <v>0.47</v>
      </c>
      <c r="O52" s="2">
        <v>0.3881</v>
      </c>
      <c r="P52" s="2">
        <v>0</v>
      </c>
      <c r="Q52" s="2">
        <v>1</v>
      </c>
      <c r="R52" s="2">
        <v>1</v>
      </c>
    </row>
    <row r="53" spans="1:18" x14ac:dyDescent="0.3">
      <c r="A53" s="2">
        <v>51</v>
      </c>
      <c r="B53" s="4">
        <v>40546</v>
      </c>
      <c r="C53" s="2">
        <v>1</v>
      </c>
      <c r="D53" s="2">
        <v>0</v>
      </c>
      <c r="E53" s="2">
        <v>1</v>
      </c>
      <c r="F53" s="2" t="s">
        <v>18</v>
      </c>
      <c r="G53" s="2">
        <v>5</v>
      </c>
      <c r="H53" s="2" t="b">
        <v>0</v>
      </c>
      <c r="I53" s="2">
        <v>1</v>
      </c>
      <c r="J53" s="2" t="s">
        <v>24</v>
      </c>
      <c r="K53" s="2">
        <v>1</v>
      </c>
      <c r="L53" s="2">
        <v>0.16</v>
      </c>
      <c r="M53" s="2">
        <v>0.13639999999999999</v>
      </c>
      <c r="N53" s="2">
        <v>0.47</v>
      </c>
      <c r="O53" s="2">
        <v>0.28360000000000002</v>
      </c>
      <c r="P53" s="2">
        <v>0</v>
      </c>
      <c r="Q53" s="2">
        <v>3</v>
      </c>
      <c r="R53" s="2">
        <v>3</v>
      </c>
    </row>
    <row r="54" spans="1:18" x14ac:dyDescent="0.3">
      <c r="A54" s="2">
        <v>52</v>
      </c>
      <c r="B54" s="4">
        <v>40546</v>
      </c>
      <c r="C54" s="2">
        <v>1</v>
      </c>
      <c r="D54" s="2">
        <v>0</v>
      </c>
      <c r="E54" s="2">
        <v>1</v>
      </c>
      <c r="F54" s="2" t="s">
        <v>18</v>
      </c>
      <c r="G54" s="2">
        <v>6</v>
      </c>
      <c r="H54" s="2" t="b">
        <v>0</v>
      </c>
      <c r="I54" s="2">
        <v>1</v>
      </c>
      <c r="J54" s="2" t="s">
        <v>24</v>
      </c>
      <c r="K54" s="2">
        <v>1</v>
      </c>
      <c r="L54" s="2">
        <v>0.14000000000000001</v>
      </c>
      <c r="M54" s="2">
        <v>0.1061</v>
      </c>
      <c r="N54" s="2">
        <v>0.5</v>
      </c>
      <c r="O54" s="2">
        <v>0.3881</v>
      </c>
      <c r="P54" s="2">
        <v>0</v>
      </c>
      <c r="Q54" s="2">
        <v>30</v>
      </c>
      <c r="R54" s="2">
        <v>30</v>
      </c>
    </row>
    <row r="55" spans="1:18" x14ac:dyDescent="0.3">
      <c r="A55" s="2">
        <v>53</v>
      </c>
      <c r="B55" s="4">
        <v>40546</v>
      </c>
      <c r="C55" s="2">
        <v>1</v>
      </c>
      <c r="D55" s="2">
        <v>0</v>
      </c>
      <c r="E55" s="2">
        <v>1</v>
      </c>
      <c r="F55" s="2" t="s">
        <v>18</v>
      </c>
      <c r="G55" s="2">
        <v>7</v>
      </c>
      <c r="H55" s="2" t="b">
        <v>0</v>
      </c>
      <c r="I55" s="2">
        <v>1</v>
      </c>
      <c r="J55" s="2" t="s">
        <v>24</v>
      </c>
      <c r="K55" s="2">
        <v>1</v>
      </c>
      <c r="L55" s="2">
        <v>0.14000000000000001</v>
      </c>
      <c r="M55" s="2">
        <v>0.13639999999999999</v>
      </c>
      <c r="N55" s="2">
        <v>0.5</v>
      </c>
      <c r="O55" s="2">
        <v>0.19400000000000001</v>
      </c>
      <c r="P55" s="2">
        <v>1</v>
      </c>
      <c r="Q55" s="2">
        <v>63</v>
      </c>
      <c r="R55" s="2">
        <v>64</v>
      </c>
    </row>
    <row r="56" spans="1:18" x14ac:dyDescent="0.3">
      <c r="A56" s="2">
        <v>54</v>
      </c>
      <c r="B56" s="4">
        <v>40546</v>
      </c>
      <c r="C56" s="2">
        <v>1</v>
      </c>
      <c r="D56" s="2">
        <v>0</v>
      </c>
      <c r="E56" s="2">
        <v>1</v>
      </c>
      <c r="F56" s="2" t="s">
        <v>18</v>
      </c>
      <c r="G56" s="2">
        <v>8</v>
      </c>
      <c r="H56" s="2" t="b">
        <v>0</v>
      </c>
      <c r="I56" s="2">
        <v>1</v>
      </c>
      <c r="J56" s="2" t="s">
        <v>24</v>
      </c>
      <c r="K56" s="2">
        <v>1</v>
      </c>
      <c r="L56" s="2">
        <v>0.14000000000000001</v>
      </c>
      <c r="M56" s="2">
        <v>0.1212</v>
      </c>
      <c r="N56" s="2">
        <v>0.5</v>
      </c>
      <c r="O56" s="2">
        <v>0.28360000000000002</v>
      </c>
      <c r="P56" s="2">
        <v>1</v>
      </c>
      <c r="Q56" s="2">
        <v>153</v>
      </c>
      <c r="R56" s="2">
        <v>154</v>
      </c>
    </row>
    <row r="57" spans="1:18" x14ac:dyDescent="0.3">
      <c r="A57" s="2">
        <v>55</v>
      </c>
      <c r="B57" s="4">
        <v>40546</v>
      </c>
      <c r="C57" s="2">
        <v>1</v>
      </c>
      <c r="D57" s="2">
        <v>0</v>
      </c>
      <c r="E57" s="2">
        <v>1</v>
      </c>
      <c r="F57" s="2" t="s">
        <v>18</v>
      </c>
      <c r="G57" s="2">
        <v>9</v>
      </c>
      <c r="H57" s="2" t="b">
        <v>0</v>
      </c>
      <c r="I57" s="2">
        <v>1</v>
      </c>
      <c r="J57" s="2" t="s">
        <v>24</v>
      </c>
      <c r="K57" s="2">
        <v>1</v>
      </c>
      <c r="L57" s="2">
        <v>0.16</v>
      </c>
      <c r="M57" s="2">
        <v>0.13639999999999999</v>
      </c>
      <c r="N57" s="2">
        <v>0.43</v>
      </c>
      <c r="O57" s="2">
        <v>0.3881</v>
      </c>
      <c r="P57" s="2">
        <v>7</v>
      </c>
      <c r="Q57" s="2">
        <v>81</v>
      </c>
      <c r="R57" s="2">
        <v>88</v>
      </c>
    </row>
    <row r="58" spans="1:18" x14ac:dyDescent="0.3">
      <c r="A58" s="2">
        <v>56</v>
      </c>
      <c r="B58" s="4">
        <v>40546</v>
      </c>
      <c r="C58" s="2">
        <v>1</v>
      </c>
      <c r="D58" s="2">
        <v>0</v>
      </c>
      <c r="E58" s="2">
        <v>1</v>
      </c>
      <c r="F58" s="2" t="s">
        <v>18</v>
      </c>
      <c r="G58" s="2">
        <v>10</v>
      </c>
      <c r="H58" s="2" t="b">
        <v>0</v>
      </c>
      <c r="I58" s="2">
        <v>1</v>
      </c>
      <c r="J58" s="2" t="s">
        <v>24</v>
      </c>
      <c r="K58" s="2">
        <v>1</v>
      </c>
      <c r="L58" s="2">
        <v>0.18</v>
      </c>
      <c r="M58" s="2">
        <v>0.16669999999999999</v>
      </c>
      <c r="N58" s="2">
        <v>0.43</v>
      </c>
      <c r="O58" s="2">
        <v>0.25369999999999998</v>
      </c>
      <c r="P58" s="2">
        <v>11</v>
      </c>
      <c r="Q58" s="2">
        <v>33</v>
      </c>
      <c r="R58" s="2">
        <v>44</v>
      </c>
    </row>
    <row r="59" spans="1:18" x14ac:dyDescent="0.3">
      <c r="A59" s="2">
        <v>57</v>
      </c>
      <c r="B59" s="4">
        <v>40546</v>
      </c>
      <c r="C59" s="2">
        <v>1</v>
      </c>
      <c r="D59" s="2">
        <v>0</v>
      </c>
      <c r="E59" s="2">
        <v>1</v>
      </c>
      <c r="F59" s="2" t="s">
        <v>18</v>
      </c>
      <c r="G59" s="2">
        <v>11</v>
      </c>
      <c r="H59" s="2" t="b">
        <v>0</v>
      </c>
      <c r="I59" s="2">
        <v>1</v>
      </c>
      <c r="J59" s="2" t="s">
        <v>24</v>
      </c>
      <c r="K59" s="2">
        <v>1</v>
      </c>
      <c r="L59" s="2">
        <v>0.2</v>
      </c>
      <c r="M59" s="2">
        <v>0.18179999999999999</v>
      </c>
      <c r="N59" s="2">
        <v>0.4</v>
      </c>
      <c r="O59" s="2">
        <v>0.32840000000000003</v>
      </c>
      <c r="P59" s="2">
        <v>10</v>
      </c>
      <c r="Q59" s="2">
        <v>41</v>
      </c>
      <c r="R59" s="2">
        <v>51</v>
      </c>
    </row>
    <row r="60" spans="1:18" x14ac:dyDescent="0.3">
      <c r="A60" s="2">
        <v>58</v>
      </c>
      <c r="B60" s="4">
        <v>40546</v>
      </c>
      <c r="C60" s="2">
        <v>1</v>
      </c>
      <c r="D60" s="2">
        <v>0</v>
      </c>
      <c r="E60" s="2">
        <v>1</v>
      </c>
      <c r="F60" s="2" t="s">
        <v>18</v>
      </c>
      <c r="G60" s="2">
        <v>12</v>
      </c>
      <c r="H60" s="2" t="b">
        <v>0</v>
      </c>
      <c r="I60" s="2">
        <v>1</v>
      </c>
      <c r="J60" s="2" t="s">
        <v>24</v>
      </c>
      <c r="K60" s="2">
        <v>1</v>
      </c>
      <c r="L60" s="2">
        <v>0.22</v>
      </c>
      <c r="M60" s="2">
        <v>0.21210000000000001</v>
      </c>
      <c r="N60" s="2">
        <v>0.35</v>
      </c>
      <c r="O60" s="2">
        <v>0.29849999999999999</v>
      </c>
      <c r="P60" s="2">
        <v>13</v>
      </c>
      <c r="Q60" s="2">
        <v>48</v>
      </c>
      <c r="R60" s="2">
        <v>61</v>
      </c>
    </row>
    <row r="61" spans="1:18" x14ac:dyDescent="0.3">
      <c r="A61" s="2">
        <v>59</v>
      </c>
      <c r="B61" s="4">
        <v>40546</v>
      </c>
      <c r="C61" s="2">
        <v>1</v>
      </c>
      <c r="D61" s="2">
        <v>0</v>
      </c>
      <c r="E61" s="2">
        <v>1</v>
      </c>
      <c r="F61" s="2" t="s">
        <v>18</v>
      </c>
      <c r="G61" s="2">
        <v>13</v>
      </c>
      <c r="H61" s="2" t="b">
        <v>0</v>
      </c>
      <c r="I61" s="2">
        <v>1</v>
      </c>
      <c r="J61" s="2" t="s">
        <v>24</v>
      </c>
      <c r="K61" s="2">
        <v>1</v>
      </c>
      <c r="L61" s="2">
        <v>0.24</v>
      </c>
      <c r="M61" s="2">
        <v>0.2727</v>
      </c>
      <c r="N61" s="2">
        <v>0.35</v>
      </c>
      <c r="O61" s="2">
        <v>0.28360000000000002</v>
      </c>
      <c r="P61" s="2">
        <v>8</v>
      </c>
      <c r="Q61" s="2">
        <v>53</v>
      </c>
      <c r="R61" s="2">
        <v>61</v>
      </c>
    </row>
    <row r="62" spans="1:18" x14ac:dyDescent="0.3">
      <c r="A62" s="2">
        <v>60</v>
      </c>
      <c r="B62" s="4">
        <v>40546</v>
      </c>
      <c r="C62" s="2">
        <v>1</v>
      </c>
      <c r="D62" s="2">
        <v>0</v>
      </c>
      <c r="E62" s="2">
        <v>1</v>
      </c>
      <c r="F62" s="2" t="s">
        <v>18</v>
      </c>
      <c r="G62" s="2">
        <v>14</v>
      </c>
      <c r="H62" s="2" t="b">
        <v>0</v>
      </c>
      <c r="I62" s="2">
        <v>1</v>
      </c>
      <c r="J62" s="2" t="s">
        <v>24</v>
      </c>
      <c r="K62" s="2">
        <v>1</v>
      </c>
      <c r="L62" s="2">
        <v>0.26</v>
      </c>
      <c r="M62" s="2">
        <v>0.2424</v>
      </c>
      <c r="N62" s="2">
        <v>0.3</v>
      </c>
      <c r="O62" s="2">
        <v>0.28360000000000002</v>
      </c>
      <c r="P62" s="2">
        <v>11</v>
      </c>
      <c r="Q62" s="2">
        <v>66</v>
      </c>
      <c r="R62" s="2">
        <v>77</v>
      </c>
    </row>
    <row r="63" spans="1:18" x14ac:dyDescent="0.3">
      <c r="A63" s="2">
        <v>61</v>
      </c>
      <c r="B63" s="4">
        <v>40546</v>
      </c>
      <c r="C63" s="2">
        <v>1</v>
      </c>
      <c r="D63" s="2">
        <v>0</v>
      </c>
      <c r="E63" s="2">
        <v>1</v>
      </c>
      <c r="F63" s="2" t="s">
        <v>18</v>
      </c>
      <c r="G63" s="2">
        <v>15</v>
      </c>
      <c r="H63" s="2" t="b">
        <v>0</v>
      </c>
      <c r="I63" s="2">
        <v>1</v>
      </c>
      <c r="J63" s="2" t="s">
        <v>24</v>
      </c>
      <c r="K63" s="2">
        <v>1</v>
      </c>
      <c r="L63" s="2">
        <v>0.26</v>
      </c>
      <c r="M63" s="2">
        <v>0.2424</v>
      </c>
      <c r="N63" s="2">
        <v>0.3</v>
      </c>
      <c r="O63" s="2">
        <v>0.25369999999999998</v>
      </c>
      <c r="P63" s="2">
        <v>14</v>
      </c>
      <c r="Q63" s="2">
        <v>58</v>
      </c>
      <c r="R63" s="2">
        <v>72</v>
      </c>
    </row>
    <row r="64" spans="1:18" x14ac:dyDescent="0.3">
      <c r="A64" s="2">
        <v>62</v>
      </c>
      <c r="B64" s="4">
        <v>40546</v>
      </c>
      <c r="C64" s="2">
        <v>1</v>
      </c>
      <c r="D64" s="2">
        <v>0</v>
      </c>
      <c r="E64" s="2">
        <v>1</v>
      </c>
      <c r="F64" s="2" t="s">
        <v>18</v>
      </c>
      <c r="G64" s="2">
        <v>16</v>
      </c>
      <c r="H64" s="2" t="b">
        <v>0</v>
      </c>
      <c r="I64" s="2">
        <v>1</v>
      </c>
      <c r="J64" s="2" t="s">
        <v>24</v>
      </c>
      <c r="K64" s="2">
        <v>1</v>
      </c>
      <c r="L64" s="2">
        <v>0.26</v>
      </c>
      <c r="M64" s="2">
        <v>0.2424</v>
      </c>
      <c r="N64" s="2">
        <v>0.3</v>
      </c>
      <c r="O64" s="2">
        <v>0.25369999999999998</v>
      </c>
      <c r="P64" s="2">
        <v>9</v>
      </c>
      <c r="Q64" s="2">
        <v>67</v>
      </c>
      <c r="R64" s="2">
        <v>76</v>
      </c>
    </row>
    <row r="65" spans="1:18" x14ac:dyDescent="0.3">
      <c r="A65" s="2">
        <v>63</v>
      </c>
      <c r="B65" s="4">
        <v>40546</v>
      </c>
      <c r="C65" s="2">
        <v>1</v>
      </c>
      <c r="D65" s="2">
        <v>0</v>
      </c>
      <c r="E65" s="2">
        <v>1</v>
      </c>
      <c r="F65" s="2" t="s">
        <v>18</v>
      </c>
      <c r="G65" s="2">
        <v>17</v>
      </c>
      <c r="H65" s="2" t="b">
        <v>0</v>
      </c>
      <c r="I65" s="2">
        <v>1</v>
      </c>
      <c r="J65" s="2" t="s">
        <v>24</v>
      </c>
      <c r="K65" s="2">
        <v>1</v>
      </c>
      <c r="L65" s="2">
        <v>0.24</v>
      </c>
      <c r="M65" s="2">
        <v>0.2273</v>
      </c>
      <c r="N65" s="2">
        <v>0.3</v>
      </c>
      <c r="O65" s="2">
        <v>0.22389999999999999</v>
      </c>
      <c r="P65" s="2">
        <v>11</v>
      </c>
      <c r="Q65" s="2">
        <v>146</v>
      </c>
      <c r="R65" s="2">
        <v>157</v>
      </c>
    </row>
    <row r="66" spans="1:18" x14ac:dyDescent="0.3">
      <c r="A66" s="2">
        <v>64</v>
      </c>
      <c r="B66" s="4">
        <v>40546</v>
      </c>
      <c r="C66" s="2">
        <v>1</v>
      </c>
      <c r="D66" s="2">
        <v>0</v>
      </c>
      <c r="E66" s="2">
        <v>1</v>
      </c>
      <c r="F66" s="2" t="s">
        <v>18</v>
      </c>
      <c r="G66" s="2">
        <v>18</v>
      </c>
      <c r="H66" s="2" t="b">
        <v>0</v>
      </c>
      <c r="I66" s="2">
        <v>1</v>
      </c>
      <c r="J66" s="2" t="s">
        <v>24</v>
      </c>
      <c r="K66" s="2">
        <v>1</v>
      </c>
      <c r="L66" s="2">
        <v>0.24</v>
      </c>
      <c r="M66" s="2">
        <v>0.2576</v>
      </c>
      <c r="N66" s="2">
        <v>0.32</v>
      </c>
      <c r="O66" s="2">
        <v>0.1045</v>
      </c>
      <c r="P66" s="2">
        <v>9</v>
      </c>
      <c r="Q66" s="2">
        <v>148</v>
      </c>
      <c r="R66" s="2">
        <v>157</v>
      </c>
    </row>
    <row r="67" spans="1:18" x14ac:dyDescent="0.3">
      <c r="A67" s="2">
        <v>65</v>
      </c>
      <c r="B67" s="4">
        <v>40546</v>
      </c>
      <c r="C67" s="2">
        <v>1</v>
      </c>
      <c r="D67" s="2">
        <v>0</v>
      </c>
      <c r="E67" s="2">
        <v>1</v>
      </c>
      <c r="F67" s="2" t="s">
        <v>18</v>
      </c>
      <c r="G67" s="2">
        <v>19</v>
      </c>
      <c r="H67" s="2" t="b">
        <v>0</v>
      </c>
      <c r="I67" s="2">
        <v>1</v>
      </c>
      <c r="J67" s="2" t="s">
        <v>24</v>
      </c>
      <c r="K67" s="2">
        <v>1</v>
      </c>
      <c r="L67" s="2">
        <v>0.2</v>
      </c>
      <c r="M67" s="2">
        <v>0.2576</v>
      </c>
      <c r="N67" s="2">
        <v>0.47</v>
      </c>
      <c r="O67" s="2">
        <v>0</v>
      </c>
      <c r="P67" s="2">
        <v>8</v>
      </c>
      <c r="Q67" s="2">
        <v>102</v>
      </c>
      <c r="R67" s="2">
        <v>110</v>
      </c>
    </row>
    <row r="68" spans="1:18" x14ac:dyDescent="0.3">
      <c r="A68" s="2">
        <v>66</v>
      </c>
      <c r="B68" s="4">
        <v>40546</v>
      </c>
      <c r="C68" s="2">
        <v>1</v>
      </c>
      <c r="D68" s="2">
        <v>0</v>
      </c>
      <c r="E68" s="2">
        <v>1</v>
      </c>
      <c r="F68" s="2" t="s">
        <v>18</v>
      </c>
      <c r="G68" s="2">
        <v>20</v>
      </c>
      <c r="H68" s="2" t="b">
        <v>0</v>
      </c>
      <c r="I68" s="2">
        <v>1</v>
      </c>
      <c r="J68" s="2" t="s">
        <v>24</v>
      </c>
      <c r="K68" s="2">
        <v>1</v>
      </c>
      <c r="L68" s="2">
        <v>0.2</v>
      </c>
      <c r="M68" s="2">
        <v>0.2727</v>
      </c>
      <c r="N68" s="2">
        <v>0.47</v>
      </c>
      <c r="O68" s="2">
        <v>0.1045</v>
      </c>
      <c r="P68" s="2">
        <v>3</v>
      </c>
      <c r="Q68" s="2">
        <v>49</v>
      </c>
      <c r="R68" s="2">
        <v>52</v>
      </c>
    </row>
    <row r="69" spans="1:18" x14ac:dyDescent="0.3">
      <c r="A69" s="2">
        <v>67</v>
      </c>
      <c r="B69" s="4">
        <v>40546</v>
      </c>
      <c r="C69" s="2">
        <v>1</v>
      </c>
      <c r="D69" s="2">
        <v>0</v>
      </c>
      <c r="E69" s="2">
        <v>1</v>
      </c>
      <c r="F69" s="2" t="s">
        <v>18</v>
      </c>
      <c r="G69" s="2">
        <v>21</v>
      </c>
      <c r="H69" s="2" t="b">
        <v>0</v>
      </c>
      <c r="I69" s="2">
        <v>1</v>
      </c>
      <c r="J69" s="2" t="s">
        <v>24</v>
      </c>
      <c r="K69" s="2">
        <v>1</v>
      </c>
      <c r="L69" s="2">
        <v>0.18</v>
      </c>
      <c r="M69" s="2">
        <v>0.19700000000000001</v>
      </c>
      <c r="N69" s="2">
        <v>0.64</v>
      </c>
      <c r="O69" s="2">
        <v>0.1343</v>
      </c>
      <c r="P69" s="2">
        <v>3</v>
      </c>
      <c r="Q69" s="2">
        <v>49</v>
      </c>
      <c r="R69" s="2">
        <v>52</v>
      </c>
    </row>
    <row r="70" spans="1:18" x14ac:dyDescent="0.3">
      <c r="A70" s="2">
        <v>68</v>
      </c>
      <c r="B70" s="4">
        <v>40546</v>
      </c>
      <c r="C70" s="2">
        <v>1</v>
      </c>
      <c r="D70" s="2">
        <v>0</v>
      </c>
      <c r="E70" s="2">
        <v>1</v>
      </c>
      <c r="F70" s="2" t="s">
        <v>18</v>
      </c>
      <c r="G70" s="2">
        <v>22</v>
      </c>
      <c r="H70" s="2" t="b">
        <v>0</v>
      </c>
      <c r="I70" s="2">
        <v>1</v>
      </c>
      <c r="J70" s="2" t="s">
        <v>24</v>
      </c>
      <c r="K70" s="2">
        <v>1</v>
      </c>
      <c r="L70" s="2">
        <v>0.14000000000000001</v>
      </c>
      <c r="M70" s="2">
        <v>0.1515</v>
      </c>
      <c r="N70" s="2">
        <v>0.69</v>
      </c>
      <c r="O70" s="2">
        <v>0.1343</v>
      </c>
      <c r="P70" s="2">
        <v>0</v>
      </c>
      <c r="Q70" s="2">
        <v>20</v>
      </c>
      <c r="R70" s="2">
        <v>20</v>
      </c>
    </row>
    <row r="71" spans="1:18" x14ac:dyDescent="0.3">
      <c r="A71" s="2">
        <v>69</v>
      </c>
      <c r="B71" s="4">
        <v>40546</v>
      </c>
      <c r="C71" s="2">
        <v>1</v>
      </c>
      <c r="D71" s="2">
        <v>0</v>
      </c>
      <c r="E71" s="2">
        <v>1</v>
      </c>
      <c r="F71" s="2" t="s">
        <v>18</v>
      </c>
      <c r="G71" s="2">
        <v>23</v>
      </c>
      <c r="H71" s="2" t="b">
        <v>0</v>
      </c>
      <c r="I71" s="2">
        <v>1</v>
      </c>
      <c r="J71" s="2" t="s">
        <v>24</v>
      </c>
      <c r="K71" s="2">
        <v>1</v>
      </c>
      <c r="L71" s="2">
        <v>0.18</v>
      </c>
      <c r="M71" s="2">
        <v>0.21210000000000001</v>
      </c>
      <c r="N71" s="2">
        <v>0.55000000000000004</v>
      </c>
      <c r="O71" s="2">
        <v>0.1045</v>
      </c>
      <c r="P71" s="2">
        <v>1</v>
      </c>
      <c r="Q71" s="2">
        <v>11</v>
      </c>
      <c r="R71" s="2">
        <v>12</v>
      </c>
    </row>
    <row r="72" spans="1:18" x14ac:dyDescent="0.3">
      <c r="A72" s="2">
        <v>70</v>
      </c>
      <c r="B72" s="4">
        <v>40547</v>
      </c>
      <c r="C72" s="2">
        <v>1</v>
      </c>
      <c r="D72" s="2">
        <v>0</v>
      </c>
      <c r="E72" s="2">
        <v>1</v>
      </c>
      <c r="F72" s="2" t="s">
        <v>18</v>
      </c>
      <c r="G72" s="2">
        <v>0</v>
      </c>
      <c r="H72" s="2" t="b">
        <v>0</v>
      </c>
      <c r="I72" s="2">
        <v>2</v>
      </c>
      <c r="J72" s="2" t="s">
        <v>25</v>
      </c>
      <c r="K72" s="2">
        <v>1</v>
      </c>
      <c r="L72" s="2">
        <v>0.16</v>
      </c>
      <c r="M72" s="2">
        <f>AVERAGE(M52:M58,M69:M71,M73:M81,M96:M97,M101,M116,M118:M126,M159:M173)</f>
        <v>0.18182765957446811</v>
      </c>
      <c r="N72" s="2">
        <v>0.55000000000000004</v>
      </c>
      <c r="O72" s="2">
        <v>0.1045</v>
      </c>
      <c r="P72" s="2">
        <v>0</v>
      </c>
      <c r="Q72" s="2">
        <v>5</v>
      </c>
      <c r="R72" s="2">
        <v>5</v>
      </c>
    </row>
    <row r="73" spans="1:18" x14ac:dyDescent="0.3">
      <c r="A73" s="2">
        <v>71</v>
      </c>
      <c r="B73" s="4">
        <v>40547</v>
      </c>
      <c r="C73" s="2">
        <v>1</v>
      </c>
      <c r="D73" s="2">
        <v>0</v>
      </c>
      <c r="E73" s="2">
        <v>1</v>
      </c>
      <c r="F73" s="2" t="s">
        <v>18</v>
      </c>
      <c r="G73" s="2">
        <v>1</v>
      </c>
      <c r="H73" s="2" t="b">
        <v>0</v>
      </c>
      <c r="I73" s="2">
        <v>2</v>
      </c>
      <c r="J73" s="2" t="s">
        <v>25</v>
      </c>
      <c r="K73" s="2">
        <v>1</v>
      </c>
      <c r="L73" s="2">
        <v>0.16</v>
      </c>
      <c r="M73" s="2">
        <v>0.18179999999999999</v>
      </c>
      <c r="N73" s="2">
        <v>0.59</v>
      </c>
      <c r="O73" s="2">
        <v>0.1045</v>
      </c>
      <c r="P73" s="2">
        <v>0</v>
      </c>
      <c r="Q73" s="2">
        <v>2</v>
      </c>
      <c r="R73" s="2">
        <v>2</v>
      </c>
    </row>
    <row r="74" spans="1:18" x14ac:dyDescent="0.3">
      <c r="A74" s="2">
        <v>72</v>
      </c>
      <c r="B74" s="4">
        <v>40547</v>
      </c>
      <c r="C74" s="2">
        <v>1</v>
      </c>
      <c r="D74" s="2">
        <v>0</v>
      </c>
      <c r="E74" s="2">
        <v>1</v>
      </c>
      <c r="F74" s="2" t="s">
        <v>18</v>
      </c>
      <c r="G74" s="2">
        <v>2</v>
      </c>
      <c r="H74" s="2" t="b">
        <v>0</v>
      </c>
      <c r="I74" s="2">
        <v>2</v>
      </c>
      <c r="J74" s="2" t="s">
        <v>25</v>
      </c>
      <c r="K74" s="2">
        <v>1</v>
      </c>
      <c r="L74" s="2">
        <v>0.14000000000000001</v>
      </c>
      <c r="M74" s="2">
        <v>0.1515</v>
      </c>
      <c r="N74" s="2">
        <v>0.63</v>
      </c>
      <c r="O74" s="2">
        <v>0.1343</v>
      </c>
      <c r="P74" s="2">
        <v>0</v>
      </c>
      <c r="Q74" s="2">
        <v>1</v>
      </c>
      <c r="R74" s="2">
        <v>1</v>
      </c>
    </row>
    <row r="75" spans="1:18" x14ac:dyDescent="0.3">
      <c r="A75" s="2">
        <v>73</v>
      </c>
      <c r="B75" s="4">
        <v>40547</v>
      </c>
      <c r="C75" s="2">
        <v>1</v>
      </c>
      <c r="D75" s="2">
        <v>0</v>
      </c>
      <c r="E75" s="2">
        <v>1</v>
      </c>
      <c r="F75" s="2" t="s">
        <v>18</v>
      </c>
      <c r="G75" s="2">
        <v>4</v>
      </c>
      <c r="H75" s="2" t="b">
        <v>0</v>
      </c>
      <c r="I75" s="2">
        <v>2</v>
      </c>
      <c r="J75" s="2" t="s">
        <v>25</v>
      </c>
      <c r="K75" s="2">
        <v>1</v>
      </c>
      <c r="L75" s="2">
        <v>0.14000000000000001</v>
      </c>
      <c r="M75" s="2">
        <v>0.18179999999999999</v>
      </c>
      <c r="N75" s="2">
        <v>0.63</v>
      </c>
      <c r="O75" s="2">
        <v>8.9599999999999999E-2</v>
      </c>
      <c r="P75" s="2">
        <v>0</v>
      </c>
      <c r="Q75" s="2">
        <v>2</v>
      </c>
      <c r="R75" s="2">
        <v>2</v>
      </c>
    </row>
    <row r="76" spans="1:18" x14ac:dyDescent="0.3">
      <c r="A76" s="2">
        <v>74</v>
      </c>
      <c r="B76" s="4">
        <v>40547</v>
      </c>
      <c r="C76" s="2">
        <v>1</v>
      </c>
      <c r="D76" s="2">
        <v>0</v>
      </c>
      <c r="E76" s="2">
        <v>1</v>
      </c>
      <c r="F76" s="2" t="s">
        <v>18</v>
      </c>
      <c r="G76" s="2">
        <v>5</v>
      </c>
      <c r="H76" s="2" t="b">
        <v>0</v>
      </c>
      <c r="I76" s="2">
        <v>2</v>
      </c>
      <c r="J76" s="2" t="s">
        <v>25</v>
      </c>
      <c r="K76" s="2">
        <v>1</v>
      </c>
      <c r="L76" s="2">
        <v>0.12</v>
      </c>
      <c r="M76" s="2">
        <v>0.1515</v>
      </c>
      <c r="N76" s="2">
        <v>0.68</v>
      </c>
      <c r="O76" s="2">
        <v>0.1045</v>
      </c>
      <c r="P76" s="2">
        <v>0</v>
      </c>
      <c r="Q76" s="2">
        <v>4</v>
      </c>
      <c r="R76" s="2">
        <v>4</v>
      </c>
    </row>
    <row r="77" spans="1:18" x14ac:dyDescent="0.3">
      <c r="A77" s="2">
        <v>75</v>
      </c>
      <c r="B77" s="4">
        <v>40547</v>
      </c>
      <c r="C77" s="2">
        <v>1</v>
      </c>
      <c r="D77" s="2">
        <v>0</v>
      </c>
      <c r="E77" s="2">
        <v>1</v>
      </c>
      <c r="F77" s="2" t="s">
        <v>18</v>
      </c>
      <c r="G77" s="2">
        <v>6</v>
      </c>
      <c r="H77" s="2" t="b">
        <v>0</v>
      </c>
      <c r="I77" s="2">
        <v>2</v>
      </c>
      <c r="J77" s="2" t="s">
        <v>25</v>
      </c>
      <c r="K77" s="2">
        <v>1</v>
      </c>
      <c r="L77" s="2">
        <v>0.12</v>
      </c>
      <c r="M77" s="2">
        <v>0.1515</v>
      </c>
      <c r="N77" s="2">
        <v>0.74</v>
      </c>
      <c r="O77" s="2">
        <v>0.1045</v>
      </c>
      <c r="P77" s="2">
        <v>0</v>
      </c>
      <c r="Q77" s="2">
        <v>36</v>
      </c>
      <c r="R77" s="2">
        <v>36</v>
      </c>
    </row>
    <row r="78" spans="1:18" x14ac:dyDescent="0.3">
      <c r="A78" s="2">
        <v>76</v>
      </c>
      <c r="B78" s="4">
        <v>40547</v>
      </c>
      <c r="C78" s="2">
        <v>1</v>
      </c>
      <c r="D78" s="2">
        <v>0</v>
      </c>
      <c r="E78" s="2">
        <v>1</v>
      </c>
      <c r="F78" s="2" t="s">
        <v>18</v>
      </c>
      <c r="G78" s="2">
        <v>7</v>
      </c>
      <c r="H78" s="2" t="b">
        <v>0</v>
      </c>
      <c r="I78" s="2">
        <v>2</v>
      </c>
      <c r="J78" s="2" t="s">
        <v>25</v>
      </c>
      <c r="K78" s="2">
        <v>1</v>
      </c>
      <c r="L78" s="2">
        <v>0.12</v>
      </c>
      <c r="M78" s="2">
        <v>0.1515</v>
      </c>
      <c r="N78" s="2">
        <v>0.74</v>
      </c>
      <c r="O78" s="2">
        <v>0.1343</v>
      </c>
      <c r="P78" s="2">
        <v>2</v>
      </c>
      <c r="Q78" s="2">
        <v>92</v>
      </c>
      <c r="R78" s="2">
        <v>94</v>
      </c>
    </row>
    <row r="79" spans="1:18" x14ac:dyDescent="0.3">
      <c r="A79" s="2">
        <v>77</v>
      </c>
      <c r="B79" s="4">
        <v>40547</v>
      </c>
      <c r="C79" s="2">
        <v>1</v>
      </c>
      <c r="D79" s="2">
        <v>0</v>
      </c>
      <c r="E79" s="2">
        <v>1</v>
      </c>
      <c r="F79" s="2" t="s">
        <v>18</v>
      </c>
      <c r="G79" s="2">
        <v>8</v>
      </c>
      <c r="H79" s="2" t="b">
        <v>0</v>
      </c>
      <c r="I79" s="2">
        <v>2</v>
      </c>
      <c r="J79" s="2" t="s">
        <v>25</v>
      </c>
      <c r="K79" s="2">
        <v>1</v>
      </c>
      <c r="L79" s="2">
        <v>0.14000000000000001</v>
      </c>
      <c r="M79" s="2">
        <v>0.1515</v>
      </c>
      <c r="N79" s="2">
        <v>0.69</v>
      </c>
      <c r="O79" s="2">
        <v>0.16420000000000001</v>
      </c>
      <c r="P79" s="2">
        <v>2</v>
      </c>
      <c r="Q79" s="2">
        <v>177</v>
      </c>
      <c r="R79" s="2">
        <v>179</v>
      </c>
    </row>
    <row r="80" spans="1:18" x14ac:dyDescent="0.3">
      <c r="A80" s="2">
        <v>78</v>
      </c>
      <c r="B80" s="4">
        <v>40547</v>
      </c>
      <c r="C80" s="2">
        <v>1</v>
      </c>
      <c r="D80" s="2">
        <v>0</v>
      </c>
      <c r="E80" s="2">
        <v>1</v>
      </c>
      <c r="F80" s="2" t="s">
        <v>18</v>
      </c>
      <c r="G80" s="2">
        <v>9</v>
      </c>
      <c r="H80" s="2" t="b">
        <v>0</v>
      </c>
      <c r="I80" s="2">
        <v>2</v>
      </c>
      <c r="J80" s="2" t="s">
        <v>25</v>
      </c>
      <c r="K80" s="2">
        <v>1</v>
      </c>
      <c r="L80" s="2">
        <v>0.16</v>
      </c>
      <c r="M80" s="2">
        <v>0.1515</v>
      </c>
      <c r="N80" s="2">
        <v>0.64</v>
      </c>
      <c r="O80" s="2">
        <v>0.22389999999999999</v>
      </c>
      <c r="P80" s="2">
        <v>2</v>
      </c>
      <c r="Q80" s="2">
        <v>98</v>
      </c>
      <c r="R80" s="2">
        <v>100</v>
      </c>
    </row>
    <row r="81" spans="1:18" x14ac:dyDescent="0.3">
      <c r="A81" s="2">
        <v>79</v>
      </c>
      <c r="B81" s="4">
        <v>40547</v>
      </c>
      <c r="C81" s="2">
        <v>1</v>
      </c>
      <c r="D81" s="2">
        <v>0</v>
      </c>
      <c r="E81" s="2">
        <v>1</v>
      </c>
      <c r="F81" s="2" t="s">
        <v>18</v>
      </c>
      <c r="G81" s="2">
        <v>10</v>
      </c>
      <c r="H81" s="2" t="b">
        <v>0</v>
      </c>
      <c r="I81" s="2">
        <v>2</v>
      </c>
      <c r="J81" s="2" t="s">
        <v>25</v>
      </c>
      <c r="K81" s="2">
        <v>2</v>
      </c>
      <c r="L81" s="2">
        <v>0.16</v>
      </c>
      <c r="M81" s="2">
        <v>0.13639999999999999</v>
      </c>
      <c r="N81" s="2">
        <v>0.69</v>
      </c>
      <c r="O81" s="2">
        <v>0.32840000000000003</v>
      </c>
      <c r="P81" s="2">
        <v>5</v>
      </c>
      <c r="Q81" s="2">
        <v>37</v>
      </c>
      <c r="R81" s="2">
        <v>42</v>
      </c>
    </row>
    <row r="82" spans="1:18" x14ac:dyDescent="0.3">
      <c r="A82" s="2">
        <v>80</v>
      </c>
      <c r="B82" s="4">
        <v>40547</v>
      </c>
      <c r="C82" s="2">
        <v>1</v>
      </c>
      <c r="D82" s="2">
        <v>0</v>
      </c>
      <c r="E82" s="2">
        <v>1</v>
      </c>
      <c r="F82" s="2" t="s">
        <v>18</v>
      </c>
      <c r="G82" s="2">
        <v>11</v>
      </c>
      <c r="H82" s="2" t="b">
        <v>0</v>
      </c>
      <c r="I82" s="2">
        <v>2</v>
      </c>
      <c r="J82" s="2" t="s">
        <v>25</v>
      </c>
      <c r="K82" s="2">
        <v>1</v>
      </c>
      <c r="L82" s="2">
        <v>0.22</v>
      </c>
      <c r="M82" s="2">
        <v>0.21210000000000001</v>
      </c>
      <c r="N82" s="2">
        <v>0.51</v>
      </c>
      <c r="O82" s="2">
        <v>0.29849999999999999</v>
      </c>
      <c r="P82" s="2">
        <v>7</v>
      </c>
      <c r="Q82" s="2">
        <v>50</v>
      </c>
      <c r="R82" s="2">
        <v>57</v>
      </c>
    </row>
    <row r="83" spans="1:18" x14ac:dyDescent="0.3">
      <c r="A83" s="2">
        <v>81</v>
      </c>
      <c r="B83" s="4">
        <v>40547</v>
      </c>
      <c r="C83" s="2">
        <v>1</v>
      </c>
      <c r="D83" s="2">
        <v>0</v>
      </c>
      <c r="E83" s="2">
        <v>1</v>
      </c>
      <c r="F83" s="2" t="s">
        <v>18</v>
      </c>
      <c r="G83" s="2">
        <v>12</v>
      </c>
      <c r="H83" s="2" t="b">
        <v>0</v>
      </c>
      <c r="I83" s="2">
        <v>2</v>
      </c>
      <c r="J83" s="2" t="s">
        <v>25</v>
      </c>
      <c r="K83" s="2">
        <v>1</v>
      </c>
      <c r="L83" s="2">
        <v>0.22</v>
      </c>
      <c r="M83" s="2">
        <v>0.2273</v>
      </c>
      <c r="N83" s="2">
        <v>0.51</v>
      </c>
      <c r="O83" s="2">
        <v>0.16420000000000001</v>
      </c>
      <c r="P83" s="2">
        <v>12</v>
      </c>
      <c r="Q83" s="2">
        <v>66</v>
      </c>
      <c r="R83" s="2">
        <v>78</v>
      </c>
    </row>
    <row r="84" spans="1:18" x14ac:dyDescent="0.3">
      <c r="A84" s="2">
        <v>82</v>
      </c>
      <c r="B84" s="4">
        <v>40547</v>
      </c>
      <c r="C84" s="2">
        <v>1</v>
      </c>
      <c r="D84" s="2">
        <v>0</v>
      </c>
      <c r="E84" s="2">
        <v>1</v>
      </c>
      <c r="F84" s="2" t="s">
        <v>18</v>
      </c>
      <c r="G84" s="2">
        <v>13</v>
      </c>
      <c r="H84" s="2" t="b">
        <v>0</v>
      </c>
      <c r="I84" s="2">
        <v>2</v>
      </c>
      <c r="J84" s="2" t="s">
        <v>25</v>
      </c>
      <c r="K84" s="2">
        <v>1</v>
      </c>
      <c r="L84" s="2">
        <v>0.24</v>
      </c>
      <c r="M84" s="2">
        <v>0.2273</v>
      </c>
      <c r="N84" s="2">
        <v>0.56000000000000005</v>
      </c>
      <c r="O84" s="2">
        <v>0.19400000000000001</v>
      </c>
      <c r="P84" s="2">
        <v>18</v>
      </c>
      <c r="Q84" s="2">
        <v>79</v>
      </c>
      <c r="R84" s="2">
        <v>97</v>
      </c>
    </row>
    <row r="85" spans="1:18" x14ac:dyDescent="0.3">
      <c r="A85" s="2">
        <v>83</v>
      </c>
      <c r="B85" s="4">
        <v>40547</v>
      </c>
      <c r="C85" s="2">
        <v>1</v>
      </c>
      <c r="D85" s="2">
        <v>0</v>
      </c>
      <c r="E85" s="2">
        <v>1</v>
      </c>
      <c r="F85" s="2" t="s">
        <v>18</v>
      </c>
      <c r="G85" s="2">
        <v>14</v>
      </c>
      <c r="H85" s="2" t="b">
        <v>0</v>
      </c>
      <c r="I85" s="2">
        <v>2</v>
      </c>
      <c r="J85" s="2" t="s">
        <v>25</v>
      </c>
      <c r="K85" s="2">
        <v>1</v>
      </c>
      <c r="L85" s="2">
        <v>0.26</v>
      </c>
      <c r="M85" s="2">
        <v>0.2576</v>
      </c>
      <c r="N85" s="2">
        <v>0.52</v>
      </c>
      <c r="O85" s="2">
        <v>0.22389999999999999</v>
      </c>
      <c r="P85" s="2">
        <v>9</v>
      </c>
      <c r="Q85" s="2">
        <v>54</v>
      </c>
      <c r="R85" s="2">
        <v>63</v>
      </c>
    </row>
    <row r="86" spans="1:18" x14ac:dyDescent="0.3">
      <c r="A86" s="2">
        <v>84</v>
      </c>
      <c r="B86" s="4">
        <v>40547</v>
      </c>
      <c r="C86" s="2">
        <v>1</v>
      </c>
      <c r="D86" s="2">
        <v>0</v>
      </c>
      <c r="E86" s="2">
        <v>1</v>
      </c>
      <c r="F86" s="2" t="s">
        <v>18</v>
      </c>
      <c r="G86" s="2">
        <v>15</v>
      </c>
      <c r="H86" s="2" t="b">
        <v>0</v>
      </c>
      <c r="I86" s="2">
        <v>2</v>
      </c>
      <c r="J86" s="2" t="s">
        <v>25</v>
      </c>
      <c r="K86" s="2">
        <v>1</v>
      </c>
      <c r="L86" s="2">
        <v>0.28000000000000003</v>
      </c>
      <c r="M86" s="2">
        <v>0.2727</v>
      </c>
      <c r="N86" s="2">
        <v>0.52</v>
      </c>
      <c r="O86" s="2">
        <v>0.25369999999999998</v>
      </c>
      <c r="P86" s="2">
        <v>17</v>
      </c>
      <c r="Q86" s="2">
        <v>48</v>
      </c>
      <c r="R86" s="2">
        <v>65</v>
      </c>
    </row>
    <row r="87" spans="1:18" x14ac:dyDescent="0.3">
      <c r="A87" s="2">
        <v>85</v>
      </c>
      <c r="B87" s="4">
        <v>40547</v>
      </c>
      <c r="C87" s="2">
        <v>1</v>
      </c>
      <c r="D87" s="2">
        <v>0</v>
      </c>
      <c r="E87" s="2">
        <v>1</v>
      </c>
      <c r="F87" s="2" t="s">
        <v>18</v>
      </c>
      <c r="G87" s="2">
        <v>16</v>
      </c>
      <c r="H87" s="2" t="b">
        <v>0</v>
      </c>
      <c r="I87" s="2">
        <v>2</v>
      </c>
      <c r="J87" s="2" t="s">
        <v>25</v>
      </c>
      <c r="K87" s="2">
        <v>1</v>
      </c>
      <c r="L87" s="2">
        <v>0.3</v>
      </c>
      <c r="M87" s="2">
        <v>0.28789999999999999</v>
      </c>
      <c r="N87" s="2">
        <v>0.49</v>
      </c>
      <c r="O87" s="2">
        <v>0.25369999999999998</v>
      </c>
      <c r="P87" s="2">
        <v>15</v>
      </c>
      <c r="Q87" s="2">
        <v>68</v>
      </c>
      <c r="R87" s="2">
        <v>83</v>
      </c>
    </row>
    <row r="88" spans="1:18" x14ac:dyDescent="0.3">
      <c r="A88" s="2">
        <v>86</v>
      </c>
      <c r="B88" s="4">
        <v>40547</v>
      </c>
      <c r="C88" s="2">
        <v>1</v>
      </c>
      <c r="D88" s="2">
        <v>0</v>
      </c>
      <c r="E88" s="2">
        <v>1</v>
      </c>
      <c r="F88" s="2" t="s">
        <v>18</v>
      </c>
      <c r="G88" s="2">
        <v>17</v>
      </c>
      <c r="H88" s="2" t="b">
        <v>0</v>
      </c>
      <c r="I88" s="2">
        <v>2</v>
      </c>
      <c r="J88" s="2" t="s">
        <v>25</v>
      </c>
      <c r="K88" s="2">
        <v>1</v>
      </c>
      <c r="L88" s="2">
        <v>0.28000000000000003</v>
      </c>
      <c r="M88" s="2">
        <v>0.2727</v>
      </c>
      <c r="N88" s="2">
        <v>0.48</v>
      </c>
      <c r="O88" s="2">
        <v>0.22389999999999999</v>
      </c>
      <c r="P88" s="2">
        <v>10</v>
      </c>
      <c r="Q88" s="2">
        <v>202</v>
      </c>
      <c r="R88" s="2">
        <v>212</v>
      </c>
    </row>
    <row r="89" spans="1:18" x14ac:dyDescent="0.3">
      <c r="A89" s="2">
        <v>87</v>
      </c>
      <c r="B89" s="4">
        <v>40547</v>
      </c>
      <c r="C89" s="2">
        <v>1</v>
      </c>
      <c r="D89" s="2">
        <v>0</v>
      </c>
      <c r="E89" s="2">
        <v>1</v>
      </c>
      <c r="F89" s="2" t="s">
        <v>18</v>
      </c>
      <c r="G89" s="2">
        <v>18</v>
      </c>
      <c r="H89" s="2" t="b">
        <v>0</v>
      </c>
      <c r="I89" s="2">
        <v>2</v>
      </c>
      <c r="J89" s="2" t="s">
        <v>25</v>
      </c>
      <c r="K89" s="2">
        <v>1</v>
      </c>
      <c r="L89" s="2">
        <v>0.26</v>
      </c>
      <c r="M89" s="2">
        <v>0.2576</v>
      </c>
      <c r="N89" s="2">
        <v>0.48</v>
      </c>
      <c r="O89" s="2">
        <v>0.19400000000000001</v>
      </c>
      <c r="P89" s="2">
        <v>3</v>
      </c>
      <c r="Q89" s="2">
        <v>179</v>
      </c>
      <c r="R89" s="2">
        <v>182</v>
      </c>
    </row>
    <row r="90" spans="1:18" x14ac:dyDescent="0.3">
      <c r="A90" s="2">
        <v>88</v>
      </c>
      <c r="B90" s="4">
        <v>40547</v>
      </c>
      <c r="C90" s="2">
        <v>1</v>
      </c>
      <c r="D90" s="2">
        <v>0</v>
      </c>
      <c r="E90" s="2">
        <v>1</v>
      </c>
      <c r="F90" s="2" t="s">
        <v>18</v>
      </c>
      <c r="G90" s="2">
        <v>19</v>
      </c>
      <c r="H90" s="2" t="b">
        <v>0</v>
      </c>
      <c r="I90" s="2">
        <v>2</v>
      </c>
      <c r="J90" s="2" t="s">
        <v>25</v>
      </c>
      <c r="K90" s="2">
        <v>1</v>
      </c>
      <c r="L90" s="2">
        <v>0.24</v>
      </c>
      <c r="M90" s="2">
        <v>0.2576</v>
      </c>
      <c r="N90" s="2">
        <v>0.48</v>
      </c>
      <c r="O90" s="2">
        <v>0.1045</v>
      </c>
      <c r="P90" s="2">
        <v>2</v>
      </c>
      <c r="Q90" s="2">
        <v>110</v>
      </c>
      <c r="R90" s="2">
        <v>112</v>
      </c>
    </row>
    <row r="91" spans="1:18" x14ac:dyDescent="0.3">
      <c r="A91" s="2">
        <v>89</v>
      </c>
      <c r="B91" s="4">
        <v>40547</v>
      </c>
      <c r="C91" s="2">
        <v>1</v>
      </c>
      <c r="D91" s="2">
        <v>0</v>
      </c>
      <c r="E91" s="2">
        <v>1</v>
      </c>
      <c r="F91" s="2" t="s">
        <v>18</v>
      </c>
      <c r="G91" s="2">
        <v>20</v>
      </c>
      <c r="H91" s="2" t="b">
        <v>0</v>
      </c>
      <c r="I91" s="2">
        <v>2</v>
      </c>
      <c r="J91" s="2" t="s">
        <v>25</v>
      </c>
      <c r="K91" s="2">
        <v>1</v>
      </c>
      <c r="L91" s="2">
        <v>0.24</v>
      </c>
      <c r="M91" s="2">
        <v>0.2576</v>
      </c>
      <c r="N91" s="2">
        <v>0.48</v>
      </c>
      <c r="O91" s="2">
        <v>0.1045</v>
      </c>
      <c r="P91" s="2">
        <v>1</v>
      </c>
      <c r="Q91" s="2">
        <v>53</v>
      </c>
      <c r="R91" s="2">
        <v>54</v>
      </c>
    </row>
    <row r="92" spans="1:18" x14ac:dyDescent="0.3">
      <c r="A92" s="2">
        <v>90</v>
      </c>
      <c r="B92" s="4">
        <v>40547</v>
      </c>
      <c r="C92" s="2">
        <v>1</v>
      </c>
      <c r="D92" s="2">
        <v>0</v>
      </c>
      <c r="E92" s="2">
        <v>1</v>
      </c>
      <c r="F92" s="2" t="s">
        <v>18</v>
      </c>
      <c r="G92" s="2">
        <v>21</v>
      </c>
      <c r="H92" s="2" t="b">
        <v>0</v>
      </c>
      <c r="I92" s="2">
        <v>2</v>
      </c>
      <c r="J92" s="2" t="s">
        <v>25</v>
      </c>
      <c r="K92" s="2">
        <v>1</v>
      </c>
      <c r="L92" s="2">
        <v>0.22</v>
      </c>
      <c r="M92" s="2">
        <v>0.2727</v>
      </c>
      <c r="N92" s="2">
        <v>0.64</v>
      </c>
      <c r="O92" s="2">
        <v>0</v>
      </c>
      <c r="P92" s="2">
        <v>0</v>
      </c>
      <c r="Q92" s="2">
        <v>48</v>
      </c>
      <c r="R92" s="2">
        <v>48</v>
      </c>
    </row>
    <row r="93" spans="1:18" x14ac:dyDescent="0.3">
      <c r="A93" s="2">
        <v>91</v>
      </c>
      <c r="B93" s="4">
        <v>40547</v>
      </c>
      <c r="C93" s="2">
        <v>1</v>
      </c>
      <c r="D93" s="2">
        <v>0</v>
      </c>
      <c r="E93" s="2">
        <v>1</v>
      </c>
      <c r="F93" s="2" t="s">
        <v>18</v>
      </c>
      <c r="G93" s="2">
        <v>22</v>
      </c>
      <c r="H93" s="2" t="b">
        <v>0</v>
      </c>
      <c r="I93" s="2">
        <v>2</v>
      </c>
      <c r="J93" s="2" t="s">
        <v>25</v>
      </c>
      <c r="K93" s="2">
        <v>1</v>
      </c>
      <c r="L93" s="2">
        <v>0.22</v>
      </c>
      <c r="M93" s="2">
        <v>0.2576</v>
      </c>
      <c r="N93" s="2">
        <v>0.64</v>
      </c>
      <c r="O93" s="2">
        <v>8.9599999999999999E-2</v>
      </c>
      <c r="P93" s="2">
        <v>1</v>
      </c>
      <c r="Q93" s="2">
        <v>34</v>
      </c>
      <c r="R93" s="2">
        <v>35</v>
      </c>
    </row>
    <row r="94" spans="1:18" x14ac:dyDescent="0.3">
      <c r="A94" s="2">
        <v>92</v>
      </c>
      <c r="B94" s="4">
        <v>40547</v>
      </c>
      <c r="C94" s="2">
        <v>1</v>
      </c>
      <c r="D94" s="2">
        <v>0</v>
      </c>
      <c r="E94" s="2">
        <v>1</v>
      </c>
      <c r="F94" s="2" t="s">
        <v>18</v>
      </c>
      <c r="G94" s="2">
        <v>23</v>
      </c>
      <c r="H94" s="2" t="b">
        <v>0</v>
      </c>
      <c r="I94" s="2">
        <v>2</v>
      </c>
      <c r="J94" s="2" t="s">
        <v>25</v>
      </c>
      <c r="K94" s="2">
        <v>1</v>
      </c>
      <c r="L94" s="2">
        <v>0.2</v>
      </c>
      <c r="M94" s="2">
        <v>0.2273</v>
      </c>
      <c r="N94" s="2">
        <v>0.69</v>
      </c>
      <c r="O94" s="2">
        <v>8.9599999999999999E-2</v>
      </c>
      <c r="P94" s="2">
        <v>2</v>
      </c>
      <c r="Q94" s="2">
        <v>9</v>
      </c>
      <c r="R94" s="2">
        <v>11</v>
      </c>
    </row>
    <row r="95" spans="1:18" x14ac:dyDescent="0.3">
      <c r="A95" s="2">
        <v>93</v>
      </c>
      <c r="B95" s="4">
        <v>40548</v>
      </c>
      <c r="C95" s="2">
        <v>1</v>
      </c>
      <c r="D95" s="2">
        <v>0</v>
      </c>
      <c r="E95" s="2">
        <v>1</v>
      </c>
      <c r="F95" s="2" t="s">
        <v>18</v>
      </c>
      <c r="G95" s="2">
        <v>0</v>
      </c>
      <c r="H95" s="2" t="b">
        <v>0</v>
      </c>
      <c r="I95" s="2">
        <v>3</v>
      </c>
      <c r="J95" s="2" t="s">
        <v>26</v>
      </c>
      <c r="K95" s="2">
        <v>1</v>
      </c>
      <c r="L95" s="2">
        <v>0.2</v>
      </c>
      <c r="M95" s="2">
        <v>0.2576</v>
      </c>
      <c r="N95" s="2">
        <v>0.64</v>
      </c>
      <c r="O95" s="2">
        <v>0</v>
      </c>
      <c r="P95" s="2">
        <v>0</v>
      </c>
      <c r="Q95" s="2">
        <v>6</v>
      </c>
      <c r="R95" s="2">
        <v>6</v>
      </c>
    </row>
    <row r="96" spans="1:18" x14ac:dyDescent="0.3">
      <c r="A96" s="2">
        <v>94</v>
      </c>
      <c r="B96" s="4">
        <v>40548</v>
      </c>
      <c r="C96" s="2">
        <v>1</v>
      </c>
      <c r="D96" s="2">
        <v>0</v>
      </c>
      <c r="E96" s="2">
        <v>1</v>
      </c>
      <c r="F96" s="2" t="s">
        <v>18</v>
      </c>
      <c r="G96" s="2">
        <v>1</v>
      </c>
      <c r="H96" s="2" t="b">
        <v>0</v>
      </c>
      <c r="I96" s="2">
        <v>3</v>
      </c>
      <c r="J96" s="2" t="s">
        <v>26</v>
      </c>
      <c r="K96" s="2">
        <v>1</v>
      </c>
      <c r="L96" s="2">
        <v>0.16</v>
      </c>
      <c r="M96" s="2">
        <v>0.19700000000000001</v>
      </c>
      <c r="N96" s="2">
        <v>0.74</v>
      </c>
      <c r="O96" s="2">
        <v>8.9599999999999999E-2</v>
      </c>
      <c r="P96" s="2">
        <v>0</v>
      </c>
      <c r="Q96" s="2">
        <v>6</v>
      </c>
      <c r="R96" s="2">
        <v>6</v>
      </c>
    </row>
    <row r="97" spans="1:18" x14ac:dyDescent="0.3">
      <c r="A97" s="2">
        <v>95</v>
      </c>
      <c r="B97" s="4">
        <v>40548</v>
      </c>
      <c r="C97" s="2">
        <v>1</v>
      </c>
      <c r="D97" s="2">
        <v>0</v>
      </c>
      <c r="E97" s="2">
        <v>1</v>
      </c>
      <c r="F97" s="2" t="s">
        <v>18</v>
      </c>
      <c r="G97" s="2">
        <v>2</v>
      </c>
      <c r="H97" s="2" t="b">
        <v>0</v>
      </c>
      <c r="I97" s="2">
        <v>3</v>
      </c>
      <c r="J97" s="2" t="s">
        <v>26</v>
      </c>
      <c r="K97" s="2">
        <v>1</v>
      </c>
      <c r="L97" s="2">
        <v>0.16</v>
      </c>
      <c r="M97" s="2">
        <v>0.19700000000000001</v>
      </c>
      <c r="N97" s="2">
        <v>0.74</v>
      </c>
      <c r="O97" s="2">
        <v>8.9599999999999999E-2</v>
      </c>
      <c r="P97" s="2">
        <v>0</v>
      </c>
      <c r="Q97" s="2">
        <v>2</v>
      </c>
      <c r="R97" s="2">
        <v>2</v>
      </c>
    </row>
    <row r="98" spans="1:18" x14ac:dyDescent="0.3">
      <c r="A98" s="2">
        <v>96</v>
      </c>
      <c r="B98" s="4">
        <v>40548</v>
      </c>
      <c r="C98" s="2">
        <v>1</v>
      </c>
      <c r="D98" s="2">
        <v>0</v>
      </c>
      <c r="E98" s="2">
        <v>1</v>
      </c>
      <c r="F98" s="2" t="s">
        <v>18</v>
      </c>
      <c r="G98" s="2">
        <v>4</v>
      </c>
      <c r="H98" s="2" t="b">
        <v>0</v>
      </c>
      <c r="I98" s="2">
        <v>3</v>
      </c>
      <c r="J98" s="2" t="s">
        <v>26</v>
      </c>
      <c r="K98" s="2">
        <v>1</v>
      </c>
      <c r="L98" s="2">
        <v>0.24</v>
      </c>
      <c r="M98" s="2">
        <v>0.2273</v>
      </c>
      <c r="N98" s="2">
        <v>0.48</v>
      </c>
      <c r="O98" s="2">
        <v>0.22389999999999999</v>
      </c>
      <c r="P98" s="2">
        <v>0</v>
      </c>
      <c r="Q98" s="2">
        <v>2</v>
      </c>
      <c r="R98" s="2">
        <v>2</v>
      </c>
    </row>
    <row r="99" spans="1:18" x14ac:dyDescent="0.3">
      <c r="A99" s="2">
        <v>97</v>
      </c>
      <c r="B99" s="4">
        <v>40548</v>
      </c>
      <c r="C99" s="2">
        <v>1</v>
      </c>
      <c r="D99" s="2">
        <v>0</v>
      </c>
      <c r="E99" s="2">
        <v>1</v>
      </c>
      <c r="F99" s="2" t="s">
        <v>18</v>
      </c>
      <c r="G99" s="2">
        <v>5</v>
      </c>
      <c r="H99" s="2" t="b">
        <v>0</v>
      </c>
      <c r="I99" s="2">
        <v>3</v>
      </c>
      <c r="J99" s="2" t="s">
        <v>26</v>
      </c>
      <c r="K99" s="2">
        <v>1</v>
      </c>
      <c r="L99" s="2">
        <v>0.22</v>
      </c>
      <c r="M99" s="2">
        <v>0.2273</v>
      </c>
      <c r="N99" s="2">
        <v>0.47</v>
      </c>
      <c r="O99" s="2">
        <v>0.16420000000000001</v>
      </c>
      <c r="P99" s="2">
        <v>0</v>
      </c>
      <c r="Q99" s="2">
        <v>3</v>
      </c>
      <c r="R99" s="2">
        <v>3</v>
      </c>
    </row>
    <row r="100" spans="1:18" x14ac:dyDescent="0.3">
      <c r="A100" s="2">
        <v>98</v>
      </c>
      <c r="B100" s="4">
        <v>40548</v>
      </c>
      <c r="C100" s="2">
        <v>1</v>
      </c>
      <c r="D100" s="2">
        <v>0</v>
      </c>
      <c r="E100" s="2">
        <v>1</v>
      </c>
      <c r="F100" s="2" t="s">
        <v>18</v>
      </c>
      <c r="G100" s="2">
        <v>6</v>
      </c>
      <c r="H100" s="2" t="b">
        <v>0</v>
      </c>
      <c r="I100" s="2">
        <v>3</v>
      </c>
      <c r="J100" s="2" t="s">
        <v>26</v>
      </c>
      <c r="K100" s="2">
        <v>1</v>
      </c>
      <c r="L100" s="2">
        <v>0.2</v>
      </c>
      <c r="M100" s="2">
        <v>0.19700000000000001</v>
      </c>
      <c r="N100" s="2">
        <v>0.47</v>
      </c>
      <c r="O100" s="2">
        <v>0.22389999999999999</v>
      </c>
      <c r="P100" s="2">
        <v>0</v>
      </c>
      <c r="Q100" s="2">
        <v>33</v>
      </c>
      <c r="R100" s="2">
        <v>33</v>
      </c>
    </row>
    <row r="101" spans="1:18" x14ac:dyDescent="0.3">
      <c r="A101" s="2">
        <v>99</v>
      </c>
      <c r="B101" s="4">
        <v>40548</v>
      </c>
      <c r="C101" s="2">
        <v>1</v>
      </c>
      <c r="D101" s="2">
        <v>0</v>
      </c>
      <c r="E101" s="2">
        <v>1</v>
      </c>
      <c r="F101" s="2" t="s">
        <v>18</v>
      </c>
      <c r="G101" s="2">
        <v>7</v>
      </c>
      <c r="H101" s="2" t="b">
        <v>0</v>
      </c>
      <c r="I101" s="2">
        <v>3</v>
      </c>
      <c r="J101" s="2" t="s">
        <v>26</v>
      </c>
      <c r="K101" s="2">
        <v>1</v>
      </c>
      <c r="L101" s="2">
        <v>0.18</v>
      </c>
      <c r="M101" s="2">
        <v>0.18179999999999999</v>
      </c>
      <c r="N101" s="2">
        <v>0.43</v>
      </c>
      <c r="O101" s="2">
        <v>0.19400000000000001</v>
      </c>
      <c r="P101" s="2">
        <v>1</v>
      </c>
      <c r="Q101" s="2">
        <v>87</v>
      </c>
      <c r="R101" s="2">
        <v>88</v>
      </c>
    </row>
    <row r="102" spans="1:18" x14ac:dyDescent="0.3">
      <c r="A102" s="2">
        <v>100</v>
      </c>
      <c r="B102" s="4">
        <v>40548</v>
      </c>
      <c r="C102" s="2">
        <v>1</v>
      </c>
      <c r="D102" s="2">
        <v>0</v>
      </c>
      <c r="E102" s="2">
        <v>1</v>
      </c>
      <c r="F102" s="2" t="s">
        <v>18</v>
      </c>
      <c r="G102" s="2">
        <v>8</v>
      </c>
      <c r="H102" s="2" t="b">
        <v>0</v>
      </c>
      <c r="I102" s="2">
        <v>3</v>
      </c>
      <c r="J102" s="2" t="s">
        <v>26</v>
      </c>
      <c r="K102" s="2">
        <v>1</v>
      </c>
      <c r="L102" s="2">
        <v>0.2</v>
      </c>
      <c r="M102" s="2">
        <v>0.18179999999999999</v>
      </c>
      <c r="N102" s="2">
        <v>0.4</v>
      </c>
      <c r="O102" s="2">
        <v>0.29849999999999999</v>
      </c>
      <c r="P102" s="2">
        <v>3</v>
      </c>
      <c r="Q102" s="2">
        <v>192</v>
      </c>
      <c r="R102" s="2">
        <v>195</v>
      </c>
    </row>
    <row r="103" spans="1:18" x14ac:dyDescent="0.3">
      <c r="A103" s="2">
        <v>101</v>
      </c>
      <c r="B103" s="4">
        <v>40548</v>
      </c>
      <c r="C103" s="2">
        <v>1</v>
      </c>
      <c r="D103" s="2">
        <v>0</v>
      </c>
      <c r="E103" s="2">
        <v>1</v>
      </c>
      <c r="F103" s="2" t="s">
        <v>18</v>
      </c>
      <c r="G103" s="2">
        <v>9</v>
      </c>
      <c r="H103" s="2" t="b">
        <v>0</v>
      </c>
      <c r="I103" s="2">
        <v>3</v>
      </c>
      <c r="J103" s="2" t="s">
        <v>26</v>
      </c>
      <c r="K103" s="2">
        <v>1</v>
      </c>
      <c r="L103" s="2">
        <v>0.22</v>
      </c>
      <c r="M103" s="2">
        <v>0.19700000000000001</v>
      </c>
      <c r="N103" s="2">
        <v>0.37</v>
      </c>
      <c r="O103" s="2">
        <v>0.32840000000000003</v>
      </c>
      <c r="P103" s="2">
        <v>6</v>
      </c>
      <c r="Q103" s="2">
        <v>109</v>
      </c>
      <c r="R103" s="2">
        <v>115</v>
      </c>
    </row>
    <row r="104" spans="1:18" x14ac:dyDescent="0.3">
      <c r="A104" s="2">
        <v>102</v>
      </c>
      <c r="B104" s="4">
        <v>40548</v>
      </c>
      <c r="C104" s="2">
        <v>1</v>
      </c>
      <c r="D104" s="2">
        <v>0</v>
      </c>
      <c r="E104" s="2">
        <v>1</v>
      </c>
      <c r="F104" s="2" t="s">
        <v>18</v>
      </c>
      <c r="G104" s="2">
        <v>10</v>
      </c>
      <c r="H104" s="2" t="b">
        <v>0</v>
      </c>
      <c r="I104" s="2">
        <v>3</v>
      </c>
      <c r="J104" s="2" t="s">
        <v>26</v>
      </c>
      <c r="K104" s="2">
        <v>1</v>
      </c>
      <c r="L104" s="2">
        <v>0.22</v>
      </c>
      <c r="M104" s="2">
        <v>0.19700000000000001</v>
      </c>
      <c r="N104" s="2">
        <v>0.37</v>
      </c>
      <c r="O104" s="2">
        <v>0.32840000000000003</v>
      </c>
      <c r="P104" s="2">
        <v>4</v>
      </c>
      <c r="Q104" s="2">
        <v>53</v>
      </c>
      <c r="R104" s="2">
        <v>57</v>
      </c>
    </row>
    <row r="105" spans="1:18" x14ac:dyDescent="0.3">
      <c r="A105" s="2">
        <v>103</v>
      </c>
      <c r="B105" s="4">
        <v>40548</v>
      </c>
      <c r="C105" s="2">
        <v>1</v>
      </c>
      <c r="D105" s="2">
        <v>0</v>
      </c>
      <c r="E105" s="2">
        <v>1</v>
      </c>
      <c r="F105" s="2" t="s">
        <v>18</v>
      </c>
      <c r="G105" s="2">
        <v>11</v>
      </c>
      <c r="H105" s="2" t="b">
        <v>0</v>
      </c>
      <c r="I105" s="2">
        <v>3</v>
      </c>
      <c r="J105" s="2" t="s">
        <v>26</v>
      </c>
      <c r="K105" s="2">
        <v>1</v>
      </c>
      <c r="L105" s="2">
        <v>0.26</v>
      </c>
      <c r="M105" s="2">
        <v>0.2273</v>
      </c>
      <c r="N105" s="2">
        <v>0.33</v>
      </c>
      <c r="O105" s="2">
        <v>0.32840000000000003</v>
      </c>
      <c r="P105" s="2">
        <v>12</v>
      </c>
      <c r="Q105" s="2">
        <v>34</v>
      </c>
      <c r="R105" s="2">
        <v>46</v>
      </c>
    </row>
    <row r="106" spans="1:18" x14ac:dyDescent="0.3">
      <c r="A106" s="2">
        <v>104</v>
      </c>
      <c r="B106" s="4">
        <v>40548</v>
      </c>
      <c r="C106" s="2">
        <v>1</v>
      </c>
      <c r="D106" s="2">
        <v>0</v>
      </c>
      <c r="E106" s="2">
        <v>1</v>
      </c>
      <c r="F106" s="2" t="s">
        <v>18</v>
      </c>
      <c r="G106" s="2">
        <v>12</v>
      </c>
      <c r="H106" s="2" t="b">
        <v>0</v>
      </c>
      <c r="I106" s="2">
        <v>3</v>
      </c>
      <c r="J106" s="2" t="s">
        <v>26</v>
      </c>
      <c r="K106" s="2">
        <v>1</v>
      </c>
      <c r="L106" s="2">
        <v>0.26</v>
      </c>
      <c r="M106" s="2">
        <v>0.2273</v>
      </c>
      <c r="N106" s="2">
        <v>0.33</v>
      </c>
      <c r="O106" s="2">
        <v>0.32840000000000003</v>
      </c>
      <c r="P106" s="2">
        <v>5</v>
      </c>
      <c r="Q106" s="2">
        <v>74</v>
      </c>
      <c r="R106" s="2">
        <v>79</v>
      </c>
    </row>
    <row r="107" spans="1:18" x14ac:dyDescent="0.3">
      <c r="A107" s="2">
        <v>105</v>
      </c>
      <c r="B107" s="4">
        <v>40548</v>
      </c>
      <c r="C107" s="2">
        <v>1</v>
      </c>
      <c r="D107" s="2">
        <v>0</v>
      </c>
      <c r="E107" s="2">
        <v>1</v>
      </c>
      <c r="F107" s="2" t="s">
        <v>18</v>
      </c>
      <c r="G107" s="2">
        <v>13</v>
      </c>
      <c r="H107" s="2" t="b">
        <v>0</v>
      </c>
      <c r="I107" s="2">
        <v>3</v>
      </c>
      <c r="J107" s="2" t="s">
        <v>26</v>
      </c>
      <c r="K107" s="2">
        <v>1</v>
      </c>
      <c r="L107" s="2">
        <v>0.28000000000000003</v>
      </c>
      <c r="M107" s="2">
        <v>0.2576</v>
      </c>
      <c r="N107" s="2">
        <v>0.3</v>
      </c>
      <c r="O107" s="2">
        <v>0.29849999999999999</v>
      </c>
      <c r="P107" s="2">
        <v>6</v>
      </c>
      <c r="Q107" s="2">
        <v>65</v>
      </c>
      <c r="R107" s="2">
        <v>71</v>
      </c>
    </row>
    <row r="108" spans="1:18" x14ac:dyDescent="0.3">
      <c r="A108" s="2">
        <v>106</v>
      </c>
      <c r="B108" s="4">
        <v>40548</v>
      </c>
      <c r="C108" s="2">
        <v>1</v>
      </c>
      <c r="D108" s="2">
        <v>0</v>
      </c>
      <c r="E108" s="2">
        <v>1</v>
      </c>
      <c r="F108" s="2" t="s">
        <v>18</v>
      </c>
      <c r="G108" s="2">
        <v>14</v>
      </c>
      <c r="H108" s="2" t="b">
        <v>0</v>
      </c>
      <c r="I108" s="2">
        <v>3</v>
      </c>
      <c r="J108" s="2" t="s">
        <v>26</v>
      </c>
      <c r="K108" s="2">
        <v>1</v>
      </c>
      <c r="L108" s="2">
        <v>0.3</v>
      </c>
      <c r="M108" s="2">
        <v>0.28789999999999999</v>
      </c>
      <c r="N108" s="2">
        <v>0.28000000000000003</v>
      </c>
      <c r="O108" s="2">
        <v>0.19400000000000001</v>
      </c>
      <c r="P108" s="2">
        <v>10</v>
      </c>
      <c r="Q108" s="2">
        <v>52</v>
      </c>
      <c r="R108" s="2">
        <v>62</v>
      </c>
    </row>
    <row r="109" spans="1:18" x14ac:dyDescent="0.3">
      <c r="A109" s="2">
        <v>107</v>
      </c>
      <c r="B109" s="4">
        <v>40548</v>
      </c>
      <c r="C109" s="2">
        <v>1</v>
      </c>
      <c r="D109" s="2">
        <v>0</v>
      </c>
      <c r="E109" s="2">
        <v>1</v>
      </c>
      <c r="F109" s="2" t="s">
        <v>18</v>
      </c>
      <c r="G109" s="2">
        <v>15</v>
      </c>
      <c r="H109" s="2" t="b">
        <v>0</v>
      </c>
      <c r="I109" s="2">
        <v>3</v>
      </c>
      <c r="J109" s="2" t="s">
        <v>26</v>
      </c>
      <c r="K109" s="2">
        <v>1</v>
      </c>
      <c r="L109" s="2">
        <v>0.3</v>
      </c>
      <c r="M109" s="2">
        <v>0.28789999999999999</v>
      </c>
      <c r="N109" s="2">
        <v>0.28000000000000003</v>
      </c>
      <c r="O109" s="2">
        <v>0.19400000000000001</v>
      </c>
      <c r="P109" s="2">
        <v>7</v>
      </c>
      <c r="Q109" s="2">
        <v>55</v>
      </c>
      <c r="R109" s="2">
        <v>62</v>
      </c>
    </row>
    <row r="110" spans="1:18" x14ac:dyDescent="0.3">
      <c r="A110" s="2">
        <v>108</v>
      </c>
      <c r="B110" s="4">
        <v>40548</v>
      </c>
      <c r="C110" s="2">
        <v>1</v>
      </c>
      <c r="D110" s="2">
        <v>0</v>
      </c>
      <c r="E110" s="2">
        <v>1</v>
      </c>
      <c r="F110" s="2" t="s">
        <v>18</v>
      </c>
      <c r="G110" s="2">
        <v>16</v>
      </c>
      <c r="H110" s="2" t="b">
        <v>0</v>
      </c>
      <c r="I110" s="2">
        <v>3</v>
      </c>
      <c r="J110" s="2" t="s">
        <v>26</v>
      </c>
      <c r="K110" s="2">
        <v>1</v>
      </c>
      <c r="L110" s="2">
        <v>0.3</v>
      </c>
      <c r="M110" s="2">
        <v>0.31819999999999998</v>
      </c>
      <c r="N110" s="2">
        <v>0.28000000000000003</v>
      </c>
      <c r="O110" s="2">
        <v>8.9599999999999999E-2</v>
      </c>
      <c r="P110" s="2">
        <v>4</v>
      </c>
      <c r="Q110" s="2">
        <v>85</v>
      </c>
      <c r="R110" s="2">
        <v>89</v>
      </c>
    </row>
    <row r="111" spans="1:18" x14ac:dyDescent="0.3">
      <c r="A111" s="2">
        <v>109</v>
      </c>
      <c r="B111" s="4">
        <v>40548</v>
      </c>
      <c r="C111" s="2">
        <v>1</v>
      </c>
      <c r="D111" s="2">
        <v>0</v>
      </c>
      <c r="E111" s="2">
        <v>1</v>
      </c>
      <c r="F111" s="2" t="s">
        <v>18</v>
      </c>
      <c r="G111" s="2">
        <v>17</v>
      </c>
      <c r="H111" s="2" t="b">
        <v>0</v>
      </c>
      <c r="I111" s="2">
        <v>3</v>
      </c>
      <c r="J111" s="2" t="s">
        <v>26</v>
      </c>
      <c r="K111" s="2">
        <v>1</v>
      </c>
      <c r="L111" s="2">
        <v>0.24</v>
      </c>
      <c r="M111" s="2">
        <v>0.2273</v>
      </c>
      <c r="N111" s="2">
        <v>0.38</v>
      </c>
      <c r="O111" s="2">
        <v>0.19400000000000001</v>
      </c>
      <c r="P111" s="2">
        <v>4</v>
      </c>
      <c r="Q111" s="2">
        <v>186</v>
      </c>
      <c r="R111" s="2">
        <v>190</v>
      </c>
    </row>
    <row r="112" spans="1:18" x14ac:dyDescent="0.3">
      <c r="A112" s="2">
        <v>110</v>
      </c>
      <c r="B112" s="4">
        <v>40548</v>
      </c>
      <c r="C112" s="2">
        <v>1</v>
      </c>
      <c r="D112" s="2">
        <v>0</v>
      </c>
      <c r="E112" s="2">
        <v>1</v>
      </c>
      <c r="F112" s="2" t="s">
        <v>18</v>
      </c>
      <c r="G112" s="2">
        <v>18</v>
      </c>
      <c r="H112" s="2" t="b">
        <v>0</v>
      </c>
      <c r="I112" s="2">
        <v>3</v>
      </c>
      <c r="J112" s="2" t="s">
        <v>26</v>
      </c>
      <c r="K112" s="2">
        <v>1</v>
      </c>
      <c r="L112" s="2">
        <v>0.24</v>
      </c>
      <c r="M112" s="2">
        <v>0.2424</v>
      </c>
      <c r="N112" s="2">
        <v>0.38</v>
      </c>
      <c r="O112" s="2">
        <v>0.1343</v>
      </c>
      <c r="P112" s="2">
        <v>3</v>
      </c>
      <c r="Q112" s="2">
        <v>166</v>
      </c>
      <c r="R112" s="2">
        <v>169</v>
      </c>
    </row>
    <row r="113" spans="1:18" x14ac:dyDescent="0.3">
      <c r="A113" s="2">
        <v>111</v>
      </c>
      <c r="B113" s="4">
        <v>40548</v>
      </c>
      <c r="C113" s="2">
        <v>1</v>
      </c>
      <c r="D113" s="2">
        <v>0</v>
      </c>
      <c r="E113" s="2">
        <v>1</v>
      </c>
      <c r="F113" s="2" t="s">
        <v>18</v>
      </c>
      <c r="G113" s="2">
        <v>19</v>
      </c>
      <c r="H113" s="2" t="b">
        <v>0</v>
      </c>
      <c r="I113" s="2">
        <v>3</v>
      </c>
      <c r="J113" s="2" t="s">
        <v>26</v>
      </c>
      <c r="K113" s="2">
        <v>1</v>
      </c>
      <c r="L113" s="2">
        <v>0.24</v>
      </c>
      <c r="M113" s="2">
        <v>0.2576</v>
      </c>
      <c r="N113" s="2">
        <v>0.38</v>
      </c>
      <c r="O113" s="2">
        <v>0.1045</v>
      </c>
      <c r="P113" s="2">
        <v>5</v>
      </c>
      <c r="Q113" s="2">
        <v>127</v>
      </c>
      <c r="R113" s="2">
        <v>132</v>
      </c>
    </row>
    <row r="114" spans="1:18" x14ac:dyDescent="0.3">
      <c r="A114" s="2">
        <v>112</v>
      </c>
      <c r="B114" s="4">
        <v>40548</v>
      </c>
      <c r="C114" s="2">
        <v>1</v>
      </c>
      <c r="D114" s="2">
        <v>0</v>
      </c>
      <c r="E114" s="2">
        <v>1</v>
      </c>
      <c r="F114" s="2" t="s">
        <v>18</v>
      </c>
      <c r="G114" s="2">
        <v>20</v>
      </c>
      <c r="H114" s="2" t="b">
        <v>0</v>
      </c>
      <c r="I114" s="2">
        <v>3</v>
      </c>
      <c r="J114" s="2" t="s">
        <v>26</v>
      </c>
      <c r="K114" s="2">
        <v>1</v>
      </c>
      <c r="L114" s="2">
        <v>0.22</v>
      </c>
      <c r="M114" s="2">
        <v>0.2273</v>
      </c>
      <c r="N114" s="2">
        <v>0.47</v>
      </c>
      <c r="O114" s="2">
        <v>0.16420000000000001</v>
      </c>
      <c r="P114" s="2">
        <v>7</v>
      </c>
      <c r="Q114" s="2">
        <v>82</v>
      </c>
      <c r="R114" s="2">
        <v>89</v>
      </c>
    </row>
    <row r="115" spans="1:18" x14ac:dyDescent="0.3">
      <c r="A115" s="2">
        <v>113</v>
      </c>
      <c r="B115" s="4">
        <v>40548</v>
      </c>
      <c r="C115" s="2">
        <v>1</v>
      </c>
      <c r="D115" s="2">
        <v>0</v>
      </c>
      <c r="E115" s="2">
        <v>1</v>
      </c>
      <c r="F115" s="2" t="s">
        <v>18</v>
      </c>
      <c r="G115" s="2">
        <v>21</v>
      </c>
      <c r="H115" s="2" t="b">
        <v>0</v>
      </c>
      <c r="I115" s="2">
        <v>3</v>
      </c>
      <c r="J115" s="2" t="s">
        <v>26</v>
      </c>
      <c r="K115" s="2">
        <v>1</v>
      </c>
      <c r="L115" s="2">
        <v>0.2</v>
      </c>
      <c r="M115" s="2">
        <v>0.19700000000000001</v>
      </c>
      <c r="N115" s="2">
        <v>0.51</v>
      </c>
      <c r="O115" s="2">
        <v>0.19400000000000001</v>
      </c>
      <c r="P115" s="2">
        <v>3</v>
      </c>
      <c r="Q115" s="2">
        <v>40</v>
      </c>
      <c r="R115" s="2">
        <v>43</v>
      </c>
    </row>
    <row r="116" spans="1:18" x14ac:dyDescent="0.3">
      <c r="A116" s="2">
        <v>114</v>
      </c>
      <c r="B116" s="4">
        <v>40548</v>
      </c>
      <c r="C116" s="2">
        <v>1</v>
      </c>
      <c r="D116" s="2">
        <v>0</v>
      </c>
      <c r="E116" s="2">
        <v>1</v>
      </c>
      <c r="F116" s="2" t="s">
        <v>18</v>
      </c>
      <c r="G116" s="2">
        <v>22</v>
      </c>
      <c r="H116" s="2" t="b">
        <v>0</v>
      </c>
      <c r="I116" s="2">
        <v>3</v>
      </c>
      <c r="J116" s="2" t="s">
        <v>26</v>
      </c>
      <c r="K116" s="2">
        <v>1</v>
      </c>
      <c r="L116" s="2">
        <v>0.18</v>
      </c>
      <c r="M116" s="2">
        <v>0.19700000000000001</v>
      </c>
      <c r="N116" s="2">
        <v>0.55000000000000004</v>
      </c>
      <c r="O116" s="2">
        <v>0.1343</v>
      </c>
      <c r="P116" s="2">
        <v>1</v>
      </c>
      <c r="Q116" s="2">
        <v>41</v>
      </c>
      <c r="R116" s="2">
        <v>42</v>
      </c>
    </row>
    <row r="117" spans="1:18" x14ac:dyDescent="0.3">
      <c r="A117" s="2">
        <v>115</v>
      </c>
      <c r="B117" s="4">
        <v>40548</v>
      </c>
      <c r="C117" s="2">
        <v>1</v>
      </c>
      <c r="D117" s="2">
        <v>0</v>
      </c>
      <c r="E117" s="2">
        <v>1</v>
      </c>
      <c r="F117" s="2" t="s">
        <v>18</v>
      </c>
      <c r="G117" s="2">
        <v>23</v>
      </c>
      <c r="H117" s="2" t="b">
        <v>0</v>
      </c>
      <c r="I117" s="2">
        <v>3</v>
      </c>
      <c r="J117" s="2" t="s">
        <v>26</v>
      </c>
      <c r="K117" s="2">
        <v>1</v>
      </c>
      <c r="L117" s="2">
        <v>0.2</v>
      </c>
      <c r="M117" s="2">
        <v>0.2576</v>
      </c>
      <c r="N117" s="2">
        <v>0.47</v>
      </c>
      <c r="O117" s="2">
        <v>0</v>
      </c>
      <c r="P117" s="2">
        <v>1</v>
      </c>
      <c r="Q117" s="2">
        <v>18</v>
      </c>
      <c r="R117" s="2">
        <v>19</v>
      </c>
    </row>
    <row r="118" spans="1:18" x14ac:dyDescent="0.3">
      <c r="A118" s="2">
        <v>116</v>
      </c>
      <c r="B118" s="4">
        <v>40549</v>
      </c>
      <c r="C118" s="2">
        <v>1</v>
      </c>
      <c r="D118" s="2">
        <v>0</v>
      </c>
      <c r="E118" s="2">
        <v>1</v>
      </c>
      <c r="F118" s="2" t="s">
        <v>18</v>
      </c>
      <c r="G118" s="2">
        <v>0</v>
      </c>
      <c r="H118" s="2" t="b">
        <v>0</v>
      </c>
      <c r="I118" s="2">
        <v>4</v>
      </c>
      <c r="J118" s="2" t="s">
        <v>27</v>
      </c>
      <c r="K118" s="2">
        <v>1</v>
      </c>
      <c r="L118" s="2">
        <v>0.18</v>
      </c>
      <c r="M118" s="2">
        <v>0.2424</v>
      </c>
      <c r="N118" s="2">
        <v>0.55000000000000004</v>
      </c>
      <c r="O118" s="2">
        <v>0</v>
      </c>
      <c r="P118" s="2">
        <v>0</v>
      </c>
      <c r="Q118" s="2">
        <v>11</v>
      </c>
      <c r="R118" s="2">
        <v>11</v>
      </c>
    </row>
    <row r="119" spans="1:18" x14ac:dyDescent="0.3">
      <c r="A119" s="2">
        <v>117</v>
      </c>
      <c r="B119" s="4">
        <v>40549</v>
      </c>
      <c r="C119" s="2">
        <v>1</v>
      </c>
      <c r="D119" s="2">
        <v>0</v>
      </c>
      <c r="E119" s="2">
        <v>1</v>
      </c>
      <c r="F119" s="2" t="s">
        <v>18</v>
      </c>
      <c r="G119" s="2">
        <v>1</v>
      </c>
      <c r="H119" s="2" t="b">
        <v>0</v>
      </c>
      <c r="I119" s="2">
        <v>4</v>
      </c>
      <c r="J119" s="2" t="s">
        <v>27</v>
      </c>
      <c r="K119" s="2">
        <v>1</v>
      </c>
      <c r="L119" s="2">
        <v>0.16</v>
      </c>
      <c r="M119" s="2">
        <v>0.2273</v>
      </c>
      <c r="N119" s="2">
        <v>0.64</v>
      </c>
      <c r="O119" s="2">
        <v>0</v>
      </c>
      <c r="P119" s="2">
        <v>0</v>
      </c>
      <c r="Q119" s="2">
        <v>4</v>
      </c>
      <c r="R119" s="2">
        <v>4</v>
      </c>
    </row>
    <row r="120" spans="1:18" x14ac:dyDescent="0.3">
      <c r="A120" s="2">
        <v>118</v>
      </c>
      <c r="B120" s="4">
        <v>40549</v>
      </c>
      <c r="C120" s="2">
        <v>1</v>
      </c>
      <c r="D120" s="2">
        <v>0</v>
      </c>
      <c r="E120" s="2">
        <v>1</v>
      </c>
      <c r="F120" s="2" t="s">
        <v>18</v>
      </c>
      <c r="G120" s="2">
        <v>2</v>
      </c>
      <c r="H120" s="2" t="b">
        <v>0</v>
      </c>
      <c r="I120" s="2">
        <v>4</v>
      </c>
      <c r="J120" s="2" t="s">
        <v>27</v>
      </c>
      <c r="K120" s="2">
        <v>1</v>
      </c>
      <c r="L120" s="2">
        <v>0.16</v>
      </c>
      <c r="M120" s="2">
        <v>0.2273</v>
      </c>
      <c r="N120" s="2">
        <v>0.64</v>
      </c>
      <c r="O120" s="2">
        <v>0</v>
      </c>
      <c r="P120" s="2">
        <v>0</v>
      </c>
      <c r="Q120" s="2">
        <v>2</v>
      </c>
      <c r="R120" s="2">
        <v>2</v>
      </c>
    </row>
    <row r="121" spans="1:18" x14ac:dyDescent="0.3">
      <c r="A121" s="2">
        <v>119</v>
      </c>
      <c r="B121" s="4">
        <v>40549</v>
      </c>
      <c r="C121" s="2">
        <v>1</v>
      </c>
      <c r="D121" s="2">
        <v>0</v>
      </c>
      <c r="E121" s="2">
        <v>1</v>
      </c>
      <c r="F121" s="2" t="s">
        <v>18</v>
      </c>
      <c r="G121" s="2">
        <v>4</v>
      </c>
      <c r="H121" s="2" t="b">
        <v>0</v>
      </c>
      <c r="I121" s="2">
        <v>4</v>
      </c>
      <c r="J121" s="2" t="s">
        <v>27</v>
      </c>
      <c r="K121" s="2">
        <v>2</v>
      </c>
      <c r="L121" s="2">
        <v>0.16</v>
      </c>
      <c r="M121" s="2">
        <v>0.19700000000000001</v>
      </c>
      <c r="N121" s="2">
        <v>0.64</v>
      </c>
      <c r="O121" s="2">
        <v>8.9599999999999999E-2</v>
      </c>
      <c r="P121" s="2">
        <v>0</v>
      </c>
      <c r="Q121" s="2">
        <v>1</v>
      </c>
      <c r="R121" s="2">
        <v>1</v>
      </c>
    </row>
    <row r="122" spans="1:18" x14ac:dyDescent="0.3">
      <c r="A122" s="2">
        <v>120</v>
      </c>
      <c r="B122" s="4">
        <v>40549</v>
      </c>
      <c r="C122" s="2">
        <v>1</v>
      </c>
      <c r="D122" s="2">
        <v>0</v>
      </c>
      <c r="E122" s="2">
        <v>1</v>
      </c>
      <c r="F122" s="2" t="s">
        <v>18</v>
      </c>
      <c r="G122" s="2">
        <v>5</v>
      </c>
      <c r="H122" s="2" t="b">
        <v>0</v>
      </c>
      <c r="I122" s="2">
        <v>4</v>
      </c>
      <c r="J122" s="2" t="s">
        <v>27</v>
      </c>
      <c r="K122" s="2">
        <v>2</v>
      </c>
      <c r="L122" s="2">
        <v>0.14000000000000001</v>
      </c>
      <c r="M122" s="2">
        <v>0.18179999999999999</v>
      </c>
      <c r="N122" s="2">
        <v>0.69</v>
      </c>
      <c r="O122" s="2">
        <v>8.9599999999999999E-2</v>
      </c>
      <c r="P122" s="2">
        <v>0</v>
      </c>
      <c r="Q122" s="2">
        <v>4</v>
      </c>
      <c r="R122" s="2">
        <v>4</v>
      </c>
    </row>
    <row r="123" spans="1:18" x14ac:dyDescent="0.3">
      <c r="A123" s="2">
        <v>121</v>
      </c>
      <c r="B123" s="4">
        <v>40549</v>
      </c>
      <c r="C123" s="2">
        <v>1</v>
      </c>
      <c r="D123" s="2">
        <v>0</v>
      </c>
      <c r="E123" s="2">
        <v>1</v>
      </c>
      <c r="F123" s="2" t="s">
        <v>18</v>
      </c>
      <c r="G123" s="2">
        <v>6</v>
      </c>
      <c r="H123" s="2" t="b">
        <v>0</v>
      </c>
      <c r="I123" s="2">
        <v>4</v>
      </c>
      <c r="J123" s="2" t="s">
        <v>27</v>
      </c>
      <c r="K123" s="2">
        <v>2</v>
      </c>
      <c r="L123" s="2">
        <v>0.14000000000000001</v>
      </c>
      <c r="M123" s="2">
        <v>0.16669999999999999</v>
      </c>
      <c r="N123" s="2">
        <v>0.63</v>
      </c>
      <c r="O123" s="2">
        <v>0.1045</v>
      </c>
      <c r="P123" s="2">
        <v>0</v>
      </c>
      <c r="Q123" s="2">
        <v>36</v>
      </c>
      <c r="R123" s="2">
        <v>36</v>
      </c>
    </row>
    <row r="124" spans="1:18" x14ac:dyDescent="0.3">
      <c r="A124" s="2">
        <v>122</v>
      </c>
      <c r="B124" s="4">
        <v>40549</v>
      </c>
      <c r="C124" s="2">
        <v>1</v>
      </c>
      <c r="D124" s="2">
        <v>0</v>
      </c>
      <c r="E124" s="2">
        <v>1</v>
      </c>
      <c r="F124" s="2" t="s">
        <v>18</v>
      </c>
      <c r="G124" s="2">
        <v>7</v>
      </c>
      <c r="H124" s="2" t="b">
        <v>0</v>
      </c>
      <c r="I124" s="2">
        <v>4</v>
      </c>
      <c r="J124" s="2" t="s">
        <v>27</v>
      </c>
      <c r="K124" s="2">
        <v>2</v>
      </c>
      <c r="L124" s="2">
        <v>0.16</v>
      </c>
      <c r="M124" s="2">
        <v>0.2273</v>
      </c>
      <c r="N124" s="2">
        <v>0.59</v>
      </c>
      <c r="O124" s="2">
        <v>0</v>
      </c>
      <c r="P124" s="2">
        <v>0</v>
      </c>
      <c r="Q124" s="2">
        <v>95</v>
      </c>
      <c r="R124" s="2">
        <v>95</v>
      </c>
    </row>
    <row r="125" spans="1:18" x14ac:dyDescent="0.3">
      <c r="A125" s="2">
        <v>123</v>
      </c>
      <c r="B125" s="4">
        <v>40549</v>
      </c>
      <c r="C125" s="2">
        <v>1</v>
      </c>
      <c r="D125" s="2">
        <v>0</v>
      </c>
      <c r="E125" s="2">
        <v>1</v>
      </c>
      <c r="F125" s="2" t="s">
        <v>18</v>
      </c>
      <c r="G125" s="2">
        <v>8</v>
      </c>
      <c r="H125" s="2" t="b">
        <v>0</v>
      </c>
      <c r="I125" s="2">
        <v>4</v>
      </c>
      <c r="J125" s="2" t="s">
        <v>27</v>
      </c>
      <c r="K125" s="2">
        <v>1</v>
      </c>
      <c r="L125" s="2">
        <v>0.16</v>
      </c>
      <c r="M125" s="2">
        <v>0.2273</v>
      </c>
      <c r="N125" s="2">
        <v>0.59</v>
      </c>
      <c r="O125" s="2">
        <v>0</v>
      </c>
      <c r="P125" s="2">
        <v>3</v>
      </c>
      <c r="Q125" s="2">
        <v>216</v>
      </c>
      <c r="R125" s="2">
        <v>219</v>
      </c>
    </row>
    <row r="126" spans="1:18" x14ac:dyDescent="0.3">
      <c r="A126" s="2">
        <v>124</v>
      </c>
      <c r="B126" s="4">
        <v>40549</v>
      </c>
      <c r="C126" s="2">
        <v>1</v>
      </c>
      <c r="D126" s="2">
        <v>0</v>
      </c>
      <c r="E126" s="2">
        <v>1</v>
      </c>
      <c r="F126" s="2" t="s">
        <v>18</v>
      </c>
      <c r="G126" s="2">
        <v>9</v>
      </c>
      <c r="H126" s="2" t="b">
        <v>0</v>
      </c>
      <c r="I126" s="2">
        <v>4</v>
      </c>
      <c r="J126" s="2" t="s">
        <v>27</v>
      </c>
      <c r="K126" s="2">
        <v>2</v>
      </c>
      <c r="L126" s="2">
        <v>0.18</v>
      </c>
      <c r="M126" s="2">
        <v>0.2424</v>
      </c>
      <c r="N126" s="2">
        <v>0.51</v>
      </c>
      <c r="O126" s="2">
        <v>0</v>
      </c>
      <c r="P126" s="2">
        <v>6</v>
      </c>
      <c r="Q126" s="2">
        <v>116</v>
      </c>
      <c r="R126" s="2">
        <v>122</v>
      </c>
    </row>
    <row r="127" spans="1:18" x14ac:dyDescent="0.3">
      <c r="A127" s="2">
        <v>125</v>
      </c>
      <c r="B127" s="4">
        <v>40549</v>
      </c>
      <c r="C127" s="2">
        <v>1</v>
      </c>
      <c r="D127" s="2">
        <v>0</v>
      </c>
      <c r="E127" s="2">
        <v>1</v>
      </c>
      <c r="F127" s="2" t="s">
        <v>18</v>
      </c>
      <c r="G127" s="2">
        <v>10</v>
      </c>
      <c r="H127" s="2" t="b">
        <v>0</v>
      </c>
      <c r="I127" s="2">
        <v>4</v>
      </c>
      <c r="J127" s="2" t="s">
        <v>27</v>
      </c>
      <c r="K127" s="2">
        <v>1</v>
      </c>
      <c r="L127" s="2">
        <v>0.2</v>
      </c>
      <c r="M127" s="2">
        <v>0.2576</v>
      </c>
      <c r="N127" s="2">
        <v>0.47</v>
      </c>
      <c r="O127" s="2">
        <v>0</v>
      </c>
      <c r="P127" s="2">
        <v>3</v>
      </c>
      <c r="Q127" s="2">
        <v>42</v>
      </c>
      <c r="R127" s="2">
        <v>45</v>
      </c>
    </row>
    <row r="128" spans="1:18" x14ac:dyDescent="0.3">
      <c r="A128" s="2">
        <v>126</v>
      </c>
      <c r="B128" s="4">
        <v>40549</v>
      </c>
      <c r="C128" s="2">
        <v>1</v>
      </c>
      <c r="D128" s="2">
        <v>0</v>
      </c>
      <c r="E128" s="2">
        <v>1</v>
      </c>
      <c r="F128" s="2" t="s">
        <v>18</v>
      </c>
      <c r="G128" s="2">
        <v>11</v>
      </c>
      <c r="H128" s="2" t="b">
        <v>0</v>
      </c>
      <c r="I128" s="2">
        <v>4</v>
      </c>
      <c r="J128" s="2" t="s">
        <v>27</v>
      </c>
      <c r="K128" s="2">
        <v>1</v>
      </c>
      <c r="L128" s="2">
        <v>0.22</v>
      </c>
      <c r="M128" s="2">
        <v>0.2576</v>
      </c>
      <c r="N128" s="2">
        <v>0.44</v>
      </c>
      <c r="O128" s="2">
        <v>8.9599999999999999E-2</v>
      </c>
      <c r="P128" s="2">
        <v>2</v>
      </c>
      <c r="Q128" s="2">
        <v>57</v>
      </c>
      <c r="R128" s="2">
        <v>59</v>
      </c>
    </row>
    <row r="129" spans="1:18" x14ac:dyDescent="0.3">
      <c r="A129" s="2">
        <v>127</v>
      </c>
      <c r="B129" s="4">
        <v>40549</v>
      </c>
      <c r="C129" s="2">
        <v>1</v>
      </c>
      <c r="D129" s="2">
        <v>0</v>
      </c>
      <c r="E129" s="2">
        <v>1</v>
      </c>
      <c r="F129" s="2" t="s">
        <v>18</v>
      </c>
      <c r="G129" s="2">
        <v>12</v>
      </c>
      <c r="H129" s="2" t="b">
        <v>0</v>
      </c>
      <c r="I129" s="2">
        <v>4</v>
      </c>
      <c r="J129" s="2" t="s">
        <v>27</v>
      </c>
      <c r="K129" s="2">
        <v>1</v>
      </c>
      <c r="L129" s="2">
        <v>0.26</v>
      </c>
      <c r="M129" s="2">
        <v>0.28789999999999999</v>
      </c>
      <c r="N129" s="2">
        <v>0.35</v>
      </c>
      <c r="O129" s="2">
        <v>0</v>
      </c>
      <c r="P129" s="2">
        <v>6</v>
      </c>
      <c r="Q129" s="2">
        <v>78</v>
      </c>
      <c r="R129" s="2">
        <v>84</v>
      </c>
    </row>
    <row r="130" spans="1:18" x14ac:dyDescent="0.3">
      <c r="A130" s="2">
        <v>128</v>
      </c>
      <c r="B130" s="4">
        <v>40549</v>
      </c>
      <c r="C130" s="2">
        <v>1</v>
      </c>
      <c r="D130" s="2">
        <v>0</v>
      </c>
      <c r="E130" s="2">
        <v>1</v>
      </c>
      <c r="F130" s="2" t="s">
        <v>18</v>
      </c>
      <c r="G130" s="2">
        <v>13</v>
      </c>
      <c r="H130" s="2" t="b">
        <v>0</v>
      </c>
      <c r="I130" s="2">
        <v>4</v>
      </c>
      <c r="J130" s="2" t="s">
        <v>27</v>
      </c>
      <c r="K130" s="2">
        <v>1</v>
      </c>
      <c r="L130" s="2">
        <v>0.26</v>
      </c>
      <c r="M130" s="2">
        <v>0.2727</v>
      </c>
      <c r="N130" s="2">
        <v>0.35</v>
      </c>
      <c r="O130" s="2">
        <v>0.1045</v>
      </c>
      <c r="P130" s="2">
        <v>12</v>
      </c>
      <c r="Q130" s="2">
        <v>55</v>
      </c>
      <c r="R130" s="2">
        <v>67</v>
      </c>
    </row>
    <row r="131" spans="1:18" x14ac:dyDescent="0.3">
      <c r="A131" s="2">
        <v>129</v>
      </c>
      <c r="B131" s="4">
        <v>40549</v>
      </c>
      <c r="C131" s="2">
        <v>1</v>
      </c>
      <c r="D131" s="2">
        <v>0</v>
      </c>
      <c r="E131" s="2">
        <v>1</v>
      </c>
      <c r="F131" s="2" t="s">
        <v>18</v>
      </c>
      <c r="G131" s="2">
        <v>14</v>
      </c>
      <c r="H131" s="2" t="b">
        <v>0</v>
      </c>
      <c r="I131" s="2">
        <v>4</v>
      </c>
      <c r="J131" s="2" t="s">
        <v>27</v>
      </c>
      <c r="K131" s="2">
        <v>1</v>
      </c>
      <c r="L131" s="2">
        <v>0.28000000000000003</v>
      </c>
      <c r="M131" s="2">
        <v>0.2727</v>
      </c>
      <c r="N131" s="2">
        <v>0.36</v>
      </c>
      <c r="O131" s="2">
        <v>0.16420000000000001</v>
      </c>
      <c r="P131" s="2">
        <v>11</v>
      </c>
      <c r="Q131" s="2">
        <v>59</v>
      </c>
      <c r="R131" s="2">
        <v>70</v>
      </c>
    </row>
    <row r="132" spans="1:18" x14ac:dyDescent="0.3">
      <c r="A132" s="2">
        <v>130</v>
      </c>
      <c r="B132" s="4">
        <v>40549</v>
      </c>
      <c r="C132" s="2">
        <v>1</v>
      </c>
      <c r="D132" s="2">
        <v>0</v>
      </c>
      <c r="E132" s="2">
        <v>1</v>
      </c>
      <c r="F132" s="2" t="s">
        <v>18</v>
      </c>
      <c r="G132" s="2">
        <v>15</v>
      </c>
      <c r="H132" s="2" t="b">
        <v>0</v>
      </c>
      <c r="I132" s="2">
        <v>4</v>
      </c>
      <c r="J132" s="2" t="s">
        <v>27</v>
      </c>
      <c r="K132" s="2">
        <v>1</v>
      </c>
      <c r="L132" s="2">
        <v>0.28000000000000003</v>
      </c>
      <c r="M132" s="2">
        <v>0.2727</v>
      </c>
      <c r="N132" s="2">
        <v>0.36</v>
      </c>
      <c r="O132" s="2">
        <v>0</v>
      </c>
      <c r="P132" s="2">
        <v>8</v>
      </c>
      <c r="Q132" s="2">
        <v>54</v>
      </c>
      <c r="R132" s="2">
        <v>62</v>
      </c>
    </row>
    <row r="133" spans="1:18" x14ac:dyDescent="0.3">
      <c r="A133" s="2">
        <v>131</v>
      </c>
      <c r="B133" s="4">
        <v>40549</v>
      </c>
      <c r="C133" s="2">
        <v>1</v>
      </c>
      <c r="D133" s="2">
        <v>0</v>
      </c>
      <c r="E133" s="2">
        <v>1</v>
      </c>
      <c r="F133" s="2" t="s">
        <v>18</v>
      </c>
      <c r="G133" s="2">
        <v>16</v>
      </c>
      <c r="H133" s="2" t="b">
        <v>0</v>
      </c>
      <c r="I133" s="2">
        <v>4</v>
      </c>
      <c r="J133" s="2" t="s">
        <v>27</v>
      </c>
      <c r="K133" s="2">
        <v>1</v>
      </c>
      <c r="L133" s="2">
        <v>0.26</v>
      </c>
      <c r="M133" s="2">
        <v>0.2576</v>
      </c>
      <c r="N133" s="2">
        <v>0.38</v>
      </c>
      <c r="O133" s="2">
        <v>0.16420000000000001</v>
      </c>
      <c r="P133" s="2">
        <v>12</v>
      </c>
      <c r="Q133" s="2">
        <v>74</v>
      </c>
      <c r="R133" s="2">
        <v>86</v>
      </c>
    </row>
    <row r="134" spans="1:18" x14ac:dyDescent="0.3">
      <c r="A134" s="2">
        <v>132</v>
      </c>
      <c r="B134" s="4">
        <v>40549</v>
      </c>
      <c r="C134" s="2">
        <v>1</v>
      </c>
      <c r="D134" s="2">
        <v>0</v>
      </c>
      <c r="E134" s="2">
        <v>1</v>
      </c>
      <c r="F134" s="2" t="s">
        <v>18</v>
      </c>
      <c r="G134" s="2">
        <v>17</v>
      </c>
      <c r="H134" s="2" t="b">
        <v>0</v>
      </c>
      <c r="I134" s="2">
        <v>4</v>
      </c>
      <c r="J134" s="2" t="s">
        <v>27</v>
      </c>
      <c r="K134" s="2">
        <v>1</v>
      </c>
      <c r="L134" s="2">
        <v>0.22</v>
      </c>
      <c r="M134" s="2">
        <v>0.2273</v>
      </c>
      <c r="N134" s="2">
        <v>0.51</v>
      </c>
      <c r="O134" s="2">
        <v>0.16420000000000001</v>
      </c>
      <c r="P134" s="2">
        <v>9</v>
      </c>
      <c r="Q134" s="2">
        <v>163</v>
      </c>
      <c r="R134" s="2">
        <v>172</v>
      </c>
    </row>
    <row r="135" spans="1:18" x14ac:dyDescent="0.3">
      <c r="A135" s="2">
        <v>133</v>
      </c>
      <c r="B135" s="4">
        <v>40549</v>
      </c>
      <c r="C135" s="2">
        <v>1</v>
      </c>
      <c r="D135" s="2">
        <v>0</v>
      </c>
      <c r="E135" s="2">
        <v>1</v>
      </c>
      <c r="F135" s="2" t="s">
        <v>18</v>
      </c>
      <c r="G135" s="2">
        <v>18</v>
      </c>
      <c r="H135" s="2" t="b">
        <v>0</v>
      </c>
      <c r="I135" s="2">
        <v>4</v>
      </c>
      <c r="J135" s="2" t="s">
        <v>27</v>
      </c>
      <c r="K135" s="2">
        <v>1</v>
      </c>
      <c r="L135" s="2">
        <v>0.22</v>
      </c>
      <c r="M135" s="2">
        <v>0.2273</v>
      </c>
      <c r="N135" s="2">
        <v>0.51</v>
      </c>
      <c r="O135" s="2">
        <v>0.1343</v>
      </c>
      <c r="P135" s="2">
        <v>5</v>
      </c>
      <c r="Q135" s="2">
        <v>158</v>
      </c>
      <c r="R135" s="2">
        <v>163</v>
      </c>
    </row>
    <row r="136" spans="1:18" x14ac:dyDescent="0.3">
      <c r="A136" s="2">
        <v>134</v>
      </c>
      <c r="B136" s="4">
        <v>40549</v>
      </c>
      <c r="C136" s="2">
        <v>1</v>
      </c>
      <c r="D136" s="2">
        <v>0</v>
      </c>
      <c r="E136" s="2">
        <v>1</v>
      </c>
      <c r="F136" s="2" t="s">
        <v>18</v>
      </c>
      <c r="G136" s="2">
        <v>19</v>
      </c>
      <c r="H136" s="2" t="b">
        <v>0</v>
      </c>
      <c r="I136" s="2">
        <v>4</v>
      </c>
      <c r="J136" s="2" t="s">
        <v>27</v>
      </c>
      <c r="K136" s="2">
        <v>1</v>
      </c>
      <c r="L136" s="2">
        <v>0.22</v>
      </c>
      <c r="M136" s="2">
        <v>0.2576</v>
      </c>
      <c r="N136" s="2">
        <v>0.55000000000000004</v>
      </c>
      <c r="O136" s="2">
        <v>8.9599999999999999E-2</v>
      </c>
      <c r="P136" s="2">
        <v>3</v>
      </c>
      <c r="Q136" s="2">
        <v>109</v>
      </c>
      <c r="R136" s="2">
        <v>112</v>
      </c>
    </row>
    <row r="137" spans="1:18" x14ac:dyDescent="0.3">
      <c r="A137" s="2">
        <v>135</v>
      </c>
      <c r="B137" s="4">
        <v>40549</v>
      </c>
      <c r="C137" s="2">
        <v>1</v>
      </c>
      <c r="D137" s="2">
        <v>0</v>
      </c>
      <c r="E137" s="2">
        <v>1</v>
      </c>
      <c r="F137" s="2" t="s">
        <v>18</v>
      </c>
      <c r="G137" s="2">
        <v>20</v>
      </c>
      <c r="H137" s="2" t="b">
        <v>0</v>
      </c>
      <c r="I137" s="2">
        <v>4</v>
      </c>
      <c r="J137" s="2" t="s">
        <v>27</v>
      </c>
      <c r="K137" s="2">
        <v>1</v>
      </c>
      <c r="L137" s="2">
        <v>0.2</v>
      </c>
      <c r="M137" s="2">
        <v>0.21210000000000001</v>
      </c>
      <c r="N137" s="2">
        <v>0.51</v>
      </c>
      <c r="O137" s="2">
        <v>0.16420000000000001</v>
      </c>
      <c r="P137" s="2">
        <v>3</v>
      </c>
      <c r="Q137" s="2">
        <v>66</v>
      </c>
      <c r="R137" s="2">
        <v>69</v>
      </c>
    </row>
    <row r="138" spans="1:18" x14ac:dyDescent="0.3">
      <c r="A138" s="2">
        <v>136</v>
      </c>
      <c r="B138" s="4">
        <v>40549</v>
      </c>
      <c r="C138" s="2">
        <v>1</v>
      </c>
      <c r="D138" s="2">
        <v>0</v>
      </c>
      <c r="E138" s="2">
        <v>1</v>
      </c>
      <c r="F138" s="2" t="s">
        <v>18</v>
      </c>
      <c r="G138" s="2">
        <v>21</v>
      </c>
      <c r="H138" s="2" t="b">
        <v>0</v>
      </c>
      <c r="I138" s="2">
        <v>4</v>
      </c>
      <c r="J138" s="2" t="s">
        <v>27</v>
      </c>
      <c r="K138" s="2">
        <v>2</v>
      </c>
      <c r="L138" s="2">
        <v>0.22</v>
      </c>
      <c r="M138" s="2">
        <v>0.21210000000000001</v>
      </c>
      <c r="N138" s="2">
        <v>0.55000000000000004</v>
      </c>
      <c r="O138" s="2">
        <v>0.22389999999999999</v>
      </c>
      <c r="P138" s="2">
        <v>0</v>
      </c>
      <c r="Q138" s="2">
        <v>48</v>
      </c>
      <c r="R138" s="2">
        <v>48</v>
      </c>
    </row>
    <row r="139" spans="1:18" x14ac:dyDescent="0.3">
      <c r="A139" s="2">
        <v>137</v>
      </c>
      <c r="B139" s="4">
        <v>40549</v>
      </c>
      <c r="C139" s="2">
        <v>1</v>
      </c>
      <c r="D139" s="2">
        <v>0</v>
      </c>
      <c r="E139" s="2">
        <v>1</v>
      </c>
      <c r="F139" s="2" t="s">
        <v>18</v>
      </c>
      <c r="G139" s="2">
        <v>22</v>
      </c>
      <c r="H139" s="2" t="b">
        <v>0</v>
      </c>
      <c r="I139" s="2">
        <v>4</v>
      </c>
      <c r="J139" s="2" t="s">
        <v>27</v>
      </c>
      <c r="K139" s="2">
        <v>2</v>
      </c>
      <c r="L139" s="2">
        <v>0.22</v>
      </c>
      <c r="M139" s="2">
        <v>0.21210000000000001</v>
      </c>
      <c r="N139" s="2">
        <v>0.51</v>
      </c>
      <c r="O139" s="2">
        <v>0.28360000000000002</v>
      </c>
      <c r="P139" s="2">
        <v>1</v>
      </c>
      <c r="Q139" s="2">
        <v>51</v>
      </c>
      <c r="R139" s="2">
        <v>52</v>
      </c>
    </row>
    <row r="140" spans="1:18" x14ac:dyDescent="0.3">
      <c r="A140" s="2">
        <v>138</v>
      </c>
      <c r="B140" s="4">
        <v>40549</v>
      </c>
      <c r="C140" s="2">
        <v>1</v>
      </c>
      <c r="D140" s="2">
        <v>0</v>
      </c>
      <c r="E140" s="2">
        <v>1</v>
      </c>
      <c r="F140" s="2" t="s">
        <v>18</v>
      </c>
      <c r="G140" s="2">
        <v>23</v>
      </c>
      <c r="H140" s="2" t="b">
        <v>0</v>
      </c>
      <c r="I140" s="2">
        <v>4</v>
      </c>
      <c r="J140" s="2" t="s">
        <v>27</v>
      </c>
      <c r="K140" s="2">
        <v>2</v>
      </c>
      <c r="L140" s="2">
        <v>0.2</v>
      </c>
      <c r="M140" s="2">
        <v>0.19700000000000001</v>
      </c>
      <c r="N140" s="2">
        <v>0.59</v>
      </c>
      <c r="O140" s="2">
        <v>0.19400000000000001</v>
      </c>
      <c r="P140" s="2">
        <v>4</v>
      </c>
      <c r="Q140" s="2">
        <v>19</v>
      </c>
      <c r="R140" s="2">
        <v>23</v>
      </c>
    </row>
    <row r="141" spans="1:18" x14ac:dyDescent="0.3">
      <c r="A141" s="2">
        <v>139</v>
      </c>
      <c r="B141" s="4">
        <v>40550</v>
      </c>
      <c r="C141" s="2">
        <v>1</v>
      </c>
      <c r="D141" s="2">
        <v>0</v>
      </c>
      <c r="E141" s="2">
        <v>1</v>
      </c>
      <c r="F141" s="2" t="s">
        <v>18</v>
      </c>
      <c r="G141" s="2">
        <v>0</v>
      </c>
      <c r="H141" s="2" t="b">
        <v>0</v>
      </c>
      <c r="I141" s="2">
        <v>5</v>
      </c>
      <c r="J141" s="2" t="s">
        <v>28</v>
      </c>
      <c r="K141" s="2">
        <v>2</v>
      </c>
      <c r="L141" s="2">
        <v>0.2</v>
      </c>
      <c r="M141" s="2">
        <v>0.19700000000000001</v>
      </c>
      <c r="N141" s="2">
        <v>0.64</v>
      </c>
      <c r="O141" s="2">
        <v>0.19400000000000001</v>
      </c>
      <c r="P141" s="2">
        <v>4</v>
      </c>
      <c r="Q141" s="2">
        <v>13</v>
      </c>
      <c r="R141" s="2">
        <v>17</v>
      </c>
    </row>
    <row r="142" spans="1:18" x14ac:dyDescent="0.3">
      <c r="A142" s="2">
        <v>140</v>
      </c>
      <c r="B142" s="4">
        <v>40550</v>
      </c>
      <c r="C142" s="2">
        <v>1</v>
      </c>
      <c r="D142" s="2">
        <v>0</v>
      </c>
      <c r="E142" s="2">
        <v>1</v>
      </c>
      <c r="F142" s="2" t="s">
        <v>18</v>
      </c>
      <c r="G142" s="2">
        <v>1</v>
      </c>
      <c r="H142" s="2" t="b">
        <v>0</v>
      </c>
      <c r="I142" s="2">
        <v>5</v>
      </c>
      <c r="J142" s="2" t="s">
        <v>28</v>
      </c>
      <c r="K142" s="2">
        <v>2</v>
      </c>
      <c r="L142" s="2">
        <v>0.2</v>
      </c>
      <c r="M142" s="2">
        <v>0.19700000000000001</v>
      </c>
      <c r="N142" s="2">
        <v>0.69</v>
      </c>
      <c r="O142" s="2">
        <v>0.22389999999999999</v>
      </c>
      <c r="P142" s="2">
        <v>2</v>
      </c>
      <c r="Q142" s="2">
        <v>5</v>
      </c>
      <c r="R142" s="2">
        <v>7</v>
      </c>
    </row>
    <row r="143" spans="1:18" x14ac:dyDescent="0.3">
      <c r="A143" s="2">
        <v>141</v>
      </c>
      <c r="B143" s="4">
        <v>40550</v>
      </c>
      <c r="C143" s="2">
        <v>1</v>
      </c>
      <c r="D143" s="2">
        <v>0</v>
      </c>
      <c r="E143" s="2">
        <v>1</v>
      </c>
      <c r="F143" s="2" t="s">
        <v>18</v>
      </c>
      <c r="G143" s="2">
        <v>2</v>
      </c>
      <c r="H143" s="2" t="b">
        <v>0</v>
      </c>
      <c r="I143" s="2">
        <v>5</v>
      </c>
      <c r="J143" s="2" t="s">
        <v>28</v>
      </c>
      <c r="K143" s="2">
        <v>2</v>
      </c>
      <c r="L143" s="2">
        <v>0.2</v>
      </c>
      <c r="M143" s="2">
        <v>0.19700000000000001</v>
      </c>
      <c r="N143" s="2">
        <v>0.69</v>
      </c>
      <c r="O143" s="2">
        <v>0.22389999999999999</v>
      </c>
      <c r="P143" s="2">
        <v>0</v>
      </c>
      <c r="Q143" s="2">
        <v>1</v>
      </c>
      <c r="R143" s="2">
        <v>1</v>
      </c>
    </row>
    <row r="144" spans="1:18" x14ac:dyDescent="0.3">
      <c r="A144" s="2">
        <v>142</v>
      </c>
      <c r="B144" s="4">
        <v>40550</v>
      </c>
      <c r="C144" s="2">
        <v>1</v>
      </c>
      <c r="D144" s="2">
        <v>0</v>
      </c>
      <c r="E144" s="2">
        <v>1</v>
      </c>
      <c r="F144" s="2" t="s">
        <v>18</v>
      </c>
      <c r="G144" s="2">
        <v>4</v>
      </c>
      <c r="H144" s="2" t="b">
        <v>0</v>
      </c>
      <c r="I144" s="2">
        <v>5</v>
      </c>
      <c r="J144" s="2" t="s">
        <v>28</v>
      </c>
      <c r="K144" s="2">
        <v>2</v>
      </c>
      <c r="L144" s="2">
        <v>0.2</v>
      </c>
      <c r="M144" s="2">
        <v>0.21210000000000001</v>
      </c>
      <c r="N144" s="2">
        <v>0.69</v>
      </c>
      <c r="O144" s="2">
        <v>0.1343</v>
      </c>
      <c r="P144" s="2">
        <v>0</v>
      </c>
      <c r="Q144" s="2">
        <v>1</v>
      </c>
      <c r="R144" s="2">
        <v>1</v>
      </c>
    </row>
    <row r="145" spans="1:18" x14ac:dyDescent="0.3">
      <c r="A145" s="2">
        <v>143</v>
      </c>
      <c r="B145" s="4">
        <v>40550</v>
      </c>
      <c r="C145" s="2">
        <v>1</v>
      </c>
      <c r="D145" s="2">
        <v>0</v>
      </c>
      <c r="E145" s="2">
        <v>1</v>
      </c>
      <c r="F145" s="2" t="s">
        <v>18</v>
      </c>
      <c r="G145" s="2">
        <v>5</v>
      </c>
      <c r="H145" s="2" t="b">
        <v>0</v>
      </c>
      <c r="I145" s="2">
        <v>5</v>
      </c>
      <c r="J145" s="2" t="s">
        <v>28</v>
      </c>
      <c r="K145" s="2">
        <v>3</v>
      </c>
      <c r="L145" s="2">
        <v>0.22</v>
      </c>
      <c r="M145" s="2">
        <v>0.2727</v>
      </c>
      <c r="N145" s="2">
        <v>0.55000000000000004</v>
      </c>
      <c r="O145" s="2">
        <v>0</v>
      </c>
      <c r="P145" s="2">
        <v>0</v>
      </c>
      <c r="Q145" s="2">
        <v>5</v>
      </c>
      <c r="R145" s="2">
        <v>5</v>
      </c>
    </row>
    <row r="146" spans="1:18" x14ac:dyDescent="0.3">
      <c r="A146" s="2">
        <v>144</v>
      </c>
      <c r="B146" s="4">
        <v>40550</v>
      </c>
      <c r="C146" s="2">
        <v>1</v>
      </c>
      <c r="D146" s="2">
        <v>0</v>
      </c>
      <c r="E146" s="2">
        <v>1</v>
      </c>
      <c r="F146" s="2" t="s">
        <v>18</v>
      </c>
      <c r="G146" s="2">
        <v>6</v>
      </c>
      <c r="H146" s="2" t="b">
        <v>0</v>
      </c>
      <c r="I146" s="2">
        <v>5</v>
      </c>
      <c r="J146" s="2" t="s">
        <v>28</v>
      </c>
      <c r="K146" s="2">
        <v>2</v>
      </c>
      <c r="L146" s="2">
        <v>0.2</v>
      </c>
      <c r="M146" s="2">
        <v>0.2576</v>
      </c>
      <c r="N146" s="2">
        <v>0.69</v>
      </c>
      <c r="O146" s="2">
        <v>0</v>
      </c>
      <c r="P146" s="2">
        <v>8</v>
      </c>
      <c r="Q146" s="2">
        <v>26</v>
      </c>
      <c r="R146" s="2">
        <v>34</v>
      </c>
    </row>
    <row r="147" spans="1:18" x14ac:dyDescent="0.3">
      <c r="A147" s="2">
        <v>145</v>
      </c>
      <c r="B147" s="4">
        <v>40550</v>
      </c>
      <c r="C147" s="2">
        <v>1</v>
      </c>
      <c r="D147" s="2">
        <v>0</v>
      </c>
      <c r="E147" s="2">
        <v>1</v>
      </c>
      <c r="F147" s="2" t="s">
        <v>18</v>
      </c>
      <c r="G147" s="2">
        <v>7</v>
      </c>
      <c r="H147" s="2" t="b">
        <v>0</v>
      </c>
      <c r="I147" s="2">
        <v>5</v>
      </c>
      <c r="J147" s="2" t="s">
        <v>28</v>
      </c>
      <c r="K147" s="2">
        <v>1</v>
      </c>
      <c r="L147" s="2">
        <v>0.2</v>
      </c>
      <c r="M147" s="2">
        <v>0.21210000000000001</v>
      </c>
      <c r="N147" s="2">
        <v>0.69</v>
      </c>
      <c r="O147" s="2">
        <v>0.1343</v>
      </c>
      <c r="P147" s="2">
        <v>8</v>
      </c>
      <c r="Q147" s="2">
        <v>76</v>
      </c>
      <c r="R147" s="2">
        <v>84</v>
      </c>
    </row>
    <row r="148" spans="1:18" x14ac:dyDescent="0.3">
      <c r="A148" s="2">
        <v>146</v>
      </c>
      <c r="B148" s="4">
        <v>40550</v>
      </c>
      <c r="C148" s="2">
        <v>1</v>
      </c>
      <c r="D148" s="2">
        <v>0</v>
      </c>
      <c r="E148" s="2">
        <v>1</v>
      </c>
      <c r="F148" s="2" t="s">
        <v>18</v>
      </c>
      <c r="G148" s="2">
        <v>8</v>
      </c>
      <c r="H148" s="2" t="b">
        <v>0</v>
      </c>
      <c r="I148" s="2">
        <v>5</v>
      </c>
      <c r="J148" s="2" t="s">
        <v>28</v>
      </c>
      <c r="K148" s="2">
        <v>1</v>
      </c>
      <c r="L148" s="2">
        <v>0.2</v>
      </c>
      <c r="M148" s="2">
        <v>0.19700000000000001</v>
      </c>
      <c r="N148" s="2">
        <v>0.51</v>
      </c>
      <c r="O148" s="2">
        <v>0.25369999999999998</v>
      </c>
      <c r="P148" s="2">
        <v>20</v>
      </c>
      <c r="Q148" s="2">
        <v>190</v>
      </c>
      <c r="R148" s="2">
        <v>210</v>
      </c>
    </row>
    <row r="149" spans="1:18" x14ac:dyDescent="0.3">
      <c r="A149" s="2">
        <v>147</v>
      </c>
      <c r="B149" s="4">
        <v>40550</v>
      </c>
      <c r="C149" s="2">
        <v>1</v>
      </c>
      <c r="D149" s="2">
        <v>0</v>
      </c>
      <c r="E149" s="2">
        <v>1</v>
      </c>
      <c r="F149" s="2" t="s">
        <v>18</v>
      </c>
      <c r="G149" s="2">
        <v>9</v>
      </c>
      <c r="H149" s="2" t="b">
        <v>0</v>
      </c>
      <c r="I149" s="2">
        <v>5</v>
      </c>
      <c r="J149" s="2" t="s">
        <v>28</v>
      </c>
      <c r="K149" s="2">
        <v>1</v>
      </c>
      <c r="L149" s="2">
        <v>0.2</v>
      </c>
      <c r="M149" s="2">
        <v>0.18179999999999999</v>
      </c>
      <c r="N149" s="2">
        <v>0.47</v>
      </c>
      <c r="O149" s="2">
        <v>0.29849999999999999</v>
      </c>
      <c r="P149" s="2">
        <v>9</v>
      </c>
      <c r="Q149" s="2">
        <v>125</v>
      </c>
      <c r="R149" s="2">
        <v>134</v>
      </c>
    </row>
    <row r="150" spans="1:18" x14ac:dyDescent="0.3">
      <c r="A150" s="2">
        <v>148</v>
      </c>
      <c r="B150" s="4">
        <v>40550</v>
      </c>
      <c r="C150" s="2">
        <v>1</v>
      </c>
      <c r="D150" s="2">
        <v>0</v>
      </c>
      <c r="E150" s="2">
        <v>1</v>
      </c>
      <c r="F150" s="2" t="s">
        <v>18</v>
      </c>
      <c r="G150" s="2">
        <v>10</v>
      </c>
      <c r="H150" s="2" t="b">
        <v>0</v>
      </c>
      <c r="I150" s="2">
        <v>5</v>
      </c>
      <c r="J150" s="2" t="s">
        <v>28</v>
      </c>
      <c r="K150" s="2">
        <v>1</v>
      </c>
      <c r="L150" s="2">
        <v>0.22</v>
      </c>
      <c r="M150" s="2">
        <v>0.19700000000000001</v>
      </c>
      <c r="N150" s="2">
        <v>0.37</v>
      </c>
      <c r="O150" s="2">
        <v>0.32840000000000003</v>
      </c>
      <c r="P150" s="2">
        <v>16</v>
      </c>
      <c r="Q150" s="2">
        <v>47</v>
      </c>
      <c r="R150" s="2">
        <v>63</v>
      </c>
    </row>
    <row r="151" spans="1:18" x14ac:dyDescent="0.3">
      <c r="A151" s="2">
        <v>149</v>
      </c>
      <c r="B151" s="4">
        <v>40550</v>
      </c>
      <c r="C151" s="2">
        <v>1</v>
      </c>
      <c r="D151" s="2">
        <v>0</v>
      </c>
      <c r="E151" s="2">
        <v>1</v>
      </c>
      <c r="F151" s="2" t="s">
        <v>18</v>
      </c>
      <c r="G151" s="2">
        <v>11</v>
      </c>
      <c r="H151" s="2" t="b">
        <v>0</v>
      </c>
      <c r="I151" s="2">
        <v>5</v>
      </c>
      <c r="J151" s="2" t="s">
        <v>28</v>
      </c>
      <c r="K151" s="2">
        <v>2</v>
      </c>
      <c r="L151" s="2">
        <v>0.2</v>
      </c>
      <c r="M151" s="2">
        <v>0.19700000000000001</v>
      </c>
      <c r="N151" s="2">
        <v>0.4</v>
      </c>
      <c r="O151" s="2">
        <v>0.22389999999999999</v>
      </c>
      <c r="P151" s="2">
        <v>19</v>
      </c>
      <c r="Q151" s="2">
        <v>48</v>
      </c>
      <c r="R151" s="2">
        <v>67</v>
      </c>
    </row>
    <row r="152" spans="1:18" x14ac:dyDescent="0.3">
      <c r="A152" s="2">
        <v>150</v>
      </c>
      <c r="B152" s="4">
        <v>40550</v>
      </c>
      <c r="C152" s="2">
        <v>1</v>
      </c>
      <c r="D152" s="2">
        <v>0</v>
      </c>
      <c r="E152" s="2">
        <v>1</v>
      </c>
      <c r="F152" s="2" t="s">
        <v>18</v>
      </c>
      <c r="G152" s="2">
        <v>12</v>
      </c>
      <c r="H152" s="2" t="b">
        <v>0</v>
      </c>
      <c r="I152" s="2">
        <v>5</v>
      </c>
      <c r="J152" s="2" t="s">
        <v>28</v>
      </c>
      <c r="K152" s="2">
        <v>2</v>
      </c>
      <c r="L152" s="2">
        <v>0.2</v>
      </c>
      <c r="M152" s="2">
        <v>0.19700000000000001</v>
      </c>
      <c r="N152" s="2">
        <v>0.37</v>
      </c>
      <c r="O152" s="2">
        <v>0.25369999999999998</v>
      </c>
      <c r="P152" s="2">
        <v>9</v>
      </c>
      <c r="Q152" s="2">
        <v>50</v>
      </c>
      <c r="R152" s="2">
        <v>59</v>
      </c>
    </row>
    <row r="153" spans="1:18" x14ac:dyDescent="0.3">
      <c r="A153" s="2">
        <v>151</v>
      </c>
      <c r="B153" s="4">
        <v>40550</v>
      </c>
      <c r="C153" s="2">
        <v>1</v>
      </c>
      <c r="D153" s="2">
        <v>0</v>
      </c>
      <c r="E153" s="2">
        <v>1</v>
      </c>
      <c r="F153" s="2" t="s">
        <v>18</v>
      </c>
      <c r="G153" s="2">
        <v>13</v>
      </c>
      <c r="H153" s="2" t="b">
        <v>0</v>
      </c>
      <c r="I153" s="2">
        <v>5</v>
      </c>
      <c r="J153" s="2" t="s">
        <v>28</v>
      </c>
      <c r="K153" s="2">
        <v>2</v>
      </c>
      <c r="L153" s="2">
        <v>0.2</v>
      </c>
      <c r="M153" s="2">
        <v>0.18179999999999999</v>
      </c>
      <c r="N153" s="2">
        <v>0.37</v>
      </c>
      <c r="O153" s="2">
        <v>0.28360000000000002</v>
      </c>
      <c r="P153" s="2">
        <v>9</v>
      </c>
      <c r="Q153" s="2">
        <v>64</v>
      </c>
      <c r="R153" s="2">
        <v>73</v>
      </c>
    </row>
    <row r="154" spans="1:18" x14ac:dyDescent="0.3">
      <c r="A154" s="2">
        <v>152</v>
      </c>
      <c r="B154" s="4">
        <v>40550</v>
      </c>
      <c r="C154" s="2">
        <v>1</v>
      </c>
      <c r="D154" s="2">
        <v>0</v>
      </c>
      <c r="E154" s="2">
        <v>1</v>
      </c>
      <c r="F154" s="2" t="s">
        <v>18</v>
      </c>
      <c r="G154" s="2">
        <v>14</v>
      </c>
      <c r="H154" s="2" t="b">
        <v>0</v>
      </c>
      <c r="I154" s="2">
        <v>5</v>
      </c>
      <c r="J154" s="2" t="s">
        <v>28</v>
      </c>
      <c r="K154" s="2">
        <v>2</v>
      </c>
      <c r="L154" s="2">
        <v>0.2</v>
      </c>
      <c r="M154" s="2">
        <v>0.19700000000000001</v>
      </c>
      <c r="N154" s="2">
        <v>0.4</v>
      </c>
      <c r="O154" s="2">
        <v>0.25369999999999998</v>
      </c>
      <c r="P154" s="2">
        <v>7</v>
      </c>
      <c r="Q154" s="2">
        <v>43</v>
      </c>
      <c r="R154" s="2">
        <v>50</v>
      </c>
    </row>
    <row r="155" spans="1:18" x14ac:dyDescent="0.3">
      <c r="A155" s="2">
        <v>153</v>
      </c>
      <c r="B155" s="4">
        <v>40550</v>
      </c>
      <c r="C155" s="2">
        <v>1</v>
      </c>
      <c r="D155" s="2">
        <v>0</v>
      </c>
      <c r="E155" s="2">
        <v>1</v>
      </c>
      <c r="F155" s="2" t="s">
        <v>18</v>
      </c>
      <c r="G155" s="2">
        <v>15</v>
      </c>
      <c r="H155" s="2" t="b">
        <v>0</v>
      </c>
      <c r="I155" s="2">
        <v>5</v>
      </c>
      <c r="J155" s="2" t="s">
        <v>28</v>
      </c>
      <c r="K155" s="2">
        <v>2</v>
      </c>
      <c r="L155" s="2">
        <v>0.2</v>
      </c>
      <c r="M155" s="2">
        <v>0.21210000000000001</v>
      </c>
      <c r="N155" s="2">
        <v>0.37</v>
      </c>
      <c r="O155" s="2">
        <v>0.16420000000000001</v>
      </c>
      <c r="P155" s="2">
        <v>9</v>
      </c>
      <c r="Q155" s="2">
        <v>63</v>
      </c>
      <c r="R155" s="2">
        <v>72</v>
      </c>
    </row>
    <row r="156" spans="1:18" x14ac:dyDescent="0.3">
      <c r="A156" s="2">
        <v>154</v>
      </c>
      <c r="B156" s="4">
        <v>40550</v>
      </c>
      <c r="C156" s="2">
        <v>1</v>
      </c>
      <c r="D156" s="2">
        <v>0</v>
      </c>
      <c r="E156" s="2">
        <v>1</v>
      </c>
      <c r="F156" s="2" t="s">
        <v>18</v>
      </c>
      <c r="G156" s="2">
        <v>16</v>
      </c>
      <c r="H156" s="2" t="b">
        <v>0</v>
      </c>
      <c r="I156" s="2">
        <v>5</v>
      </c>
      <c r="J156" s="2" t="s">
        <v>28</v>
      </c>
      <c r="K156" s="2">
        <v>2</v>
      </c>
      <c r="L156" s="2">
        <v>0.2</v>
      </c>
      <c r="M156" s="2">
        <v>0.21210000000000001</v>
      </c>
      <c r="N156" s="2">
        <v>0.37</v>
      </c>
      <c r="O156" s="2">
        <v>0.16420000000000001</v>
      </c>
      <c r="P156" s="2">
        <v>5</v>
      </c>
      <c r="Q156" s="2">
        <v>82</v>
      </c>
      <c r="R156" s="2">
        <v>87</v>
      </c>
    </row>
    <row r="157" spans="1:18" x14ac:dyDescent="0.3">
      <c r="A157" s="2">
        <v>155</v>
      </c>
      <c r="B157" s="4">
        <v>40550</v>
      </c>
      <c r="C157" s="2">
        <v>1</v>
      </c>
      <c r="D157" s="2">
        <v>0</v>
      </c>
      <c r="E157" s="2">
        <v>1</v>
      </c>
      <c r="F157" s="2" t="s">
        <v>18</v>
      </c>
      <c r="G157" s="2">
        <v>17</v>
      </c>
      <c r="H157" s="2" t="b">
        <v>0</v>
      </c>
      <c r="I157" s="2">
        <v>5</v>
      </c>
      <c r="J157" s="2" t="s">
        <v>28</v>
      </c>
      <c r="K157" s="2">
        <v>2</v>
      </c>
      <c r="L157" s="2">
        <v>0.2</v>
      </c>
      <c r="M157" s="2">
        <v>0.2576</v>
      </c>
      <c r="N157" s="2">
        <v>0.37</v>
      </c>
      <c r="O157" s="2">
        <v>0</v>
      </c>
      <c r="P157" s="2">
        <v>9</v>
      </c>
      <c r="Q157" s="2">
        <v>178</v>
      </c>
      <c r="R157" s="2">
        <v>187</v>
      </c>
    </row>
    <row r="158" spans="1:18" x14ac:dyDescent="0.3">
      <c r="A158" s="2">
        <v>156</v>
      </c>
      <c r="B158" s="4">
        <v>40550</v>
      </c>
      <c r="C158" s="2">
        <v>1</v>
      </c>
      <c r="D158" s="2">
        <v>0</v>
      </c>
      <c r="E158" s="2">
        <v>1</v>
      </c>
      <c r="F158" s="2" t="s">
        <v>18</v>
      </c>
      <c r="G158" s="2">
        <v>18</v>
      </c>
      <c r="H158" s="2" t="b">
        <v>0</v>
      </c>
      <c r="I158" s="2">
        <v>5</v>
      </c>
      <c r="J158" s="2" t="s">
        <v>28</v>
      </c>
      <c r="K158" s="2">
        <v>1</v>
      </c>
      <c r="L158" s="2">
        <v>0.2</v>
      </c>
      <c r="M158" s="2">
        <v>0.2273</v>
      </c>
      <c r="N158" s="2">
        <v>0.4</v>
      </c>
      <c r="O158" s="2">
        <v>8.9599999999999999E-2</v>
      </c>
      <c r="P158" s="2">
        <v>7</v>
      </c>
      <c r="Q158" s="2">
        <v>116</v>
      </c>
      <c r="R158" s="2">
        <v>123</v>
      </c>
    </row>
    <row r="159" spans="1:18" x14ac:dyDescent="0.3">
      <c r="A159" s="2">
        <v>157</v>
      </c>
      <c r="B159" s="4">
        <v>40550</v>
      </c>
      <c r="C159" s="2">
        <v>1</v>
      </c>
      <c r="D159" s="2">
        <v>0</v>
      </c>
      <c r="E159" s="2">
        <v>1</v>
      </c>
      <c r="F159" s="2" t="s">
        <v>18</v>
      </c>
      <c r="G159" s="2">
        <v>19</v>
      </c>
      <c r="H159" s="2" t="b">
        <v>0</v>
      </c>
      <c r="I159" s="2">
        <v>5</v>
      </c>
      <c r="J159" s="2" t="s">
        <v>28</v>
      </c>
      <c r="K159" s="2">
        <v>1</v>
      </c>
      <c r="L159" s="2">
        <v>0.16</v>
      </c>
      <c r="M159" s="2">
        <v>0.19700000000000001</v>
      </c>
      <c r="N159" s="2">
        <v>0.55000000000000004</v>
      </c>
      <c r="O159" s="2">
        <v>8.9599999999999999E-2</v>
      </c>
      <c r="P159" s="2">
        <v>3</v>
      </c>
      <c r="Q159" s="2">
        <v>92</v>
      </c>
      <c r="R159" s="2">
        <v>95</v>
      </c>
    </row>
    <row r="160" spans="1:18" x14ac:dyDescent="0.3">
      <c r="A160" s="2">
        <v>158</v>
      </c>
      <c r="B160" s="4">
        <v>40550</v>
      </c>
      <c r="C160" s="2">
        <v>1</v>
      </c>
      <c r="D160" s="2">
        <v>0</v>
      </c>
      <c r="E160" s="2">
        <v>1</v>
      </c>
      <c r="F160" s="2" t="s">
        <v>18</v>
      </c>
      <c r="G160" s="2">
        <v>20</v>
      </c>
      <c r="H160" s="2" t="b">
        <v>0</v>
      </c>
      <c r="I160" s="2">
        <v>5</v>
      </c>
      <c r="J160" s="2" t="s">
        <v>28</v>
      </c>
      <c r="K160" s="2">
        <v>1</v>
      </c>
      <c r="L160" s="2">
        <v>0.18</v>
      </c>
      <c r="M160" s="2">
        <v>0.21210000000000001</v>
      </c>
      <c r="N160" s="2">
        <v>0.47</v>
      </c>
      <c r="O160" s="2">
        <v>0.1045</v>
      </c>
      <c r="P160" s="2">
        <v>1</v>
      </c>
      <c r="Q160" s="2">
        <v>50</v>
      </c>
      <c r="R160" s="2">
        <v>51</v>
      </c>
    </row>
    <row r="161" spans="1:18" x14ac:dyDescent="0.3">
      <c r="A161" s="2">
        <v>159</v>
      </c>
      <c r="B161" s="4">
        <v>40550</v>
      </c>
      <c r="C161" s="2">
        <v>1</v>
      </c>
      <c r="D161" s="2">
        <v>0</v>
      </c>
      <c r="E161" s="2">
        <v>1</v>
      </c>
      <c r="F161" s="2" t="s">
        <v>18</v>
      </c>
      <c r="G161" s="2">
        <v>21</v>
      </c>
      <c r="H161" s="2" t="b">
        <v>0</v>
      </c>
      <c r="I161" s="2">
        <v>5</v>
      </c>
      <c r="J161" s="2" t="s">
        <v>28</v>
      </c>
      <c r="K161" s="2">
        <v>1</v>
      </c>
      <c r="L161" s="2">
        <v>0.18</v>
      </c>
      <c r="M161" s="2">
        <v>0.19700000000000001</v>
      </c>
      <c r="N161" s="2">
        <v>0.47</v>
      </c>
      <c r="O161" s="2">
        <v>0.1343</v>
      </c>
      <c r="P161" s="2">
        <v>0</v>
      </c>
      <c r="Q161" s="2">
        <v>39</v>
      </c>
      <c r="R161" s="2">
        <v>39</v>
      </c>
    </row>
    <row r="162" spans="1:18" x14ac:dyDescent="0.3">
      <c r="A162" s="2">
        <v>160</v>
      </c>
      <c r="B162" s="4">
        <v>40550</v>
      </c>
      <c r="C162" s="2">
        <v>1</v>
      </c>
      <c r="D162" s="2">
        <v>0</v>
      </c>
      <c r="E162" s="2">
        <v>1</v>
      </c>
      <c r="F162" s="2" t="s">
        <v>18</v>
      </c>
      <c r="G162" s="2">
        <v>22</v>
      </c>
      <c r="H162" s="2" t="b">
        <v>0</v>
      </c>
      <c r="I162" s="2">
        <v>5</v>
      </c>
      <c r="J162" s="2" t="s">
        <v>28</v>
      </c>
      <c r="K162" s="2">
        <v>2</v>
      </c>
      <c r="L162" s="2">
        <v>0.18</v>
      </c>
      <c r="M162" s="2">
        <v>0.19700000000000001</v>
      </c>
      <c r="N162" s="2">
        <v>0.43</v>
      </c>
      <c r="O162" s="2">
        <v>0.16420000000000001</v>
      </c>
      <c r="P162" s="2">
        <v>2</v>
      </c>
      <c r="Q162" s="2">
        <v>34</v>
      </c>
      <c r="R162" s="2">
        <v>36</v>
      </c>
    </row>
    <row r="163" spans="1:18" x14ac:dyDescent="0.3">
      <c r="A163" s="2">
        <v>161</v>
      </c>
      <c r="B163" s="4">
        <v>40550</v>
      </c>
      <c r="C163" s="2">
        <v>1</v>
      </c>
      <c r="D163" s="2">
        <v>0</v>
      </c>
      <c r="E163" s="2">
        <v>1</v>
      </c>
      <c r="F163" s="2" t="s">
        <v>18</v>
      </c>
      <c r="G163" s="2">
        <v>23</v>
      </c>
      <c r="H163" s="2" t="b">
        <v>0</v>
      </c>
      <c r="I163" s="2">
        <v>5</v>
      </c>
      <c r="J163" s="2" t="s">
        <v>28</v>
      </c>
      <c r="K163" s="2">
        <v>2</v>
      </c>
      <c r="L163" s="2">
        <v>0.18</v>
      </c>
      <c r="M163" s="2">
        <v>0.19700000000000001</v>
      </c>
      <c r="N163" s="2">
        <v>0.51</v>
      </c>
      <c r="O163" s="2">
        <v>0.16420000000000001</v>
      </c>
      <c r="P163" s="2">
        <v>1</v>
      </c>
      <c r="Q163" s="2">
        <v>14</v>
      </c>
      <c r="R163" s="2">
        <v>15</v>
      </c>
    </row>
    <row r="164" spans="1:18" x14ac:dyDescent="0.3">
      <c r="A164" s="2">
        <v>162</v>
      </c>
      <c r="B164" s="4">
        <v>40551</v>
      </c>
      <c r="C164" s="2">
        <v>1</v>
      </c>
      <c r="D164" s="2">
        <v>0</v>
      </c>
      <c r="E164" s="2">
        <v>1</v>
      </c>
      <c r="F164" s="2" t="s">
        <v>18</v>
      </c>
      <c r="G164" s="2">
        <v>0</v>
      </c>
      <c r="H164" s="2" t="b">
        <v>0</v>
      </c>
      <c r="I164" s="2">
        <v>6</v>
      </c>
      <c r="J164" s="2" t="s">
        <v>19</v>
      </c>
      <c r="K164" s="2">
        <v>2</v>
      </c>
      <c r="L164" s="2">
        <v>0.18</v>
      </c>
      <c r="M164" s="2">
        <v>0.19700000000000001</v>
      </c>
      <c r="N164" s="2">
        <v>0.51</v>
      </c>
      <c r="O164" s="2">
        <v>0.16420000000000001</v>
      </c>
      <c r="P164" s="2">
        <v>1</v>
      </c>
      <c r="Q164" s="2">
        <v>24</v>
      </c>
      <c r="R164" s="2">
        <v>25</v>
      </c>
    </row>
    <row r="165" spans="1:18" x14ac:dyDescent="0.3">
      <c r="A165" s="2">
        <v>163</v>
      </c>
      <c r="B165" s="4">
        <v>40551</v>
      </c>
      <c r="C165" s="2">
        <v>1</v>
      </c>
      <c r="D165" s="2">
        <v>0</v>
      </c>
      <c r="E165" s="2">
        <v>1</v>
      </c>
      <c r="F165" s="2" t="s">
        <v>18</v>
      </c>
      <c r="G165" s="2">
        <v>1</v>
      </c>
      <c r="H165" s="2" t="b">
        <v>0</v>
      </c>
      <c r="I165" s="2">
        <v>6</v>
      </c>
      <c r="J165" s="2" t="s">
        <v>19</v>
      </c>
      <c r="K165" s="2">
        <v>2</v>
      </c>
      <c r="L165" s="2">
        <v>0.18</v>
      </c>
      <c r="M165" s="2">
        <v>0.21210000000000001</v>
      </c>
      <c r="N165" s="2">
        <v>0.55000000000000004</v>
      </c>
      <c r="O165" s="2">
        <v>8.9599999999999999E-2</v>
      </c>
      <c r="P165" s="2">
        <v>1</v>
      </c>
      <c r="Q165" s="2">
        <v>15</v>
      </c>
      <c r="R165" s="2">
        <v>16</v>
      </c>
    </row>
    <row r="166" spans="1:18" x14ac:dyDescent="0.3">
      <c r="A166" s="2">
        <v>164</v>
      </c>
      <c r="B166" s="4">
        <v>40551</v>
      </c>
      <c r="C166" s="2">
        <v>1</v>
      </c>
      <c r="D166" s="2">
        <v>0</v>
      </c>
      <c r="E166" s="2">
        <v>1</v>
      </c>
      <c r="F166" s="2" t="s">
        <v>18</v>
      </c>
      <c r="G166" s="2">
        <v>2</v>
      </c>
      <c r="H166" s="2" t="b">
        <v>0</v>
      </c>
      <c r="I166" s="2">
        <v>6</v>
      </c>
      <c r="J166" s="2" t="s">
        <v>19</v>
      </c>
      <c r="K166" s="2">
        <v>2</v>
      </c>
      <c r="L166" s="2">
        <v>0.18</v>
      </c>
      <c r="M166" s="2">
        <v>0.2424</v>
      </c>
      <c r="N166" s="2">
        <v>0.55000000000000004</v>
      </c>
      <c r="O166" s="2">
        <v>0</v>
      </c>
      <c r="P166" s="2">
        <v>3</v>
      </c>
      <c r="Q166" s="2">
        <v>13</v>
      </c>
      <c r="R166" s="2">
        <v>16</v>
      </c>
    </row>
    <row r="167" spans="1:18" x14ac:dyDescent="0.3">
      <c r="A167" s="2">
        <v>165</v>
      </c>
      <c r="B167" s="4">
        <v>40551</v>
      </c>
      <c r="C167" s="2">
        <v>1</v>
      </c>
      <c r="D167" s="2">
        <v>0</v>
      </c>
      <c r="E167" s="2">
        <v>1</v>
      </c>
      <c r="F167" s="2" t="s">
        <v>18</v>
      </c>
      <c r="G167" s="2">
        <v>3</v>
      </c>
      <c r="H167" s="2" t="b">
        <v>0</v>
      </c>
      <c r="I167" s="2">
        <v>6</v>
      </c>
      <c r="J167" s="2" t="s">
        <v>19</v>
      </c>
      <c r="K167" s="2">
        <v>3</v>
      </c>
      <c r="L167" s="2">
        <v>0.18</v>
      </c>
      <c r="M167" s="2">
        <v>0.19700000000000001</v>
      </c>
      <c r="N167" s="2">
        <v>0.55000000000000004</v>
      </c>
      <c r="O167" s="2">
        <v>0.16420000000000001</v>
      </c>
      <c r="P167" s="2">
        <v>0</v>
      </c>
      <c r="Q167" s="2">
        <v>7</v>
      </c>
      <c r="R167" s="2">
        <v>7</v>
      </c>
    </row>
    <row r="168" spans="1:18" x14ac:dyDescent="0.3">
      <c r="A168" s="2">
        <v>166</v>
      </c>
      <c r="B168" s="4">
        <v>40551</v>
      </c>
      <c r="C168" s="2">
        <v>1</v>
      </c>
      <c r="D168" s="2">
        <v>0</v>
      </c>
      <c r="E168" s="2">
        <v>1</v>
      </c>
      <c r="F168" s="2" t="s">
        <v>18</v>
      </c>
      <c r="G168" s="2">
        <v>4</v>
      </c>
      <c r="H168" s="2" t="b">
        <v>0</v>
      </c>
      <c r="I168" s="2">
        <v>6</v>
      </c>
      <c r="J168" s="2" t="s">
        <v>19</v>
      </c>
      <c r="K168" s="2">
        <v>3</v>
      </c>
      <c r="L168" s="2">
        <v>0.18</v>
      </c>
      <c r="M168" s="2">
        <v>0.19700000000000001</v>
      </c>
      <c r="N168" s="2">
        <v>0.55000000000000004</v>
      </c>
      <c r="O168" s="2">
        <v>0.16420000000000001</v>
      </c>
      <c r="P168" s="2">
        <v>0</v>
      </c>
      <c r="Q168" s="2">
        <v>1</v>
      </c>
      <c r="R168" s="2">
        <v>1</v>
      </c>
    </row>
    <row r="169" spans="1:18" x14ac:dyDescent="0.3">
      <c r="A169" s="2">
        <v>167</v>
      </c>
      <c r="B169" s="4">
        <v>40551</v>
      </c>
      <c r="C169" s="2">
        <v>1</v>
      </c>
      <c r="D169" s="2">
        <v>0</v>
      </c>
      <c r="E169" s="2">
        <v>1</v>
      </c>
      <c r="F169" s="2" t="s">
        <v>18</v>
      </c>
      <c r="G169" s="2">
        <v>5</v>
      </c>
      <c r="H169" s="2" t="b">
        <v>0</v>
      </c>
      <c r="I169" s="2">
        <v>6</v>
      </c>
      <c r="J169" s="2" t="s">
        <v>19</v>
      </c>
      <c r="K169" s="2">
        <v>2</v>
      </c>
      <c r="L169" s="2">
        <v>0.16</v>
      </c>
      <c r="M169" s="2">
        <v>0.16669999999999999</v>
      </c>
      <c r="N169" s="2">
        <v>0.74</v>
      </c>
      <c r="O169" s="2">
        <v>0.16420000000000001</v>
      </c>
      <c r="P169" s="2">
        <v>0</v>
      </c>
      <c r="Q169" s="2">
        <v>5</v>
      </c>
      <c r="R169" s="2">
        <v>5</v>
      </c>
    </row>
    <row r="170" spans="1:18" x14ac:dyDescent="0.3">
      <c r="A170" s="2">
        <v>168</v>
      </c>
      <c r="B170" s="4">
        <v>40551</v>
      </c>
      <c r="C170" s="2">
        <v>1</v>
      </c>
      <c r="D170" s="2">
        <v>0</v>
      </c>
      <c r="E170" s="2">
        <v>1</v>
      </c>
      <c r="F170" s="2" t="s">
        <v>18</v>
      </c>
      <c r="G170" s="2">
        <v>6</v>
      </c>
      <c r="H170" s="2" t="b">
        <v>0</v>
      </c>
      <c r="I170" s="2">
        <v>6</v>
      </c>
      <c r="J170" s="2" t="s">
        <v>19</v>
      </c>
      <c r="K170" s="2">
        <v>2</v>
      </c>
      <c r="L170" s="2">
        <v>0.16</v>
      </c>
      <c r="M170" s="2">
        <v>0.16669999999999999</v>
      </c>
      <c r="N170" s="2">
        <v>0.74</v>
      </c>
      <c r="O170" s="2">
        <v>0.16420000000000001</v>
      </c>
      <c r="P170" s="2">
        <v>0</v>
      </c>
      <c r="Q170" s="2">
        <v>2</v>
      </c>
      <c r="R170" s="2">
        <v>2</v>
      </c>
    </row>
    <row r="171" spans="1:18" x14ac:dyDescent="0.3">
      <c r="A171" s="2">
        <v>169</v>
      </c>
      <c r="B171" s="4">
        <v>40551</v>
      </c>
      <c r="C171" s="2">
        <v>1</v>
      </c>
      <c r="D171" s="2">
        <v>0</v>
      </c>
      <c r="E171" s="2">
        <v>1</v>
      </c>
      <c r="F171" s="2" t="s">
        <v>18</v>
      </c>
      <c r="G171" s="2">
        <v>7</v>
      </c>
      <c r="H171" s="2" t="b">
        <v>0</v>
      </c>
      <c r="I171" s="2">
        <v>6</v>
      </c>
      <c r="J171" s="2" t="s">
        <v>19</v>
      </c>
      <c r="K171" s="2">
        <v>2</v>
      </c>
      <c r="L171" s="2">
        <v>0.16</v>
      </c>
      <c r="M171" s="2">
        <v>0.18179999999999999</v>
      </c>
      <c r="N171" s="2">
        <v>0.74</v>
      </c>
      <c r="O171" s="2">
        <v>0.1045</v>
      </c>
      <c r="P171" s="2">
        <v>1</v>
      </c>
      <c r="Q171" s="2">
        <v>8</v>
      </c>
      <c r="R171" s="2">
        <v>9</v>
      </c>
    </row>
    <row r="172" spans="1:18" x14ac:dyDescent="0.3">
      <c r="A172" s="2">
        <v>170</v>
      </c>
      <c r="B172" s="4">
        <v>40551</v>
      </c>
      <c r="C172" s="2">
        <v>1</v>
      </c>
      <c r="D172" s="2">
        <v>0</v>
      </c>
      <c r="E172" s="2">
        <v>1</v>
      </c>
      <c r="F172" s="2" t="s">
        <v>18</v>
      </c>
      <c r="G172" s="2">
        <v>8</v>
      </c>
      <c r="H172" s="2" t="b">
        <v>0</v>
      </c>
      <c r="I172" s="2">
        <v>6</v>
      </c>
      <c r="J172" s="2" t="s">
        <v>19</v>
      </c>
      <c r="K172" s="2">
        <v>3</v>
      </c>
      <c r="L172" s="2">
        <v>0.16</v>
      </c>
      <c r="M172" s="2">
        <v>0.18179999999999999</v>
      </c>
      <c r="N172" s="2">
        <v>0.93</v>
      </c>
      <c r="O172" s="2">
        <v>0.1045</v>
      </c>
      <c r="P172" s="2">
        <v>0</v>
      </c>
      <c r="Q172" s="2">
        <v>15</v>
      </c>
      <c r="R172" s="2">
        <v>15</v>
      </c>
    </row>
    <row r="173" spans="1:18" x14ac:dyDescent="0.3">
      <c r="A173" s="2">
        <v>171</v>
      </c>
      <c r="B173" s="4">
        <v>40551</v>
      </c>
      <c r="C173" s="2">
        <v>1</v>
      </c>
      <c r="D173" s="2">
        <v>0</v>
      </c>
      <c r="E173" s="2">
        <v>1</v>
      </c>
      <c r="F173" s="2" t="s">
        <v>18</v>
      </c>
      <c r="G173" s="2">
        <v>9</v>
      </c>
      <c r="H173" s="2" t="b">
        <v>0</v>
      </c>
      <c r="I173" s="2">
        <v>6</v>
      </c>
      <c r="J173" s="2" t="s">
        <v>19</v>
      </c>
      <c r="K173" s="2">
        <v>3</v>
      </c>
      <c r="L173" s="2">
        <v>0.16</v>
      </c>
      <c r="M173" s="2">
        <v>0.18179999999999999</v>
      </c>
      <c r="N173" s="2">
        <v>0.93</v>
      </c>
      <c r="O173" s="2">
        <v>0.1045</v>
      </c>
      <c r="P173" s="2">
        <v>0</v>
      </c>
      <c r="Q173" s="2">
        <v>20</v>
      </c>
      <c r="R173" s="2">
        <v>20</v>
      </c>
    </row>
    <row r="174" spans="1:18" x14ac:dyDescent="0.3">
      <c r="A174" s="2">
        <v>172</v>
      </c>
      <c r="B174" s="4">
        <v>40551</v>
      </c>
      <c r="C174" s="2">
        <v>1</v>
      </c>
      <c r="D174" s="2">
        <v>0</v>
      </c>
      <c r="E174" s="2">
        <v>1</v>
      </c>
      <c r="F174" s="2" t="s">
        <v>18</v>
      </c>
      <c r="G174" s="2">
        <v>10</v>
      </c>
      <c r="H174" s="2" t="b">
        <v>0</v>
      </c>
      <c r="I174" s="2">
        <v>6</v>
      </c>
      <c r="J174" s="2" t="s">
        <v>19</v>
      </c>
      <c r="K174" s="2">
        <v>2</v>
      </c>
      <c r="L174" s="2">
        <v>0.18</v>
      </c>
      <c r="M174" s="2">
        <v>0.19700000000000001</v>
      </c>
      <c r="N174" s="2">
        <v>0.8</v>
      </c>
      <c r="O174" s="2">
        <v>0.16420000000000001</v>
      </c>
      <c r="P174" s="2">
        <v>5</v>
      </c>
      <c r="Q174" s="2">
        <v>56</v>
      </c>
      <c r="R174" s="2">
        <v>61</v>
      </c>
    </row>
    <row r="175" spans="1:18" x14ac:dyDescent="0.3">
      <c r="A175" s="2">
        <v>173</v>
      </c>
      <c r="B175" s="4">
        <v>40551</v>
      </c>
      <c r="C175" s="2">
        <v>1</v>
      </c>
      <c r="D175" s="2">
        <v>0</v>
      </c>
      <c r="E175" s="2">
        <v>1</v>
      </c>
      <c r="F175" s="2" t="s">
        <v>18</v>
      </c>
      <c r="G175" s="2">
        <v>11</v>
      </c>
      <c r="H175" s="2" t="b">
        <v>0</v>
      </c>
      <c r="I175" s="2">
        <v>6</v>
      </c>
      <c r="J175" s="2" t="s">
        <v>19</v>
      </c>
      <c r="K175" s="2">
        <v>2</v>
      </c>
      <c r="L175" s="2">
        <v>0.2</v>
      </c>
      <c r="M175" s="2">
        <v>0.18179999999999999</v>
      </c>
      <c r="N175" s="2">
        <v>0.69</v>
      </c>
      <c r="O175" s="2">
        <v>0.3881</v>
      </c>
      <c r="P175" s="2">
        <v>2</v>
      </c>
      <c r="Q175" s="2">
        <v>60</v>
      </c>
      <c r="R175" s="2">
        <v>62</v>
      </c>
    </row>
    <row r="176" spans="1:18" x14ac:dyDescent="0.3">
      <c r="A176" s="2">
        <v>174</v>
      </c>
      <c r="B176" s="4">
        <v>40551</v>
      </c>
      <c r="C176" s="2">
        <v>1</v>
      </c>
      <c r="D176" s="2">
        <v>0</v>
      </c>
      <c r="E176" s="2">
        <v>1</v>
      </c>
      <c r="F176" s="2" t="s">
        <v>18</v>
      </c>
      <c r="G176" s="2">
        <v>12</v>
      </c>
      <c r="H176" s="2" t="b">
        <v>0</v>
      </c>
      <c r="I176" s="2">
        <v>6</v>
      </c>
      <c r="J176" s="2" t="s">
        <v>19</v>
      </c>
      <c r="K176" s="2">
        <v>2</v>
      </c>
      <c r="L176" s="2">
        <v>0.2</v>
      </c>
      <c r="M176" s="2">
        <v>0.18179999999999999</v>
      </c>
      <c r="N176" s="2">
        <v>0.59</v>
      </c>
      <c r="O176" s="2">
        <v>0.35820000000000002</v>
      </c>
      <c r="P176" s="2">
        <v>8</v>
      </c>
      <c r="Q176" s="2">
        <v>90</v>
      </c>
      <c r="R176" s="2">
        <v>98</v>
      </c>
    </row>
    <row r="177" spans="1:18" x14ac:dyDescent="0.3">
      <c r="A177" s="2">
        <v>175</v>
      </c>
      <c r="B177" s="4">
        <v>40551</v>
      </c>
      <c r="C177" s="2">
        <v>1</v>
      </c>
      <c r="D177" s="2">
        <v>0</v>
      </c>
      <c r="E177" s="2">
        <v>1</v>
      </c>
      <c r="F177" s="2" t="s">
        <v>18</v>
      </c>
      <c r="G177" s="2">
        <v>13</v>
      </c>
      <c r="H177" s="2" t="b">
        <v>0</v>
      </c>
      <c r="I177" s="2">
        <v>6</v>
      </c>
      <c r="J177" s="2" t="s">
        <v>19</v>
      </c>
      <c r="K177" s="2">
        <v>1</v>
      </c>
      <c r="L177" s="2">
        <v>0.2</v>
      </c>
      <c r="M177" s="2">
        <v>0.18179999999999999</v>
      </c>
      <c r="N177" s="2">
        <v>0.44</v>
      </c>
      <c r="O177" s="2">
        <v>0.32840000000000003</v>
      </c>
      <c r="P177" s="2">
        <v>7</v>
      </c>
      <c r="Q177" s="2">
        <v>95</v>
      </c>
      <c r="R177" s="2">
        <v>102</v>
      </c>
    </row>
    <row r="178" spans="1:18" x14ac:dyDescent="0.3">
      <c r="A178" s="2">
        <v>176</v>
      </c>
      <c r="B178" s="4">
        <v>40551</v>
      </c>
      <c r="C178" s="2">
        <v>1</v>
      </c>
      <c r="D178" s="2">
        <v>0</v>
      </c>
      <c r="E178" s="2">
        <v>1</v>
      </c>
      <c r="F178" s="2" t="s">
        <v>18</v>
      </c>
      <c r="G178" s="2">
        <v>14</v>
      </c>
      <c r="H178" s="2" t="b">
        <v>0</v>
      </c>
      <c r="I178" s="2">
        <v>6</v>
      </c>
      <c r="J178" s="2" t="s">
        <v>19</v>
      </c>
      <c r="K178" s="2">
        <v>1</v>
      </c>
      <c r="L178" s="2">
        <v>0.2</v>
      </c>
      <c r="M178" s="2">
        <v>0.16669999999999999</v>
      </c>
      <c r="N178" s="2">
        <v>0.32</v>
      </c>
      <c r="O178" s="2">
        <v>0.49249999999999999</v>
      </c>
      <c r="P178" s="2">
        <v>12</v>
      </c>
      <c r="Q178" s="2">
        <v>83</v>
      </c>
      <c r="R178" s="2">
        <v>95</v>
      </c>
    </row>
    <row r="179" spans="1:18" x14ac:dyDescent="0.3">
      <c r="A179" s="2">
        <v>177</v>
      </c>
      <c r="B179" s="4">
        <v>40551</v>
      </c>
      <c r="C179" s="2">
        <v>1</v>
      </c>
      <c r="D179" s="2">
        <v>0</v>
      </c>
      <c r="E179" s="2">
        <v>1</v>
      </c>
      <c r="F179" s="2" t="s">
        <v>18</v>
      </c>
      <c r="G179" s="2">
        <v>15</v>
      </c>
      <c r="H179" s="2" t="b">
        <v>0</v>
      </c>
      <c r="I179" s="2">
        <v>6</v>
      </c>
      <c r="J179" s="2" t="s">
        <v>19</v>
      </c>
      <c r="K179" s="2">
        <v>1</v>
      </c>
      <c r="L179" s="2">
        <v>0.2</v>
      </c>
      <c r="M179" s="2">
        <v>0.16669999999999999</v>
      </c>
      <c r="N179" s="2">
        <v>0.32</v>
      </c>
      <c r="O179" s="2">
        <v>0.44779999999999998</v>
      </c>
      <c r="P179" s="2">
        <v>5</v>
      </c>
      <c r="Q179" s="2">
        <v>69</v>
      </c>
      <c r="R179" s="2">
        <v>74</v>
      </c>
    </row>
    <row r="180" spans="1:18" x14ac:dyDescent="0.3">
      <c r="A180" s="2">
        <v>178</v>
      </c>
      <c r="B180" s="4">
        <v>40551</v>
      </c>
      <c r="C180" s="2">
        <v>1</v>
      </c>
      <c r="D180" s="2">
        <v>0</v>
      </c>
      <c r="E180" s="2">
        <v>1</v>
      </c>
      <c r="F180" s="2" t="s">
        <v>18</v>
      </c>
      <c r="G180" s="2">
        <v>16</v>
      </c>
      <c r="H180" s="2" t="b">
        <v>0</v>
      </c>
      <c r="I180" s="2">
        <v>6</v>
      </c>
      <c r="J180" s="2" t="s">
        <v>19</v>
      </c>
      <c r="K180" s="2">
        <v>1</v>
      </c>
      <c r="L180" s="2">
        <v>0.18</v>
      </c>
      <c r="M180" s="2">
        <v>0.13639999999999999</v>
      </c>
      <c r="N180" s="2">
        <v>0.28999999999999998</v>
      </c>
      <c r="O180" s="2">
        <v>0.44779999999999998</v>
      </c>
      <c r="P180" s="2">
        <v>8</v>
      </c>
      <c r="Q180" s="2">
        <v>68</v>
      </c>
      <c r="R180" s="2">
        <v>76</v>
      </c>
    </row>
    <row r="181" spans="1:18" x14ac:dyDescent="0.3">
      <c r="A181" s="2">
        <v>179</v>
      </c>
      <c r="B181" s="4">
        <v>40551</v>
      </c>
      <c r="C181" s="2">
        <v>1</v>
      </c>
      <c r="D181" s="2">
        <v>0</v>
      </c>
      <c r="E181" s="2">
        <v>1</v>
      </c>
      <c r="F181" s="2" t="s">
        <v>18</v>
      </c>
      <c r="G181" s="2">
        <v>17</v>
      </c>
      <c r="H181" s="2" t="b">
        <v>0</v>
      </c>
      <c r="I181" s="2">
        <v>6</v>
      </c>
      <c r="J181" s="2" t="s">
        <v>19</v>
      </c>
      <c r="K181" s="2">
        <v>1</v>
      </c>
      <c r="L181" s="2">
        <v>0.16</v>
      </c>
      <c r="M181" s="2">
        <v>0.1212</v>
      </c>
      <c r="N181" s="2">
        <v>0.37</v>
      </c>
      <c r="O181" s="2">
        <v>0.55220000000000002</v>
      </c>
      <c r="P181" s="2">
        <v>5</v>
      </c>
      <c r="Q181" s="2">
        <v>64</v>
      </c>
      <c r="R181" s="2">
        <v>69</v>
      </c>
    </row>
    <row r="182" spans="1:18" x14ac:dyDescent="0.3">
      <c r="A182" s="2">
        <v>180</v>
      </c>
      <c r="B182" s="4">
        <v>40551</v>
      </c>
      <c r="C182" s="2">
        <v>1</v>
      </c>
      <c r="D182" s="2">
        <v>0</v>
      </c>
      <c r="E182" s="2">
        <v>1</v>
      </c>
      <c r="F182" s="2" t="s">
        <v>18</v>
      </c>
      <c r="G182" s="2">
        <v>18</v>
      </c>
      <c r="H182" s="2" t="b">
        <v>0</v>
      </c>
      <c r="I182" s="2">
        <v>6</v>
      </c>
      <c r="J182" s="2" t="s">
        <v>19</v>
      </c>
      <c r="K182" s="2">
        <v>1</v>
      </c>
      <c r="L182" s="2">
        <v>0.14000000000000001</v>
      </c>
      <c r="M182" s="2">
        <v>0.1212</v>
      </c>
      <c r="N182" s="2">
        <v>0.39</v>
      </c>
      <c r="O182" s="2">
        <v>0.29849999999999999</v>
      </c>
      <c r="P182" s="2">
        <v>3</v>
      </c>
      <c r="Q182" s="2">
        <v>52</v>
      </c>
      <c r="R182" s="2">
        <v>55</v>
      </c>
    </row>
    <row r="183" spans="1:18" x14ac:dyDescent="0.3">
      <c r="A183" s="2">
        <v>181</v>
      </c>
      <c r="B183" s="4">
        <v>40551</v>
      </c>
      <c r="C183" s="2">
        <v>1</v>
      </c>
      <c r="D183" s="2">
        <v>0</v>
      </c>
      <c r="E183" s="2">
        <v>1</v>
      </c>
      <c r="F183" s="2" t="s">
        <v>18</v>
      </c>
      <c r="G183" s="2">
        <v>19</v>
      </c>
      <c r="H183" s="2" t="b">
        <v>0</v>
      </c>
      <c r="I183" s="2">
        <v>6</v>
      </c>
      <c r="J183" s="2" t="s">
        <v>19</v>
      </c>
      <c r="K183" s="2">
        <v>1</v>
      </c>
      <c r="L183" s="2">
        <v>0.14000000000000001</v>
      </c>
      <c r="M183" s="2">
        <v>0.1212</v>
      </c>
      <c r="N183" s="2">
        <v>0.36</v>
      </c>
      <c r="O183" s="2">
        <v>0.25369999999999998</v>
      </c>
      <c r="P183" s="2">
        <v>4</v>
      </c>
      <c r="Q183" s="2">
        <v>26</v>
      </c>
      <c r="R183" s="2">
        <v>30</v>
      </c>
    </row>
    <row r="184" spans="1:18" x14ac:dyDescent="0.3">
      <c r="A184" s="2">
        <v>182</v>
      </c>
      <c r="B184" s="4">
        <v>40551</v>
      </c>
      <c r="C184" s="2">
        <v>1</v>
      </c>
      <c r="D184" s="2">
        <v>0</v>
      </c>
      <c r="E184" s="2">
        <v>1</v>
      </c>
      <c r="F184" s="2" t="s">
        <v>18</v>
      </c>
      <c r="G184" s="2">
        <v>20</v>
      </c>
      <c r="H184" s="2" t="b">
        <v>0</v>
      </c>
      <c r="I184" s="2">
        <v>6</v>
      </c>
      <c r="J184" s="2" t="s">
        <v>19</v>
      </c>
      <c r="K184" s="2">
        <v>1</v>
      </c>
      <c r="L184" s="2">
        <v>0.12</v>
      </c>
      <c r="M184" s="2">
        <v>0.1212</v>
      </c>
      <c r="N184" s="2">
        <v>0.36</v>
      </c>
      <c r="O184" s="2">
        <v>0.25369999999999998</v>
      </c>
      <c r="P184" s="2">
        <v>0</v>
      </c>
      <c r="Q184" s="2">
        <v>28</v>
      </c>
      <c r="R184" s="2">
        <v>28</v>
      </c>
    </row>
    <row r="185" spans="1:18" x14ac:dyDescent="0.3">
      <c r="A185" s="2">
        <v>183</v>
      </c>
      <c r="B185" s="4">
        <v>40551</v>
      </c>
      <c r="C185" s="2">
        <v>1</v>
      </c>
      <c r="D185" s="2">
        <v>0</v>
      </c>
      <c r="E185" s="2">
        <v>1</v>
      </c>
      <c r="F185" s="2" t="s">
        <v>18</v>
      </c>
      <c r="G185" s="2">
        <v>21</v>
      </c>
      <c r="H185" s="2" t="b">
        <v>0</v>
      </c>
      <c r="I185" s="2">
        <v>6</v>
      </c>
      <c r="J185" s="2" t="s">
        <v>19</v>
      </c>
      <c r="K185" s="2">
        <v>1</v>
      </c>
      <c r="L185" s="2">
        <v>0.12</v>
      </c>
      <c r="M185" s="2">
        <v>0.1061</v>
      </c>
      <c r="N185" s="2">
        <v>0.39</v>
      </c>
      <c r="O185" s="2">
        <v>0.35820000000000002</v>
      </c>
      <c r="P185" s="2">
        <v>2</v>
      </c>
      <c r="Q185" s="2">
        <v>35</v>
      </c>
      <c r="R185" s="2">
        <v>37</v>
      </c>
    </row>
    <row r="186" spans="1:18" x14ac:dyDescent="0.3">
      <c r="A186" s="2">
        <v>184</v>
      </c>
      <c r="B186" s="4">
        <v>40551</v>
      </c>
      <c r="C186" s="2">
        <v>1</v>
      </c>
      <c r="D186" s="2">
        <v>0</v>
      </c>
      <c r="E186" s="2">
        <v>1</v>
      </c>
      <c r="F186" s="2" t="s">
        <v>18</v>
      </c>
      <c r="G186" s="2">
        <v>22</v>
      </c>
      <c r="H186" s="2" t="b">
        <v>0</v>
      </c>
      <c r="I186" s="2">
        <v>6</v>
      </c>
      <c r="J186" s="2" t="s">
        <v>19</v>
      </c>
      <c r="K186" s="2">
        <v>1</v>
      </c>
      <c r="L186" s="2">
        <v>0.12</v>
      </c>
      <c r="M186" s="2">
        <v>0.1061</v>
      </c>
      <c r="N186" s="2">
        <v>0.36</v>
      </c>
      <c r="O186" s="2">
        <v>0.3881</v>
      </c>
      <c r="P186" s="2">
        <v>1</v>
      </c>
      <c r="Q186" s="2">
        <v>33</v>
      </c>
      <c r="R186" s="2">
        <v>34</v>
      </c>
    </row>
    <row r="187" spans="1:18" x14ac:dyDescent="0.3">
      <c r="A187" s="2">
        <v>185</v>
      </c>
      <c r="B187" s="4">
        <v>40551</v>
      </c>
      <c r="C187" s="2">
        <v>1</v>
      </c>
      <c r="D187" s="2">
        <v>0</v>
      </c>
      <c r="E187" s="2">
        <v>1</v>
      </c>
      <c r="F187" s="2" t="s">
        <v>18</v>
      </c>
      <c r="G187" s="2">
        <v>23</v>
      </c>
      <c r="H187" s="2" t="b">
        <v>0</v>
      </c>
      <c r="I187" s="2">
        <v>6</v>
      </c>
      <c r="J187" s="2" t="s">
        <v>19</v>
      </c>
      <c r="K187" s="2">
        <v>1</v>
      </c>
      <c r="L187" s="2">
        <v>0.1</v>
      </c>
      <c r="M187" s="2">
        <v>6.0600000000000001E-2</v>
      </c>
      <c r="N187" s="2">
        <v>0.39</v>
      </c>
      <c r="O187" s="2">
        <v>0.44779999999999998</v>
      </c>
      <c r="P187" s="2">
        <v>0</v>
      </c>
      <c r="Q187" s="2">
        <v>22</v>
      </c>
      <c r="R187" s="2">
        <v>22</v>
      </c>
    </row>
    <row r="188" spans="1:18" x14ac:dyDescent="0.3">
      <c r="A188" s="2">
        <v>186</v>
      </c>
      <c r="B188" s="4">
        <v>40552</v>
      </c>
      <c r="C188" s="2">
        <v>1</v>
      </c>
      <c r="D188" s="2">
        <v>0</v>
      </c>
      <c r="E188" s="2">
        <v>1</v>
      </c>
      <c r="F188" s="2" t="s">
        <v>18</v>
      </c>
      <c r="G188" s="2">
        <v>0</v>
      </c>
      <c r="H188" s="2" t="b">
        <v>0</v>
      </c>
      <c r="I188" s="2">
        <v>0</v>
      </c>
      <c r="J188" s="2" t="s">
        <v>23</v>
      </c>
      <c r="K188" s="2">
        <v>1</v>
      </c>
      <c r="L188" s="2">
        <v>0.1</v>
      </c>
      <c r="M188" s="2">
        <v>7.5800000000000006E-2</v>
      </c>
      <c r="N188" s="2">
        <v>0.42</v>
      </c>
      <c r="O188" s="2">
        <v>0.3881</v>
      </c>
      <c r="P188" s="2">
        <v>1</v>
      </c>
      <c r="Q188" s="2">
        <v>24</v>
      </c>
      <c r="R188" s="2">
        <v>25</v>
      </c>
    </row>
    <row r="189" spans="1:18" x14ac:dyDescent="0.3">
      <c r="A189" s="2">
        <v>187</v>
      </c>
      <c r="B189" s="4">
        <v>40552</v>
      </c>
      <c r="C189" s="2">
        <v>1</v>
      </c>
      <c r="D189" s="2">
        <v>0</v>
      </c>
      <c r="E189" s="2">
        <v>1</v>
      </c>
      <c r="F189" s="2" t="s">
        <v>18</v>
      </c>
      <c r="G189" s="2">
        <v>1</v>
      </c>
      <c r="H189" s="2" t="b">
        <v>0</v>
      </c>
      <c r="I189" s="2">
        <v>0</v>
      </c>
      <c r="J189" s="2" t="s">
        <v>23</v>
      </c>
      <c r="K189" s="2">
        <v>1</v>
      </c>
      <c r="L189" s="2">
        <v>0.1</v>
      </c>
      <c r="M189" s="2">
        <v>6.0600000000000001E-2</v>
      </c>
      <c r="N189" s="2">
        <v>0.42</v>
      </c>
      <c r="O189" s="2">
        <v>0.4627</v>
      </c>
      <c r="P189" s="2">
        <v>0</v>
      </c>
      <c r="Q189" s="2">
        <v>12</v>
      </c>
      <c r="R189" s="2">
        <v>12</v>
      </c>
    </row>
    <row r="190" spans="1:18" x14ac:dyDescent="0.3">
      <c r="A190" s="2">
        <v>188</v>
      </c>
      <c r="B190" s="4">
        <v>40552</v>
      </c>
      <c r="C190" s="2">
        <v>1</v>
      </c>
      <c r="D190" s="2">
        <v>0</v>
      </c>
      <c r="E190" s="2">
        <v>1</v>
      </c>
      <c r="F190" s="2" t="s">
        <v>18</v>
      </c>
      <c r="G190" s="2">
        <v>2</v>
      </c>
      <c r="H190" s="2" t="b">
        <v>0</v>
      </c>
      <c r="I190" s="2">
        <v>0</v>
      </c>
      <c r="J190" s="2" t="s">
        <v>23</v>
      </c>
      <c r="K190" s="2">
        <v>1</v>
      </c>
      <c r="L190" s="2">
        <v>0.1</v>
      </c>
      <c r="M190" s="2">
        <v>6.0600000000000001E-2</v>
      </c>
      <c r="N190" s="2">
        <v>0.46</v>
      </c>
      <c r="O190" s="2">
        <v>0.4627</v>
      </c>
      <c r="P190" s="2">
        <v>0</v>
      </c>
      <c r="Q190" s="2">
        <v>11</v>
      </c>
      <c r="R190" s="2">
        <v>11</v>
      </c>
    </row>
    <row r="191" spans="1:18" x14ac:dyDescent="0.3">
      <c r="A191" s="2">
        <v>189</v>
      </c>
      <c r="B191" s="4">
        <v>40552</v>
      </c>
      <c r="C191" s="2">
        <v>1</v>
      </c>
      <c r="D191" s="2">
        <v>0</v>
      </c>
      <c r="E191" s="2">
        <v>1</v>
      </c>
      <c r="F191" s="2" t="s">
        <v>18</v>
      </c>
      <c r="G191" s="2">
        <v>3</v>
      </c>
      <c r="H191" s="2" t="b">
        <v>0</v>
      </c>
      <c r="I191" s="2">
        <v>0</v>
      </c>
      <c r="J191" s="2" t="s">
        <v>23</v>
      </c>
      <c r="K191" s="2">
        <v>1</v>
      </c>
      <c r="L191" s="2">
        <v>0.1</v>
      </c>
      <c r="M191" s="2">
        <v>7.5800000000000006E-2</v>
      </c>
      <c r="N191" s="2">
        <v>0.46</v>
      </c>
      <c r="O191" s="2">
        <v>0.41789999999999999</v>
      </c>
      <c r="P191" s="2">
        <v>0</v>
      </c>
      <c r="Q191" s="2">
        <v>4</v>
      </c>
      <c r="R191" s="2">
        <v>4</v>
      </c>
    </row>
    <row r="192" spans="1:18" x14ac:dyDescent="0.3">
      <c r="A192" s="2">
        <v>190</v>
      </c>
      <c r="B192" s="4">
        <v>40552</v>
      </c>
      <c r="C192" s="2">
        <v>1</v>
      </c>
      <c r="D192" s="2">
        <v>0</v>
      </c>
      <c r="E192" s="2">
        <v>1</v>
      </c>
      <c r="F192" s="2" t="s">
        <v>18</v>
      </c>
      <c r="G192" s="2">
        <v>4</v>
      </c>
      <c r="H192" s="2" t="b">
        <v>0</v>
      </c>
      <c r="I192" s="2">
        <v>0</v>
      </c>
      <c r="J192" s="2" t="s">
        <v>23</v>
      </c>
      <c r="K192" s="2">
        <v>1</v>
      </c>
      <c r="L192" s="2">
        <v>0.08</v>
      </c>
      <c r="M192" s="2">
        <v>9.0899999999999995E-2</v>
      </c>
      <c r="N192" s="2">
        <v>0.53</v>
      </c>
      <c r="O192" s="2">
        <v>0.19400000000000001</v>
      </c>
      <c r="P192" s="2">
        <v>0</v>
      </c>
      <c r="Q192" s="2">
        <v>1</v>
      </c>
      <c r="R192" s="2">
        <v>1</v>
      </c>
    </row>
    <row r="193" spans="1:18" x14ac:dyDescent="0.3">
      <c r="A193" s="2">
        <v>191</v>
      </c>
      <c r="B193" s="4">
        <v>40552</v>
      </c>
      <c r="C193" s="2">
        <v>1</v>
      </c>
      <c r="D193" s="2">
        <v>0</v>
      </c>
      <c r="E193" s="2">
        <v>1</v>
      </c>
      <c r="F193" s="2" t="s">
        <v>18</v>
      </c>
      <c r="G193" s="2">
        <v>5</v>
      </c>
      <c r="H193" s="2" t="b">
        <v>0</v>
      </c>
      <c r="I193" s="2">
        <v>0</v>
      </c>
      <c r="J193" s="2" t="s">
        <v>23</v>
      </c>
      <c r="K193" s="2">
        <v>1</v>
      </c>
      <c r="L193" s="2">
        <v>0.08</v>
      </c>
      <c r="M193" s="2">
        <v>9.0899999999999995E-2</v>
      </c>
      <c r="N193" s="2">
        <v>0.53</v>
      </c>
      <c r="O193" s="2">
        <v>0.19400000000000001</v>
      </c>
      <c r="P193" s="2">
        <v>0</v>
      </c>
      <c r="Q193" s="2">
        <v>1</v>
      </c>
      <c r="R193" s="2">
        <v>1</v>
      </c>
    </row>
    <row r="194" spans="1:18" x14ac:dyDescent="0.3">
      <c r="A194" s="2">
        <v>192</v>
      </c>
      <c r="B194" s="4">
        <v>40552</v>
      </c>
      <c r="C194" s="2">
        <v>1</v>
      </c>
      <c r="D194" s="2">
        <v>0</v>
      </c>
      <c r="E194" s="2">
        <v>1</v>
      </c>
      <c r="F194" s="2" t="s">
        <v>18</v>
      </c>
      <c r="G194" s="2">
        <v>6</v>
      </c>
      <c r="H194" s="2" t="b">
        <v>0</v>
      </c>
      <c r="I194" s="2">
        <v>0</v>
      </c>
      <c r="J194" s="2" t="s">
        <v>23</v>
      </c>
      <c r="K194" s="2">
        <v>1</v>
      </c>
      <c r="L194" s="2">
        <v>0.1</v>
      </c>
      <c r="M194" s="2">
        <v>9.0899999999999995E-2</v>
      </c>
      <c r="N194" s="2">
        <v>0.49</v>
      </c>
      <c r="O194" s="2">
        <v>0.28360000000000002</v>
      </c>
      <c r="P194" s="2">
        <v>0</v>
      </c>
      <c r="Q194" s="2">
        <v>1</v>
      </c>
      <c r="R194" s="2">
        <v>1</v>
      </c>
    </row>
    <row r="195" spans="1:18" x14ac:dyDescent="0.3">
      <c r="A195" s="2">
        <v>193</v>
      </c>
      <c r="B195" s="4">
        <v>40552</v>
      </c>
      <c r="C195" s="2">
        <v>1</v>
      </c>
      <c r="D195" s="2">
        <v>0</v>
      </c>
      <c r="E195" s="2">
        <v>1</v>
      </c>
      <c r="F195" s="2" t="s">
        <v>18</v>
      </c>
      <c r="G195" s="2">
        <v>7</v>
      </c>
      <c r="H195" s="2" t="b">
        <v>0</v>
      </c>
      <c r="I195" s="2">
        <v>0</v>
      </c>
      <c r="J195" s="2" t="s">
        <v>23</v>
      </c>
      <c r="K195" s="2">
        <v>1</v>
      </c>
      <c r="L195" s="2">
        <v>0.08</v>
      </c>
      <c r="M195" s="2">
        <v>9.0899999999999995E-2</v>
      </c>
      <c r="N195" s="2">
        <v>0.53</v>
      </c>
      <c r="O195" s="2">
        <v>0.19400000000000001</v>
      </c>
      <c r="P195" s="2">
        <v>1</v>
      </c>
      <c r="Q195" s="2">
        <v>5</v>
      </c>
      <c r="R195" s="2">
        <v>6</v>
      </c>
    </row>
    <row r="196" spans="1:18" x14ac:dyDescent="0.3">
      <c r="A196" s="2">
        <v>194</v>
      </c>
      <c r="B196" s="4">
        <v>40552</v>
      </c>
      <c r="C196" s="2">
        <v>1</v>
      </c>
      <c r="D196" s="2">
        <v>0</v>
      </c>
      <c r="E196" s="2">
        <v>1</v>
      </c>
      <c r="F196" s="2" t="s">
        <v>18</v>
      </c>
      <c r="G196" s="2">
        <v>8</v>
      </c>
      <c r="H196" s="2" t="b">
        <v>0</v>
      </c>
      <c r="I196" s="2">
        <v>0</v>
      </c>
      <c r="J196" s="2" t="s">
        <v>23</v>
      </c>
      <c r="K196" s="2">
        <v>1</v>
      </c>
      <c r="L196" s="2">
        <v>0.1</v>
      </c>
      <c r="M196" s="2">
        <v>9.0899999999999995E-2</v>
      </c>
      <c r="N196" s="2">
        <v>0.49</v>
      </c>
      <c r="O196" s="2">
        <v>0.28360000000000002</v>
      </c>
      <c r="P196" s="2">
        <v>0</v>
      </c>
      <c r="Q196" s="2">
        <v>10</v>
      </c>
      <c r="R196" s="2">
        <v>10</v>
      </c>
    </row>
    <row r="197" spans="1:18" x14ac:dyDescent="0.3">
      <c r="A197" s="2">
        <v>195</v>
      </c>
      <c r="B197" s="4">
        <v>40552</v>
      </c>
      <c r="C197" s="2">
        <v>1</v>
      </c>
      <c r="D197" s="2">
        <v>0</v>
      </c>
      <c r="E197" s="2">
        <v>1</v>
      </c>
      <c r="F197" s="2" t="s">
        <v>18</v>
      </c>
      <c r="G197" s="2">
        <v>9</v>
      </c>
      <c r="H197" s="2" t="b">
        <v>0</v>
      </c>
      <c r="I197" s="2">
        <v>0</v>
      </c>
      <c r="J197" s="2" t="s">
        <v>23</v>
      </c>
      <c r="K197" s="2">
        <v>1</v>
      </c>
      <c r="L197" s="2">
        <v>0.12</v>
      </c>
      <c r="M197" s="2">
        <v>7.5800000000000006E-2</v>
      </c>
      <c r="N197" s="2">
        <v>0.46</v>
      </c>
      <c r="O197" s="2">
        <v>0.52239999999999998</v>
      </c>
      <c r="P197" s="2">
        <v>0</v>
      </c>
      <c r="Q197" s="2">
        <v>19</v>
      </c>
      <c r="R197" s="2">
        <v>19</v>
      </c>
    </row>
    <row r="198" spans="1:18" x14ac:dyDescent="0.3">
      <c r="A198" s="2">
        <v>196</v>
      </c>
      <c r="B198" s="4">
        <v>40552</v>
      </c>
      <c r="C198" s="2">
        <v>1</v>
      </c>
      <c r="D198" s="2">
        <v>0</v>
      </c>
      <c r="E198" s="2">
        <v>1</v>
      </c>
      <c r="F198" s="2" t="s">
        <v>18</v>
      </c>
      <c r="G198" s="2">
        <v>10</v>
      </c>
      <c r="H198" s="2" t="b">
        <v>0</v>
      </c>
      <c r="I198" s="2">
        <v>0</v>
      </c>
      <c r="J198" s="2" t="s">
        <v>23</v>
      </c>
      <c r="K198" s="2">
        <v>1</v>
      </c>
      <c r="L198" s="2">
        <v>0.14000000000000001</v>
      </c>
      <c r="M198" s="2">
        <v>0.1061</v>
      </c>
      <c r="N198" s="2">
        <v>0.43</v>
      </c>
      <c r="O198" s="2">
        <v>0.3881</v>
      </c>
      <c r="P198" s="2">
        <v>0</v>
      </c>
      <c r="Q198" s="2">
        <v>49</v>
      </c>
      <c r="R198" s="2">
        <v>49</v>
      </c>
    </row>
    <row r="199" spans="1:18" x14ac:dyDescent="0.3">
      <c r="A199" s="2">
        <v>197</v>
      </c>
      <c r="B199" s="4">
        <v>40552</v>
      </c>
      <c r="C199" s="2">
        <v>1</v>
      </c>
      <c r="D199" s="2">
        <v>0</v>
      </c>
      <c r="E199" s="2">
        <v>1</v>
      </c>
      <c r="F199" s="2" t="s">
        <v>18</v>
      </c>
      <c r="G199" s="2">
        <v>11</v>
      </c>
      <c r="H199" s="2" t="b">
        <v>0</v>
      </c>
      <c r="I199" s="2">
        <v>0</v>
      </c>
      <c r="J199" s="2" t="s">
        <v>23</v>
      </c>
      <c r="K199" s="2">
        <v>1</v>
      </c>
      <c r="L199" s="2">
        <v>0.16</v>
      </c>
      <c r="M199" s="2">
        <v>0.1212</v>
      </c>
      <c r="N199" s="2">
        <v>0.4</v>
      </c>
      <c r="O199" s="2">
        <v>0.52239999999999998</v>
      </c>
      <c r="P199" s="2">
        <v>2</v>
      </c>
      <c r="Q199" s="2">
        <v>47</v>
      </c>
      <c r="R199" s="2">
        <v>49</v>
      </c>
    </row>
    <row r="200" spans="1:18" x14ac:dyDescent="0.3">
      <c r="A200" s="2">
        <v>198</v>
      </c>
      <c r="B200" s="4">
        <v>40552</v>
      </c>
      <c r="C200" s="2">
        <v>1</v>
      </c>
      <c r="D200" s="2">
        <v>0</v>
      </c>
      <c r="E200" s="2">
        <v>1</v>
      </c>
      <c r="F200" s="2" t="s">
        <v>18</v>
      </c>
      <c r="G200" s="2">
        <v>12</v>
      </c>
      <c r="H200" s="2" t="b">
        <v>0</v>
      </c>
      <c r="I200" s="2">
        <v>0</v>
      </c>
      <c r="J200" s="2" t="s">
        <v>23</v>
      </c>
      <c r="K200" s="2">
        <v>1</v>
      </c>
      <c r="L200" s="2">
        <v>0.18</v>
      </c>
      <c r="M200" s="2">
        <v>0.13639999999999999</v>
      </c>
      <c r="N200" s="2">
        <v>0.37</v>
      </c>
      <c r="O200" s="2">
        <v>0.44779999999999998</v>
      </c>
      <c r="P200" s="2">
        <v>4</v>
      </c>
      <c r="Q200" s="2">
        <v>79</v>
      </c>
      <c r="R200" s="2">
        <v>83</v>
      </c>
    </row>
    <row r="201" spans="1:18" x14ac:dyDescent="0.3">
      <c r="A201" s="2">
        <v>199</v>
      </c>
      <c r="B201" s="4">
        <v>40552</v>
      </c>
      <c r="C201" s="2">
        <v>1</v>
      </c>
      <c r="D201" s="2">
        <v>0</v>
      </c>
      <c r="E201" s="2">
        <v>1</v>
      </c>
      <c r="F201" s="2" t="s">
        <v>18</v>
      </c>
      <c r="G201" s="2">
        <v>13</v>
      </c>
      <c r="H201" s="2" t="b">
        <v>0</v>
      </c>
      <c r="I201" s="2">
        <v>0</v>
      </c>
      <c r="J201" s="2" t="s">
        <v>23</v>
      </c>
      <c r="K201" s="2">
        <v>1</v>
      </c>
      <c r="L201" s="2">
        <v>0.2</v>
      </c>
      <c r="M201" s="2">
        <v>0.16669999999999999</v>
      </c>
      <c r="N201" s="2">
        <v>0.34</v>
      </c>
      <c r="O201" s="2">
        <v>0.44779999999999998</v>
      </c>
      <c r="P201" s="2">
        <v>6</v>
      </c>
      <c r="Q201" s="2">
        <v>69</v>
      </c>
      <c r="R201" s="2">
        <v>75</v>
      </c>
    </row>
    <row r="202" spans="1:18" x14ac:dyDescent="0.3">
      <c r="A202" s="2">
        <v>200</v>
      </c>
      <c r="B202" s="4">
        <v>40552</v>
      </c>
      <c r="C202" s="2">
        <v>1</v>
      </c>
      <c r="D202" s="2">
        <v>0</v>
      </c>
      <c r="E202" s="2">
        <v>1</v>
      </c>
      <c r="F202" s="2" t="s">
        <v>18</v>
      </c>
      <c r="G202" s="2">
        <v>14</v>
      </c>
      <c r="H202" s="2" t="b">
        <v>0</v>
      </c>
      <c r="I202" s="2">
        <v>0</v>
      </c>
      <c r="J202" s="2" t="s">
        <v>23</v>
      </c>
      <c r="K202" s="2">
        <v>1</v>
      </c>
      <c r="L202" s="2">
        <v>0.22</v>
      </c>
      <c r="M202" s="2">
        <v>0.18179999999999999</v>
      </c>
      <c r="N202" s="2">
        <v>0.32</v>
      </c>
      <c r="O202" s="2">
        <v>0.4627</v>
      </c>
      <c r="P202" s="2">
        <v>8</v>
      </c>
      <c r="Q202" s="2">
        <v>64</v>
      </c>
      <c r="R202" s="2">
        <v>72</v>
      </c>
    </row>
    <row r="203" spans="1:18" x14ac:dyDescent="0.3">
      <c r="A203" s="2">
        <v>201</v>
      </c>
      <c r="B203" s="4">
        <v>40552</v>
      </c>
      <c r="C203" s="2">
        <v>1</v>
      </c>
      <c r="D203" s="2">
        <v>0</v>
      </c>
      <c r="E203" s="2">
        <v>1</v>
      </c>
      <c r="F203" s="2" t="s">
        <v>18</v>
      </c>
      <c r="G203" s="2">
        <v>15</v>
      </c>
      <c r="H203" s="2" t="b">
        <v>0</v>
      </c>
      <c r="I203" s="2">
        <v>0</v>
      </c>
      <c r="J203" s="2" t="s">
        <v>23</v>
      </c>
      <c r="K203" s="2">
        <v>1</v>
      </c>
      <c r="L203" s="2">
        <v>0.22</v>
      </c>
      <c r="M203" s="2">
        <v>0.19700000000000001</v>
      </c>
      <c r="N203" s="2">
        <v>0.35</v>
      </c>
      <c r="O203" s="2">
        <v>0.35820000000000002</v>
      </c>
      <c r="P203" s="2">
        <v>5</v>
      </c>
      <c r="Q203" s="2">
        <v>77</v>
      </c>
      <c r="R203" s="2">
        <v>82</v>
      </c>
    </row>
    <row r="204" spans="1:18" x14ac:dyDescent="0.3">
      <c r="A204" s="2">
        <v>202</v>
      </c>
      <c r="B204" s="4">
        <v>40552</v>
      </c>
      <c r="C204" s="2">
        <v>1</v>
      </c>
      <c r="D204" s="2">
        <v>0</v>
      </c>
      <c r="E204" s="2">
        <v>1</v>
      </c>
      <c r="F204" s="2" t="s">
        <v>18</v>
      </c>
      <c r="G204" s="2">
        <v>16</v>
      </c>
      <c r="H204" s="2" t="b">
        <v>0</v>
      </c>
      <c r="I204" s="2">
        <v>0</v>
      </c>
      <c r="J204" s="2" t="s">
        <v>23</v>
      </c>
      <c r="K204" s="2">
        <v>1</v>
      </c>
      <c r="L204" s="2">
        <v>0.2</v>
      </c>
      <c r="M204" s="2">
        <v>0.16669999999999999</v>
      </c>
      <c r="N204" s="2">
        <v>0.34</v>
      </c>
      <c r="O204" s="2">
        <v>0.44779999999999998</v>
      </c>
      <c r="P204" s="2">
        <v>13</v>
      </c>
      <c r="Q204" s="2">
        <v>79</v>
      </c>
      <c r="R204" s="2">
        <v>92</v>
      </c>
    </row>
    <row r="205" spans="1:18" x14ac:dyDescent="0.3">
      <c r="A205" s="2">
        <v>203</v>
      </c>
      <c r="B205" s="4">
        <v>40552</v>
      </c>
      <c r="C205" s="2">
        <v>1</v>
      </c>
      <c r="D205" s="2">
        <v>0</v>
      </c>
      <c r="E205" s="2">
        <v>1</v>
      </c>
      <c r="F205" s="2" t="s">
        <v>18</v>
      </c>
      <c r="G205" s="2">
        <v>17</v>
      </c>
      <c r="H205" s="2" t="b">
        <v>0</v>
      </c>
      <c r="I205" s="2">
        <v>0</v>
      </c>
      <c r="J205" s="2" t="s">
        <v>23</v>
      </c>
      <c r="K205" s="2">
        <v>1</v>
      </c>
      <c r="L205" s="2">
        <v>0.18</v>
      </c>
      <c r="M205" s="2">
        <v>0.1515</v>
      </c>
      <c r="N205" s="2">
        <v>0.37</v>
      </c>
      <c r="O205" s="2">
        <v>0.3881</v>
      </c>
      <c r="P205" s="2">
        <v>3</v>
      </c>
      <c r="Q205" s="2">
        <v>59</v>
      </c>
      <c r="R205" s="2">
        <v>62</v>
      </c>
    </row>
    <row r="206" spans="1:18" x14ac:dyDescent="0.3">
      <c r="A206" s="2">
        <v>204</v>
      </c>
      <c r="B206" s="4">
        <v>40552</v>
      </c>
      <c r="C206" s="2">
        <v>1</v>
      </c>
      <c r="D206" s="2">
        <v>0</v>
      </c>
      <c r="E206" s="2">
        <v>1</v>
      </c>
      <c r="F206" s="2" t="s">
        <v>18</v>
      </c>
      <c r="G206" s="2">
        <v>18</v>
      </c>
      <c r="H206" s="2" t="b">
        <v>0</v>
      </c>
      <c r="I206" s="2">
        <v>0</v>
      </c>
      <c r="J206" s="2" t="s">
        <v>23</v>
      </c>
      <c r="K206" s="2">
        <v>1</v>
      </c>
      <c r="L206" s="2">
        <v>0.16</v>
      </c>
      <c r="M206" s="2">
        <v>0.13639999999999999</v>
      </c>
      <c r="N206" s="2">
        <v>0.4</v>
      </c>
      <c r="O206" s="2">
        <v>0.32840000000000003</v>
      </c>
      <c r="P206" s="2">
        <v>4</v>
      </c>
      <c r="Q206" s="2">
        <v>44</v>
      </c>
      <c r="R206" s="2">
        <v>48</v>
      </c>
    </row>
    <row r="207" spans="1:18" x14ac:dyDescent="0.3">
      <c r="A207" s="2">
        <v>205</v>
      </c>
      <c r="B207" s="4">
        <v>40552</v>
      </c>
      <c r="C207" s="2">
        <v>1</v>
      </c>
      <c r="D207" s="2">
        <v>0</v>
      </c>
      <c r="E207" s="2">
        <v>1</v>
      </c>
      <c r="F207" s="2" t="s">
        <v>18</v>
      </c>
      <c r="G207" s="2">
        <v>19</v>
      </c>
      <c r="H207" s="2" t="b">
        <v>0</v>
      </c>
      <c r="I207" s="2">
        <v>0</v>
      </c>
      <c r="J207" s="2" t="s">
        <v>23</v>
      </c>
      <c r="K207" s="2">
        <v>1</v>
      </c>
      <c r="L207" s="2">
        <v>0.16</v>
      </c>
      <c r="M207" s="2">
        <v>0.13639999999999999</v>
      </c>
      <c r="N207" s="2">
        <v>0.43</v>
      </c>
      <c r="O207" s="2">
        <v>0.32840000000000003</v>
      </c>
      <c r="P207" s="2">
        <v>1</v>
      </c>
      <c r="Q207" s="2">
        <v>40</v>
      </c>
      <c r="R207" s="2">
        <v>41</v>
      </c>
    </row>
    <row r="208" spans="1:18" x14ac:dyDescent="0.3">
      <c r="A208" s="2">
        <v>206</v>
      </c>
      <c r="B208" s="4">
        <v>40552</v>
      </c>
      <c r="C208" s="2">
        <v>1</v>
      </c>
      <c r="D208" s="2">
        <v>0</v>
      </c>
      <c r="E208" s="2">
        <v>1</v>
      </c>
      <c r="F208" s="2" t="s">
        <v>18</v>
      </c>
      <c r="G208" s="2">
        <v>20</v>
      </c>
      <c r="H208" s="2" t="b">
        <v>0</v>
      </c>
      <c r="I208" s="2">
        <v>0</v>
      </c>
      <c r="J208" s="2" t="s">
        <v>23</v>
      </c>
      <c r="K208" s="2">
        <v>1</v>
      </c>
      <c r="L208" s="2">
        <v>0.14000000000000001</v>
      </c>
      <c r="M208" s="2">
        <v>0.1212</v>
      </c>
      <c r="N208" s="2">
        <v>0.46</v>
      </c>
      <c r="O208" s="2">
        <v>0.25369999999999998</v>
      </c>
      <c r="P208" s="2">
        <v>0</v>
      </c>
      <c r="Q208" s="2">
        <v>38</v>
      </c>
      <c r="R208" s="2">
        <v>38</v>
      </c>
    </row>
    <row r="209" spans="1:18" x14ac:dyDescent="0.3">
      <c r="A209" s="2">
        <v>207</v>
      </c>
      <c r="B209" s="4">
        <v>40552</v>
      </c>
      <c r="C209" s="2">
        <v>1</v>
      </c>
      <c r="D209" s="2">
        <v>0</v>
      </c>
      <c r="E209" s="2">
        <v>1</v>
      </c>
      <c r="F209" s="2" t="s">
        <v>18</v>
      </c>
      <c r="G209" s="2">
        <v>21</v>
      </c>
      <c r="H209" s="2" t="b">
        <v>0</v>
      </c>
      <c r="I209" s="2">
        <v>0</v>
      </c>
      <c r="J209" s="2" t="s">
        <v>23</v>
      </c>
      <c r="K209" s="2">
        <v>1</v>
      </c>
      <c r="L209" s="2">
        <v>0.14000000000000001</v>
      </c>
      <c r="M209" s="2">
        <v>0.1061</v>
      </c>
      <c r="N209" s="2">
        <v>0.46</v>
      </c>
      <c r="O209" s="2">
        <v>0.41789999999999999</v>
      </c>
      <c r="P209" s="2">
        <v>1</v>
      </c>
      <c r="Q209" s="2">
        <v>19</v>
      </c>
      <c r="R209" s="2">
        <v>20</v>
      </c>
    </row>
    <row r="210" spans="1:18" x14ac:dyDescent="0.3">
      <c r="A210" s="2">
        <v>208</v>
      </c>
      <c r="B210" s="4">
        <v>40552</v>
      </c>
      <c r="C210" s="2">
        <v>1</v>
      </c>
      <c r="D210" s="2">
        <v>0</v>
      </c>
      <c r="E210" s="2">
        <v>1</v>
      </c>
      <c r="F210" s="2" t="s">
        <v>18</v>
      </c>
      <c r="G210" s="2">
        <v>22</v>
      </c>
      <c r="H210" s="2" t="b">
        <v>0</v>
      </c>
      <c r="I210" s="2">
        <v>0</v>
      </c>
      <c r="J210" s="2" t="s">
        <v>23</v>
      </c>
      <c r="K210" s="2">
        <v>1</v>
      </c>
      <c r="L210" s="2">
        <v>0.14000000000000001</v>
      </c>
      <c r="M210" s="2">
        <v>0.1212</v>
      </c>
      <c r="N210" s="2">
        <v>0.46</v>
      </c>
      <c r="O210" s="2">
        <v>0.29849999999999999</v>
      </c>
      <c r="P210" s="2">
        <v>5</v>
      </c>
      <c r="Q210" s="2">
        <v>10</v>
      </c>
      <c r="R210" s="2">
        <v>15</v>
      </c>
    </row>
    <row r="211" spans="1:18" x14ac:dyDescent="0.3">
      <c r="A211" s="2">
        <v>209</v>
      </c>
      <c r="B211" s="4">
        <v>40552</v>
      </c>
      <c r="C211" s="2">
        <v>1</v>
      </c>
      <c r="D211" s="2">
        <v>0</v>
      </c>
      <c r="E211" s="2">
        <v>1</v>
      </c>
      <c r="F211" s="2" t="s">
        <v>18</v>
      </c>
      <c r="G211" s="2">
        <v>23</v>
      </c>
      <c r="H211" s="2" t="b">
        <v>0</v>
      </c>
      <c r="I211" s="2">
        <v>0</v>
      </c>
      <c r="J211" s="2" t="s">
        <v>24</v>
      </c>
      <c r="K211" s="2">
        <v>1</v>
      </c>
      <c r="L211" s="2">
        <v>0.12</v>
      </c>
      <c r="M211" s="2">
        <v>0.13639999999999999</v>
      </c>
      <c r="N211" s="2">
        <v>0.5</v>
      </c>
      <c r="O211" s="2">
        <v>0.19400000000000001</v>
      </c>
      <c r="P211" s="2">
        <v>0</v>
      </c>
      <c r="Q211" s="2">
        <v>6</v>
      </c>
      <c r="R211" s="2">
        <v>6</v>
      </c>
    </row>
    <row r="212" spans="1:18" x14ac:dyDescent="0.3">
      <c r="A212" s="2">
        <v>210</v>
      </c>
      <c r="B212" s="4">
        <v>40553</v>
      </c>
      <c r="C212" s="2">
        <v>1</v>
      </c>
      <c r="D212" s="2">
        <v>0</v>
      </c>
      <c r="E212" s="2">
        <v>1</v>
      </c>
      <c r="F212" s="2" t="s">
        <v>18</v>
      </c>
      <c r="G212" s="2">
        <v>0</v>
      </c>
      <c r="H212" s="2" t="b">
        <v>0</v>
      </c>
      <c r="I212" s="2">
        <v>1</v>
      </c>
      <c r="J212" s="2" t="s">
        <v>24</v>
      </c>
      <c r="K212" s="2">
        <v>1</v>
      </c>
      <c r="L212" s="2">
        <v>0.12</v>
      </c>
      <c r="M212" s="2">
        <v>0.1212</v>
      </c>
      <c r="N212" s="2">
        <v>0.5</v>
      </c>
      <c r="O212" s="2">
        <v>0.28360000000000002</v>
      </c>
      <c r="P212" s="2">
        <v>2</v>
      </c>
      <c r="Q212" s="2">
        <v>3</v>
      </c>
      <c r="R212" s="2">
        <v>5</v>
      </c>
    </row>
    <row r="213" spans="1:18" x14ac:dyDescent="0.3">
      <c r="A213" s="2">
        <v>211</v>
      </c>
      <c r="B213" s="4">
        <v>40553</v>
      </c>
      <c r="C213" s="2">
        <v>1</v>
      </c>
      <c r="D213" s="2">
        <v>0</v>
      </c>
      <c r="E213" s="2">
        <v>1</v>
      </c>
      <c r="F213" s="2" t="s">
        <v>18</v>
      </c>
      <c r="G213" s="2">
        <v>1</v>
      </c>
      <c r="H213" s="2" t="b">
        <v>0</v>
      </c>
      <c r="I213" s="2">
        <v>1</v>
      </c>
      <c r="J213" s="2" t="s">
        <v>24</v>
      </c>
      <c r="K213" s="2">
        <v>1</v>
      </c>
      <c r="L213" s="2">
        <v>0.12</v>
      </c>
      <c r="M213" s="2">
        <v>0.1212</v>
      </c>
      <c r="N213" s="2">
        <v>0.5</v>
      </c>
      <c r="O213" s="2">
        <v>0.28360000000000002</v>
      </c>
      <c r="P213" s="2">
        <v>1</v>
      </c>
      <c r="Q213" s="2">
        <v>0</v>
      </c>
      <c r="R213" s="2">
        <v>1</v>
      </c>
    </row>
    <row r="214" spans="1:18" x14ac:dyDescent="0.3">
      <c r="A214" s="2">
        <v>212</v>
      </c>
      <c r="B214" s="4">
        <v>40553</v>
      </c>
      <c r="C214" s="2">
        <v>1</v>
      </c>
      <c r="D214" s="2">
        <v>0</v>
      </c>
      <c r="E214" s="2">
        <v>1</v>
      </c>
      <c r="F214" s="2" t="s">
        <v>18</v>
      </c>
      <c r="G214" s="2">
        <v>2</v>
      </c>
      <c r="H214" s="2" t="b">
        <v>0</v>
      </c>
      <c r="I214" s="2">
        <v>1</v>
      </c>
      <c r="J214" s="2" t="s">
        <v>24</v>
      </c>
      <c r="K214" s="2">
        <v>1</v>
      </c>
      <c r="L214" s="2">
        <v>0.12</v>
      </c>
      <c r="M214" s="2">
        <v>0.1212</v>
      </c>
      <c r="N214" s="2">
        <v>0.5</v>
      </c>
      <c r="O214" s="2">
        <v>0.22389999999999999</v>
      </c>
      <c r="P214" s="2">
        <v>0</v>
      </c>
      <c r="Q214" s="2">
        <v>3</v>
      </c>
      <c r="R214" s="2">
        <v>3</v>
      </c>
    </row>
    <row r="215" spans="1:18" x14ac:dyDescent="0.3">
      <c r="A215" s="2">
        <v>213</v>
      </c>
      <c r="B215" s="4">
        <v>40553</v>
      </c>
      <c r="C215" s="2">
        <v>1</v>
      </c>
      <c r="D215" s="2">
        <v>0</v>
      </c>
      <c r="E215" s="2">
        <v>1</v>
      </c>
      <c r="F215" s="2" t="s">
        <v>18</v>
      </c>
      <c r="G215" s="2">
        <v>3</v>
      </c>
      <c r="H215" s="2" t="b">
        <v>0</v>
      </c>
      <c r="I215" s="2">
        <v>1</v>
      </c>
      <c r="J215" s="2" t="s">
        <v>24</v>
      </c>
      <c r="K215" s="2">
        <v>1</v>
      </c>
      <c r="L215" s="2">
        <v>0.12</v>
      </c>
      <c r="M215" s="2">
        <v>0.1212</v>
      </c>
      <c r="N215" s="2">
        <v>0.5</v>
      </c>
      <c r="O215" s="2">
        <v>0.22389999999999999</v>
      </c>
      <c r="P215" s="2">
        <v>0</v>
      </c>
      <c r="Q215" s="2">
        <v>1</v>
      </c>
      <c r="R215" s="2">
        <v>1</v>
      </c>
    </row>
    <row r="216" spans="1:18" x14ac:dyDescent="0.3">
      <c r="A216" s="2">
        <v>214</v>
      </c>
      <c r="B216" s="4">
        <v>40553</v>
      </c>
      <c r="C216" s="2">
        <v>1</v>
      </c>
      <c r="D216" s="2">
        <v>0</v>
      </c>
      <c r="E216" s="2">
        <v>1</v>
      </c>
      <c r="F216" s="2" t="s">
        <v>18</v>
      </c>
      <c r="G216" s="2">
        <v>4</v>
      </c>
      <c r="H216" s="2" t="b">
        <v>0</v>
      </c>
      <c r="I216" s="2">
        <v>1</v>
      </c>
      <c r="J216" s="2" t="s">
        <v>24</v>
      </c>
      <c r="K216" s="2">
        <v>1</v>
      </c>
      <c r="L216" s="2">
        <v>0.1</v>
      </c>
      <c r="M216" s="2">
        <v>0.1212</v>
      </c>
      <c r="N216" s="2">
        <v>0.54</v>
      </c>
      <c r="O216" s="2">
        <v>0.1343</v>
      </c>
      <c r="P216" s="2">
        <v>1</v>
      </c>
      <c r="Q216" s="2">
        <v>2</v>
      </c>
      <c r="R216" s="2">
        <v>3</v>
      </c>
    </row>
    <row r="217" spans="1:18" x14ac:dyDescent="0.3">
      <c r="A217" s="2">
        <v>215</v>
      </c>
      <c r="B217" s="4">
        <v>40553</v>
      </c>
      <c r="C217" s="2">
        <v>1</v>
      </c>
      <c r="D217" s="2">
        <v>0</v>
      </c>
      <c r="E217" s="2">
        <v>1</v>
      </c>
      <c r="F217" s="2" t="s">
        <v>18</v>
      </c>
      <c r="G217" s="2">
        <v>5</v>
      </c>
      <c r="H217" s="2" t="b">
        <v>0</v>
      </c>
      <c r="I217" s="2">
        <v>1</v>
      </c>
      <c r="J217" s="2" t="s">
        <v>24</v>
      </c>
      <c r="K217" s="2">
        <v>1</v>
      </c>
      <c r="L217" s="2">
        <v>0.1</v>
      </c>
      <c r="M217" s="2">
        <v>0.1061</v>
      </c>
      <c r="N217" s="2">
        <v>0.54</v>
      </c>
      <c r="O217" s="2">
        <v>0.25369999999999998</v>
      </c>
      <c r="P217" s="2">
        <v>0</v>
      </c>
      <c r="Q217" s="2">
        <v>3</v>
      </c>
      <c r="R217" s="2">
        <v>3</v>
      </c>
    </row>
    <row r="218" spans="1:18" x14ac:dyDescent="0.3">
      <c r="A218" s="2">
        <v>216</v>
      </c>
      <c r="B218" s="4">
        <v>40553</v>
      </c>
      <c r="C218" s="2">
        <v>1</v>
      </c>
      <c r="D218" s="2">
        <v>0</v>
      </c>
      <c r="E218" s="2">
        <v>1</v>
      </c>
      <c r="F218" s="2" t="s">
        <v>18</v>
      </c>
      <c r="G218" s="2">
        <v>6</v>
      </c>
      <c r="H218" s="2" t="b">
        <v>0</v>
      </c>
      <c r="I218" s="2">
        <v>1</v>
      </c>
      <c r="J218" s="2" t="s">
        <v>24</v>
      </c>
      <c r="K218" s="2">
        <v>1</v>
      </c>
      <c r="L218" s="2">
        <v>0.12</v>
      </c>
      <c r="M218" s="2">
        <v>0.1212</v>
      </c>
      <c r="N218" s="2">
        <v>0.5</v>
      </c>
      <c r="O218" s="2">
        <v>0.28360000000000002</v>
      </c>
      <c r="P218" s="2">
        <v>0</v>
      </c>
      <c r="Q218" s="2">
        <v>31</v>
      </c>
      <c r="R218" s="2">
        <v>31</v>
      </c>
    </row>
    <row r="219" spans="1:18" x14ac:dyDescent="0.3">
      <c r="A219" s="2">
        <v>217</v>
      </c>
      <c r="B219" s="4">
        <v>40553</v>
      </c>
      <c r="C219" s="2">
        <v>1</v>
      </c>
      <c r="D219" s="2">
        <v>0</v>
      </c>
      <c r="E219" s="2">
        <v>1</v>
      </c>
      <c r="F219" s="2" t="s">
        <v>18</v>
      </c>
      <c r="G219" s="2">
        <v>7</v>
      </c>
      <c r="H219" s="2" t="b">
        <v>0</v>
      </c>
      <c r="I219" s="2">
        <v>1</v>
      </c>
      <c r="J219" s="2" t="s">
        <v>24</v>
      </c>
      <c r="K219" s="2">
        <v>1</v>
      </c>
      <c r="L219" s="2">
        <v>0.12</v>
      </c>
      <c r="M219" s="2">
        <v>0.1212</v>
      </c>
      <c r="N219" s="2">
        <v>0.5</v>
      </c>
      <c r="O219" s="2">
        <v>0.22389999999999999</v>
      </c>
      <c r="P219" s="2">
        <v>2</v>
      </c>
      <c r="Q219" s="2">
        <v>75</v>
      </c>
      <c r="R219" s="2">
        <v>77</v>
      </c>
    </row>
    <row r="220" spans="1:18" x14ac:dyDescent="0.3">
      <c r="A220" s="2">
        <v>218</v>
      </c>
      <c r="B220" s="4">
        <v>40553</v>
      </c>
      <c r="C220" s="2">
        <v>1</v>
      </c>
      <c r="D220" s="2">
        <v>0</v>
      </c>
      <c r="E220" s="2">
        <v>1</v>
      </c>
      <c r="F220" s="2" t="s">
        <v>18</v>
      </c>
      <c r="G220" s="2">
        <v>8</v>
      </c>
      <c r="H220" s="2" t="b">
        <v>0</v>
      </c>
      <c r="I220" s="2">
        <v>1</v>
      </c>
      <c r="J220" s="2" t="s">
        <v>24</v>
      </c>
      <c r="K220" s="2">
        <v>2</v>
      </c>
      <c r="L220" s="2">
        <v>0.12</v>
      </c>
      <c r="M220" s="2">
        <v>0.1212</v>
      </c>
      <c r="N220" s="2">
        <v>0.5</v>
      </c>
      <c r="O220" s="2">
        <v>0.28360000000000002</v>
      </c>
      <c r="P220" s="2">
        <v>4</v>
      </c>
      <c r="Q220" s="2">
        <v>184</v>
      </c>
      <c r="R220" s="2">
        <v>188</v>
      </c>
    </row>
    <row r="221" spans="1:18" x14ac:dyDescent="0.3">
      <c r="A221" s="2">
        <v>219</v>
      </c>
      <c r="B221" s="4">
        <v>40553</v>
      </c>
      <c r="C221" s="2">
        <v>1</v>
      </c>
      <c r="D221" s="2">
        <v>0</v>
      </c>
      <c r="E221" s="2">
        <v>1</v>
      </c>
      <c r="F221" s="2" t="s">
        <v>18</v>
      </c>
      <c r="G221" s="2">
        <v>9</v>
      </c>
      <c r="H221" s="2" t="b">
        <v>0</v>
      </c>
      <c r="I221" s="2">
        <v>1</v>
      </c>
      <c r="J221" s="2" t="s">
        <v>24</v>
      </c>
      <c r="K221" s="2">
        <v>2</v>
      </c>
      <c r="L221" s="2">
        <v>0.14000000000000001</v>
      </c>
      <c r="M221" s="2">
        <v>0.1212</v>
      </c>
      <c r="N221" s="2">
        <v>0.5</v>
      </c>
      <c r="O221" s="2">
        <v>0.25369999999999998</v>
      </c>
      <c r="P221" s="2">
        <v>2</v>
      </c>
      <c r="Q221" s="2">
        <v>92</v>
      </c>
      <c r="R221" s="2">
        <v>94</v>
      </c>
    </row>
    <row r="222" spans="1:18" x14ac:dyDescent="0.3">
      <c r="A222" s="2">
        <v>220</v>
      </c>
      <c r="B222" s="4">
        <v>40553</v>
      </c>
      <c r="C222" s="2">
        <v>1</v>
      </c>
      <c r="D222" s="2">
        <v>0</v>
      </c>
      <c r="E222" s="2">
        <v>1</v>
      </c>
      <c r="F222" s="2" t="s">
        <v>18</v>
      </c>
      <c r="G222" s="2">
        <v>10</v>
      </c>
      <c r="H222" s="2" t="b">
        <v>0</v>
      </c>
      <c r="I222" s="2">
        <v>1</v>
      </c>
      <c r="J222" s="2" t="s">
        <v>24</v>
      </c>
      <c r="K222" s="2">
        <v>2</v>
      </c>
      <c r="L222" s="2">
        <v>0.14000000000000001</v>
      </c>
      <c r="M222" s="2">
        <v>0.1212</v>
      </c>
      <c r="N222" s="2">
        <v>0.5</v>
      </c>
      <c r="O222" s="2">
        <v>0.29849999999999999</v>
      </c>
      <c r="P222" s="2">
        <v>0</v>
      </c>
      <c r="Q222" s="2">
        <v>31</v>
      </c>
      <c r="R222" s="2">
        <v>31</v>
      </c>
    </row>
    <row r="223" spans="1:18" x14ac:dyDescent="0.3">
      <c r="A223" s="2">
        <v>221</v>
      </c>
      <c r="B223" s="4">
        <v>40553</v>
      </c>
      <c r="C223" s="2">
        <v>1</v>
      </c>
      <c r="D223" s="2">
        <v>0</v>
      </c>
      <c r="E223" s="2">
        <v>1</v>
      </c>
      <c r="F223" s="2" t="s">
        <v>18</v>
      </c>
      <c r="G223" s="2">
        <v>11</v>
      </c>
      <c r="H223" s="2" t="b">
        <v>0</v>
      </c>
      <c r="I223" s="2">
        <v>1</v>
      </c>
      <c r="J223" s="2" t="s">
        <v>24</v>
      </c>
      <c r="K223" s="2">
        <v>2</v>
      </c>
      <c r="L223" s="2">
        <v>0.16</v>
      </c>
      <c r="M223" s="2">
        <v>0.13639999999999999</v>
      </c>
      <c r="N223" s="2">
        <v>0.47</v>
      </c>
      <c r="O223" s="2">
        <v>0.28360000000000002</v>
      </c>
      <c r="P223" s="2">
        <v>2</v>
      </c>
      <c r="Q223" s="2">
        <v>28</v>
      </c>
      <c r="R223" s="2">
        <v>30</v>
      </c>
    </row>
    <row r="224" spans="1:18" x14ac:dyDescent="0.3">
      <c r="A224" s="2">
        <v>222</v>
      </c>
      <c r="B224" s="4">
        <v>40553</v>
      </c>
      <c r="C224" s="2">
        <v>1</v>
      </c>
      <c r="D224" s="2">
        <v>0</v>
      </c>
      <c r="E224" s="2">
        <v>1</v>
      </c>
      <c r="F224" s="2" t="s">
        <v>18</v>
      </c>
      <c r="G224" s="2">
        <v>12</v>
      </c>
      <c r="H224" s="2" t="b">
        <v>0</v>
      </c>
      <c r="I224" s="2">
        <v>1</v>
      </c>
      <c r="J224" s="2" t="s">
        <v>24</v>
      </c>
      <c r="K224" s="2">
        <v>2</v>
      </c>
      <c r="L224" s="2">
        <v>0.2</v>
      </c>
      <c r="M224" s="2">
        <v>0.18179999999999999</v>
      </c>
      <c r="N224" s="2">
        <v>0.4</v>
      </c>
      <c r="O224" s="2">
        <v>0.28360000000000002</v>
      </c>
      <c r="P224" s="2">
        <v>5</v>
      </c>
      <c r="Q224" s="2">
        <v>47</v>
      </c>
      <c r="R224" s="2">
        <v>52</v>
      </c>
    </row>
    <row r="225" spans="1:18" x14ac:dyDescent="0.3">
      <c r="A225" s="2">
        <v>223</v>
      </c>
      <c r="B225" s="4">
        <v>40553</v>
      </c>
      <c r="C225" s="2">
        <v>1</v>
      </c>
      <c r="D225" s="2">
        <v>0</v>
      </c>
      <c r="E225" s="2">
        <v>1</v>
      </c>
      <c r="F225" s="2" t="s">
        <v>18</v>
      </c>
      <c r="G225" s="2">
        <v>13</v>
      </c>
      <c r="H225" s="2" t="b">
        <v>0</v>
      </c>
      <c r="I225" s="2">
        <v>1</v>
      </c>
      <c r="J225" s="2" t="s">
        <v>24</v>
      </c>
      <c r="K225" s="2">
        <v>2</v>
      </c>
      <c r="L225" s="2">
        <v>0.2</v>
      </c>
      <c r="M225" s="2">
        <v>0.18179999999999999</v>
      </c>
      <c r="N225" s="2">
        <v>0.4</v>
      </c>
      <c r="O225" s="2">
        <v>0.28360000000000002</v>
      </c>
      <c r="P225" s="2">
        <v>4</v>
      </c>
      <c r="Q225" s="2">
        <v>50</v>
      </c>
      <c r="R225" s="2">
        <v>54</v>
      </c>
    </row>
    <row r="226" spans="1:18" x14ac:dyDescent="0.3">
      <c r="A226" s="2">
        <v>224</v>
      </c>
      <c r="B226" s="4">
        <v>40553</v>
      </c>
      <c r="C226" s="2">
        <v>1</v>
      </c>
      <c r="D226" s="2">
        <v>0</v>
      </c>
      <c r="E226" s="2">
        <v>1</v>
      </c>
      <c r="F226" s="2" t="s">
        <v>18</v>
      </c>
      <c r="G226" s="2">
        <v>14</v>
      </c>
      <c r="H226" s="2" t="b">
        <v>0</v>
      </c>
      <c r="I226" s="2">
        <v>1</v>
      </c>
      <c r="J226" s="2" t="s">
        <v>24</v>
      </c>
      <c r="K226" s="2">
        <v>2</v>
      </c>
      <c r="L226" s="2">
        <v>0.2</v>
      </c>
      <c r="M226" s="2">
        <v>0.19700000000000001</v>
      </c>
      <c r="N226" s="2">
        <v>0.4</v>
      </c>
      <c r="O226" s="2">
        <v>0.22389999999999999</v>
      </c>
      <c r="P226" s="2">
        <v>0</v>
      </c>
      <c r="Q226" s="2">
        <v>47</v>
      </c>
      <c r="R226" s="2">
        <v>47</v>
      </c>
    </row>
    <row r="227" spans="1:18" x14ac:dyDescent="0.3">
      <c r="A227" s="2">
        <v>225</v>
      </c>
      <c r="B227" s="4">
        <v>40553</v>
      </c>
      <c r="C227" s="2">
        <v>1</v>
      </c>
      <c r="D227" s="2">
        <v>0</v>
      </c>
      <c r="E227" s="2">
        <v>1</v>
      </c>
      <c r="F227" s="2" t="s">
        <v>18</v>
      </c>
      <c r="G227" s="2">
        <v>15</v>
      </c>
      <c r="H227" s="2" t="b">
        <v>0</v>
      </c>
      <c r="I227" s="2">
        <v>1</v>
      </c>
      <c r="J227" s="2" t="s">
        <v>24</v>
      </c>
      <c r="K227" s="2">
        <v>2</v>
      </c>
      <c r="L227" s="2">
        <v>0.2</v>
      </c>
      <c r="M227" s="2">
        <v>0.19700000000000001</v>
      </c>
      <c r="N227" s="2">
        <v>0.4</v>
      </c>
      <c r="O227" s="2">
        <v>0.22389999999999999</v>
      </c>
      <c r="P227" s="2">
        <v>2</v>
      </c>
      <c r="Q227" s="2">
        <v>43</v>
      </c>
      <c r="R227" s="2">
        <v>45</v>
      </c>
    </row>
    <row r="228" spans="1:18" x14ac:dyDescent="0.3">
      <c r="A228" s="2">
        <v>226</v>
      </c>
      <c r="B228" s="4">
        <v>40553</v>
      </c>
      <c r="C228" s="2">
        <v>1</v>
      </c>
      <c r="D228" s="2">
        <v>0</v>
      </c>
      <c r="E228" s="2">
        <v>1</v>
      </c>
      <c r="F228" s="2" t="s">
        <v>18</v>
      </c>
      <c r="G228" s="2">
        <v>16</v>
      </c>
      <c r="H228" s="2" t="b">
        <v>0</v>
      </c>
      <c r="I228" s="2">
        <v>1</v>
      </c>
      <c r="J228" s="2" t="s">
        <v>24</v>
      </c>
      <c r="K228" s="2">
        <v>1</v>
      </c>
      <c r="L228" s="2">
        <v>0.2</v>
      </c>
      <c r="M228" s="2">
        <v>0.21210000000000001</v>
      </c>
      <c r="N228" s="2">
        <v>0.4</v>
      </c>
      <c r="O228" s="2">
        <v>0.1343</v>
      </c>
      <c r="P228" s="2">
        <v>4</v>
      </c>
      <c r="Q228" s="2">
        <v>70</v>
      </c>
      <c r="R228" s="2">
        <v>74</v>
      </c>
    </row>
    <row r="229" spans="1:18" x14ac:dyDescent="0.3">
      <c r="A229" s="2">
        <v>227</v>
      </c>
      <c r="B229" s="4">
        <v>40553</v>
      </c>
      <c r="C229" s="2">
        <v>1</v>
      </c>
      <c r="D229" s="2">
        <v>0</v>
      </c>
      <c r="E229" s="2">
        <v>1</v>
      </c>
      <c r="F229" s="2" t="s">
        <v>18</v>
      </c>
      <c r="G229" s="2">
        <v>17</v>
      </c>
      <c r="H229" s="2" t="b">
        <v>0</v>
      </c>
      <c r="I229" s="2">
        <v>1</v>
      </c>
      <c r="J229" s="2" t="s">
        <v>24</v>
      </c>
      <c r="K229" s="2">
        <v>1</v>
      </c>
      <c r="L229" s="2">
        <v>0.2</v>
      </c>
      <c r="M229" s="2">
        <v>0.2273</v>
      </c>
      <c r="N229" s="2">
        <v>0.4</v>
      </c>
      <c r="O229" s="2">
        <v>0.1045</v>
      </c>
      <c r="P229" s="2">
        <v>4</v>
      </c>
      <c r="Q229" s="2">
        <v>174</v>
      </c>
      <c r="R229" s="2">
        <v>178</v>
      </c>
    </row>
    <row r="230" spans="1:18" x14ac:dyDescent="0.3">
      <c r="A230" s="2">
        <v>228</v>
      </c>
      <c r="B230" s="4">
        <v>40553</v>
      </c>
      <c r="C230" s="2">
        <v>1</v>
      </c>
      <c r="D230" s="2">
        <v>0</v>
      </c>
      <c r="E230" s="2">
        <v>1</v>
      </c>
      <c r="F230" s="2" t="s">
        <v>18</v>
      </c>
      <c r="G230" s="2">
        <v>18</v>
      </c>
      <c r="H230" s="2" t="b">
        <v>0</v>
      </c>
      <c r="I230" s="2">
        <v>1</v>
      </c>
      <c r="J230" s="2" t="s">
        <v>24</v>
      </c>
      <c r="K230" s="2">
        <v>1</v>
      </c>
      <c r="L230" s="2">
        <v>0.2</v>
      </c>
      <c r="M230" s="2">
        <v>0.19700000000000001</v>
      </c>
      <c r="N230" s="2">
        <v>0.4</v>
      </c>
      <c r="O230" s="2">
        <v>0.22389999999999999</v>
      </c>
      <c r="P230" s="2">
        <v>1</v>
      </c>
      <c r="Q230" s="2">
        <v>154</v>
      </c>
      <c r="R230" s="2">
        <v>155</v>
      </c>
    </row>
    <row r="231" spans="1:18" x14ac:dyDescent="0.3">
      <c r="A231" s="2">
        <v>229</v>
      </c>
      <c r="B231" s="4">
        <v>40553</v>
      </c>
      <c r="C231" s="2">
        <v>1</v>
      </c>
      <c r="D231" s="2">
        <v>0</v>
      </c>
      <c r="E231" s="2">
        <v>1</v>
      </c>
      <c r="F231" s="2" t="s">
        <v>18</v>
      </c>
      <c r="G231" s="2">
        <v>19</v>
      </c>
      <c r="H231" s="2" t="b">
        <v>0</v>
      </c>
      <c r="I231" s="2">
        <v>1</v>
      </c>
      <c r="J231" s="2" t="s">
        <v>24</v>
      </c>
      <c r="K231" s="2">
        <v>1</v>
      </c>
      <c r="L231" s="2">
        <v>0.16</v>
      </c>
      <c r="M231" s="2">
        <v>0.16669999999999999</v>
      </c>
      <c r="N231" s="2">
        <v>0.47</v>
      </c>
      <c r="O231" s="2">
        <v>0.16420000000000001</v>
      </c>
      <c r="P231" s="2">
        <v>3</v>
      </c>
      <c r="Q231" s="2">
        <v>92</v>
      </c>
      <c r="R231" s="2">
        <v>95</v>
      </c>
    </row>
    <row r="232" spans="1:18" x14ac:dyDescent="0.3">
      <c r="A232" s="2">
        <v>230</v>
      </c>
      <c r="B232" s="4">
        <v>40553</v>
      </c>
      <c r="C232" s="2">
        <v>1</v>
      </c>
      <c r="D232" s="2">
        <v>0</v>
      </c>
      <c r="E232" s="2">
        <v>1</v>
      </c>
      <c r="F232" s="2" t="s">
        <v>18</v>
      </c>
      <c r="G232" s="2">
        <v>20</v>
      </c>
      <c r="H232" s="2" t="b">
        <v>0</v>
      </c>
      <c r="I232" s="2">
        <v>1</v>
      </c>
      <c r="J232" s="2" t="s">
        <v>24</v>
      </c>
      <c r="K232" s="2">
        <v>1</v>
      </c>
      <c r="L232" s="2">
        <v>0.16</v>
      </c>
      <c r="M232" s="2">
        <v>0.16669999999999999</v>
      </c>
      <c r="N232" s="2">
        <v>0.5</v>
      </c>
      <c r="O232" s="2">
        <v>0.16420000000000001</v>
      </c>
      <c r="P232" s="2">
        <v>1</v>
      </c>
      <c r="Q232" s="2">
        <v>73</v>
      </c>
      <c r="R232" s="2">
        <v>74</v>
      </c>
    </row>
    <row r="233" spans="1:18" x14ac:dyDescent="0.3">
      <c r="A233" s="2">
        <v>231</v>
      </c>
      <c r="B233" s="4">
        <v>40553</v>
      </c>
      <c r="C233" s="2">
        <v>1</v>
      </c>
      <c r="D233" s="2">
        <v>0</v>
      </c>
      <c r="E233" s="2">
        <v>1</v>
      </c>
      <c r="F233" s="2" t="s">
        <v>18</v>
      </c>
      <c r="G233" s="2">
        <v>21</v>
      </c>
      <c r="H233" s="2" t="b">
        <v>0</v>
      </c>
      <c r="I233" s="2">
        <v>1</v>
      </c>
      <c r="J233" s="2" t="s">
        <v>25</v>
      </c>
      <c r="K233" s="2">
        <v>1</v>
      </c>
      <c r="L233" s="2">
        <v>0.14000000000000001</v>
      </c>
      <c r="M233" s="2">
        <v>0.13639999999999999</v>
      </c>
      <c r="N233" s="2">
        <v>0.59</v>
      </c>
      <c r="O233" s="2">
        <v>0.19400000000000001</v>
      </c>
      <c r="P233" s="2">
        <v>1</v>
      </c>
      <c r="Q233" s="2">
        <v>37</v>
      </c>
      <c r="R233" s="2">
        <v>38</v>
      </c>
    </row>
    <row r="234" spans="1:18" x14ac:dyDescent="0.3">
      <c r="A234" s="2">
        <v>232</v>
      </c>
      <c r="B234" s="4">
        <v>40553</v>
      </c>
      <c r="C234" s="2">
        <v>1</v>
      </c>
      <c r="D234" s="2">
        <v>0</v>
      </c>
      <c r="E234" s="2">
        <v>1</v>
      </c>
      <c r="F234" s="2" t="s">
        <v>18</v>
      </c>
      <c r="G234" s="2">
        <v>22</v>
      </c>
      <c r="H234" s="2" t="b">
        <v>0</v>
      </c>
      <c r="I234" s="2">
        <v>1</v>
      </c>
      <c r="J234" s="2" t="s">
        <v>25</v>
      </c>
      <c r="K234" s="2">
        <v>1</v>
      </c>
      <c r="L234" s="2">
        <v>0.14000000000000001</v>
      </c>
      <c r="M234" s="2">
        <v>0.1515</v>
      </c>
      <c r="N234" s="2">
        <v>0.59</v>
      </c>
      <c r="O234" s="2">
        <v>0.16420000000000001</v>
      </c>
      <c r="P234" s="2">
        <v>2</v>
      </c>
      <c r="Q234" s="2">
        <v>22</v>
      </c>
      <c r="R234" s="2">
        <v>24</v>
      </c>
    </row>
    <row r="235" spans="1:18" x14ac:dyDescent="0.3">
      <c r="A235" s="2">
        <v>233</v>
      </c>
      <c r="B235" s="4">
        <v>40553</v>
      </c>
      <c r="C235" s="2">
        <v>1</v>
      </c>
      <c r="D235" s="2">
        <v>0</v>
      </c>
      <c r="E235" s="2">
        <v>1</v>
      </c>
      <c r="F235" s="2" t="s">
        <v>18</v>
      </c>
      <c r="G235" s="2">
        <v>23</v>
      </c>
      <c r="H235" s="2" t="b">
        <v>0</v>
      </c>
      <c r="I235" s="2">
        <v>1</v>
      </c>
      <c r="J235" s="2" t="s">
        <v>25</v>
      </c>
      <c r="K235" s="2">
        <v>1</v>
      </c>
      <c r="L235" s="2">
        <v>0.14000000000000001</v>
      </c>
      <c r="M235" s="2">
        <v>0.1515</v>
      </c>
      <c r="N235" s="2">
        <v>0.59</v>
      </c>
      <c r="O235" s="2">
        <v>0.16420000000000001</v>
      </c>
      <c r="P235" s="2">
        <v>0</v>
      </c>
      <c r="Q235" s="2">
        <v>18</v>
      </c>
      <c r="R235" s="2">
        <v>18</v>
      </c>
    </row>
    <row r="236" spans="1:18" x14ac:dyDescent="0.3">
      <c r="A236" s="2">
        <v>234</v>
      </c>
      <c r="B236" s="4">
        <v>40554</v>
      </c>
      <c r="C236" s="2">
        <v>1</v>
      </c>
      <c r="D236" s="2">
        <v>0</v>
      </c>
      <c r="E236" s="2">
        <v>1</v>
      </c>
      <c r="F236" s="2" t="s">
        <v>18</v>
      </c>
      <c r="G236" s="2">
        <v>0</v>
      </c>
      <c r="H236" s="2" t="b">
        <v>0</v>
      </c>
      <c r="I236" s="2">
        <v>2</v>
      </c>
      <c r="J236" s="2" t="s">
        <v>25</v>
      </c>
      <c r="K236" s="2">
        <v>1</v>
      </c>
      <c r="L236" s="2">
        <v>0.14000000000000001</v>
      </c>
      <c r="M236" s="2">
        <v>0.16669999999999999</v>
      </c>
      <c r="N236" s="2">
        <v>0.59</v>
      </c>
      <c r="O236" s="2">
        <v>0.1045</v>
      </c>
      <c r="P236" s="2">
        <v>2</v>
      </c>
      <c r="Q236" s="2">
        <v>10</v>
      </c>
      <c r="R236" s="2">
        <v>12</v>
      </c>
    </row>
    <row r="237" spans="1:18" x14ac:dyDescent="0.3">
      <c r="A237" s="2">
        <v>235</v>
      </c>
      <c r="B237" s="4">
        <v>40554</v>
      </c>
      <c r="C237" s="2">
        <v>1</v>
      </c>
      <c r="D237" s="2">
        <v>0</v>
      </c>
      <c r="E237" s="2">
        <v>1</v>
      </c>
      <c r="F237" s="2" t="s">
        <v>18</v>
      </c>
      <c r="G237" s="2">
        <v>1</v>
      </c>
      <c r="H237" s="2" t="b">
        <v>0</v>
      </c>
      <c r="I237" s="2">
        <v>2</v>
      </c>
      <c r="J237" s="2" t="s">
        <v>25</v>
      </c>
      <c r="K237" s="2">
        <v>1</v>
      </c>
      <c r="L237" s="2">
        <v>0.14000000000000001</v>
      </c>
      <c r="M237" s="2">
        <v>0.1515</v>
      </c>
      <c r="N237" s="2">
        <v>0.59</v>
      </c>
      <c r="O237" s="2">
        <v>0.16420000000000001</v>
      </c>
      <c r="P237" s="2">
        <v>0</v>
      </c>
      <c r="Q237" s="2">
        <v>3</v>
      </c>
      <c r="R237" s="2">
        <v>3</v>
      </c>
    </row>
    <row r="238" spans="1:18" x14ac:dyDescent="0.3">
      <c r="A238" s="2">
        <v>236</v>
      </c>
      <c r="B238" s="4">
        <v>40554</v>
      </c>
      <c r="C238" s="2">
        <v>1</v>
      </c>
      <c r="D238" s="2">
        <v>0</v>
      </c>
      <c r="E238" s="2">
        <v>1</v>
      </c>
      <c r="F238" s="2" t="s">
        <v>18</v>
      </c>
      <c r="G238" s="2">
        <v>2</v>
      </c>
      <c r="H238" s="2" t="b">
        <v>0</v>
      </c>
      <c r="I238" s="2">
        <v>2</v>
      </c>
      <c r="J238" s="2" t="s">
        <v>25</v>
      </c>
      <c r="K238" s="2">
        <v>2</v>
      </c>
      <c r="L238" s="2">
        <v>0.16</v>
      </c>
      <c r="M238" s="2">
        <v>0.1515</v>
      </c>
      <c r="N238" s="2">
        <v>0.55000000000000004</v>
      </c>
      <c r="O238" s="2">
        <v>0.19400000000000001</v>
      </c>
      <c r="P238" s="2">
        <v>0</v>
      </c>
      <c r="Q238" s="2">
        <v>3</v>
      </c>
      <c r="R238" s="2">
        <v>3</v>
      </c>
    </row>
    <row r="239" spans="1:18" x14ac:dyDescent="0.3">
      <c r="A239" s="2">
        <v>237</v>
      </c>
      <c r="B239" s="4">
        <v>40554</v>
      </c>
      <c r="C239" s="2">
        <v>1</v>
      </c>
      <c r="D239" s="2">
        <v>0</v>
      </c>
      <c r="E239" s="2">
        <v>1</v>
      </c>
      <c r="F239" s="2" t="s">
        <v>18</v>
      </c>
      <c r="G239" s="2">
        <v>5</v>
      </c>
      <c r="H239" s="2" t="b">
        <v>0</v>
      </c>
      <c r="I239" s="2">
        <v>2</v>
      </c>
      <c r="J239" s="2" t="s">
        <v>25</v>
      </c>
      <c r="K239" s="2">
        <v>2</v>
      </c>
      <c r="L239" s="2">
        <v>0.16</v>
      </c>
      <c r="M239" s="2">
        <v>0.18179999999999999</v>
      </c>
      <c r="N239" s="2">
        <v>0.55000000000000004</v>
      </c>
      <c r="O239" s="2">
        <v>0.1343</v>
      </c>
      <c r="P239" s="2">
        <v>0</v>
      </c>
      <c r="Q239" s="2">
        <v>6</v>
      </c>
      <c r="R239" s="2">
        <v>6</v>
      </c>
    </row>
    <row r="240" spans="1:18" x14ac:dyDescent="0.3">
      <c r="A240" s="2">
        <v>238</v>
      </c>
      <c r="B240" s="4">
        <v>40554</v>
      </c>
      <c r="C240" s="2">
        <v>1</v>
      </c>
      <c r="D240" s="2">
        <v>0</v>
      </c>
      <c r="E240" s="2">
        <v>1</v>
      </c>
      <c r="F240" s="2" t="s">
        <v>18</v>
      </c>
      <c r="G240" s="2">
        <v>6</v>
      </c>
      <c r="H240" s="2" t="b">
        <v>0</v>
      </c>
      <c r="I240" s="2">
        <v>2</v>
      </c>
      <c r="J240" s="2" t="s">
        <v>25</v>
      </c>
      <c r="K240" s="2">
        <v>2</v>
      </c>
      <c r="L240" s="2">
        <v>0.16</v>
      </c>
      <c r="M240" s="2">
        <v>0.18179999999999999</v>
      </c>
      <c r="N240" s="2">
        <v>0.55000000000000004</v>
      </c>
      <c r="O240" s="2">
        <v>0.1343</v>
      </c>
      <c r="P240" s="2">
        <v>0</v>
      </c>
      <c r="Q240" s="2">
        <v>27</v>
      </c>
      <c r="R240" s="2">
        <v>27</v>
      </c>
    </row>
    <row r="241" spans="1:18" x14ac:dyDescent="0.3">
      <c r="A241" s="2">
        <v>239</v>
      </c>
      <c r="B241" s="4">
        <v>40554</v>
      </c>
      <c r="C241" s="2">
        <v>1</v>
      </c>
      <c r="D241" s="2">
        <v>0</v>
      </c>
      <c r="E241" s="2">
        <v>1</v>
      </c>
      <c r="F241" s="2" t="s">
        <v>18</v>
      </c>
      <c r="G241" s="2">
        <v>7</v>
      </c>
      <c r="H241" s="2" t="b">
        <v>0</v>
      </c>
      <c r="I241" s="2">
        <v>2</v>
      </c>
      <c r="J241" s="2" t="s">
        <v>25</v>
      </c>
      <c r="K241" s="2">
        <v>2</v>
      </c>
      <c r="L241" s="2">
        <v>0.16</v>
      </c>
      <c r="M241" s="2">
        <v>0.2273</v>
      </c>
      <c r="N241" s="2">
        <v>0.55000000000000004</v>
      </c>
      <c r="O241" s="2">
        <v>0</v>
      </c>
      <c r="P241" s="2">
        <v>2</v>
      </c>
      <c r="Q241" s="2">
        <v>97</v>
      </c>
      <c r="R241" s="2">
        <v>99</v>
      </c>
    </row>
    <row r="242" spans="1:18" x14ac:dyDescent="0.3">
      <c r="A242" s="2">
        <v>240</v>
      </c>
      <c r="B242" s="4">
        <v>40554</v>
      </c>
      <c r="C242" s="2">
        <v>1</v>
      </c>
      <c r="D242" s="2">
        <v>0</v>
      </c>
      <c r="E242" s="2">
        <v>1</v>
      </c>
      <c r="F242" s="2" t="s">
        <v>18</v>
      </c>
      <c r="G242" s="2">
        <v>8</v>
      </c>
      <c r="H242" s="2" t="b">
        <v>0</v>
      </c>
      <c r="I242" s="2">
        <v>2</v>
      </c>
      <c r="J242" s="2" t="s">
        <v>25</v>
      </c>
      <c r="K242" s="2">
        <v>2</v>
      </c>
      <c r="L242" s="2">
        <v>0.18</v>
      </c>
      <c r="M242" s="2">
        <v>0.21210000000000001</v>
      </c>
      <c r="N242" s="2">
        <v>0.51</v>
      </c>
      <c r="O242" s="2">
        <v>8.9599999999999999E-2</v>
      </c>
      <c r="P242" s="2">
        <v>3</v>
      </c>
      <c r="Q242" s="2">
        <v>214</v>
      </c>
      <c r="R242" s="2">
        <v>217</v>
      </c>
    </row>
    <row r="243" spans="1:18" x14ac:dyDescent="0.3">
      <c r="A243" s="2">
        <v>241</v>
      </c>
      <c r="B243" s="4">
        <v>40554</v>
      </c>
      <c r="C243" s="2">
        <v>1</v>
      </c>
      <c r="D243" s="2">
        <v>0</v>
      </c>
      <c r="E243" s="2">
        <v>1</v>
      </c>
      <c r="F243" s="2" t="s">
        <v>18</v>
      </c>
      <c r="G243" s="2">
        <v>9</v>
      </c>
      <c r="H243" s="2" t="b">
        <v>0</v>
      </c>
      <c r="I243" s="2">
        <v>2</v>
      </c>
      <c r="J243" s="2" t="s">
        <v>25</v>
      </c>
      <c r="K243" s="2">
        <v>2</v>
      </c>
      <c r="L243" s="2">
        <v>0.18</v>
      </c>
      <c r="M243" s="2">
        <v>0.19700000000000001</v>
      </c>
      <c r="N243" s="2">
        <v>0.51</v>
      </c>
      <c r="O243" s="2">
        <v>0.16420000000000001</v>
      </c>
      <c r="P243" s="2">
        <v>3</v>
      </c>
      <c r="Q243" s="2">
        <v>127</v>
      </c>
      <c r="R243" s="2">
        <v>130</v>
      </c>
    </row>
    <row r="244" spans="1:18" x14ac:dyDescent="0.3">
      <c r="A244" s="2">
        <v>242</v>
      </c>
      <c r="B244" s="4">
        <v>40554</v>
      </c>
      <c r="C244" s="2">
        <v>1</v>
      </c>
      <c r="D244" s="2">
        <v>0</v>
      </c>
      <c r="E244" s="2">
        <v>1</v>
      </c>
      <c r="F244" s="2" t="s">
        <v>18</v>
      </c>
      <c r="G244" s="2">
        <v>10</v>
      </c>
      <c r="H244" s="2" t="b">
        <v>0</v>
      </c>
      <c r="I244" s="2">
        <v>2</v>
      </c>
      <c r="J244" s="2" t="s">
        <v>25</v>
      </c>
      <c r="K244" s="2">
        <v>2</v>
      </c>
      <c r="L244" s="2">
        <v>0.2</v>
      </c>
      <c r="M244" s="2">
        <v>0.21210000000000001</v>
      </c>
      <c r="N244" s="2">
        <v>0.51</v>
      </c>
      <c r="O244" s="2">
        <v>0.16420000000000001</v>
      </c>
      <c r="P244" s="2">
        <v>3</v>
      </c>
      <c r="Q244" s="2">
        <v>51</v>
      </c>
      <c r="R244" s="2">
        <v>54</v>
      </c>
    </row>
    <row r="245" spans="1:18" x14ac:dyDescent="0.3">
      <c r="A245" s="2">
        <v>243</v>
      </c>
      <c r="B245" s="4">
        <v>40554</v>
      </c>
      <c r="C245" s="2">
        <v>1</v>
      </c>
      <c r="D245" s="2">
        <v>0</v>
      </c>
      <c r="E245" s="2">
        <v>1</v>
      </c>
      <c r="F245" s="2" t="s">
        <v>18</v>
      </c>
      <c r="G245" s="2">
        <v>11</v>
      </c>
      <c r="H245" s="2" t="b">
        <v>0</v>
      </c>
      <c r="I245" s="2">
        <v>2</v>
      </c>
      <c r="J245" s="2" t="s">
        <v>25</v>
      </c>
      <c r="K245" s="2">
        <v>2</v>
      </c>
      <c r="L245" s="2">
        <v>0.2</v>
      </c>
      <c r="M245" s="2">
        <v>0.21210000000000001</v>
      </c>
      <c r="N245" s="2">
        <v>0.47</v>
      </c>
      <c r="O245" s="2">
        <v>0.1343</v>
      </c>
      <c r="P245" s="2">
        <v>4</v>
      </c>
      <c r="Q245" s="2">
        <v>31</v>
      </c>
      <c r="R245" s="2">
        <v>35</v>
      </c>
    </row>
    <row r="246" spans="1:18" x14ac:dyDescent="0.3">
      <c r="A246" s="2">
        <v>244</v>
      </c>
      <c r="B246" s="4">
        <v>40554</v>
      </c>
      <c r="C246" s="2">
        <v>1</v>
      </c>
      <c r="D246" s="2">
        <v>0</v>
      </c>
      <c r="E246" s="2">
        <v>1</v>
      </c>
      <c r="F246" s="2" t="s">
        <v>18</v>
      </c>
      <c r="G246" s="2">
        <v>12</v>
      </c>
      <c r="H246" s="2" t="b">
        <v>0</v>
      </c>
      <c r="I246" s="2">
        <v>2</v>
      </c>
      <c r="J246" s="2" t="s">
        <v>25</v>
      </c>
      <c r="K246" s="2">
        <v>2</v>
      </c>
      <c r="L246" s="2">
        <v>0.2</v>
      </c>
      <c r="M246" s="2">
        <v>0.2273</v>
      </c>
      <c r="N246" s="2">
        <v>0.51</v>
      </c>
      <c r="O246" s="2">
        <v>0.1045</v>
      </c>
      <c r="P246" s="2">
        <v>2</v>
      </c>
      <c r="Q246" s="2">
        <v>55</v>
      </c>
      <c r="R246" s="2">
        <v>57</v>
      </c>
    </row>
    <row r="247" spans="1:18" x14ac:dyDescent="0.3">
      <c r="A247" s="2">
        <v>245</v>
      </c>
      <c r="B247" s="4">
        <v>40554</v>
      </c>
      <c r="C247" s="2">
        <v>1</v>
      </c>
      <c r="D247" s="2">
        <v>0</v>
      </c>
      <c r="E247" s="2">
        <v>1</v>
      </c>
      <c r="F247" s="2" t="s">
        <v>18</v>
      </c>
      <c r="G247" s="2">
        <v>13</v>
      </c>
      <c r="H247" s="2" t="b">
        <v>0</v>
      </c>
      <c r="I247" s="2">
        <v>2</v>
      </c>
      <c r="J247" s="2" t="s">
        <v>25</v>
      </c>
      <c r="K247" s="2">
        <v>2</v>
      </c>
      <c r="L247" s="2">
        <v>0.2</v>
      </c>
      <c r="M247" s="2">
        <v>0.2273</v>
      </c>
      <c r="N247" s="2">
        <v>0.59</v>
      </c>
      <c r="O247" s="2">
        <v>8.9599999999999999E-2</v>
      </c>
      <c r="P247" s="2">
        <v>6</v>
      </c>
      <c r="Q247" s="2">
        <v>46</v>
      </c>
      <c r="R247" s="2">
        <v>52</v>
      </c>
    </row>
    <row r="248" spans="1:18" x14ac:dyDescent="0.3">
      <c r="A248" s="2">
        <v>246</v>
      </c>
      <c r="B248" s="4">
        <v>40554</v>
      </c>
      <c r="C248" s="2">
        <v>1</v>
      </c>
      <c r="D248" s="2">
        <v>0</v>
      </c>
      <c r="E248" s="2">
        <v>1</v>
      </c>
      <c r="F248" s="2" t="s">
        <v>18</v>
      </c>
      <c r="G248" s="2">
        <v>14</v>
      </c>
      <c r="H248" s="2" t="b">
        <v>0</v>
      </c>
      <c r="I248" s="2">
        <v>2</v>
      </c>
      <c r="J248" s="2" t="s">
        <v>25</v>
      </c>
      <c r="K248" s="2">
        <v>2</v>
      </c>
      <c r="L248" s="2">
        <v>0.2</v>
      </c>
      <c r="M248" s="2">
        <v>0.2273</v>
      </c>
      <c r="N248" s="2">
        <v>0.59</v>
      </c>
      <c r="O248" s="2">
        <v>8.9599999999999999E-2</v>
      </c>
      <c r="P248" s="2">
        <v>3</v>
      </c>
      <c r="Q248" s="2">
        <v>60</v>
      </c>
      <c r="R248" s="2">
        <v>63</v>
      </c>
    </row>
    <row r="249" spans="1:18" x14ac:dyDescent="0.3">
      <c r="A249" s="2">
        <v>247</v>
      </c>
      <c r="B249" s="4">
        <v>40554</v>
      </c>
      <c r="C249" s="2">
        <v>1</v>
      </c>
      <c r="D249" s="2">
        <v>0</v>
      </c>
      <c r="E249" s="2">
        <v>1</v>
      </c>
      <c r="F249" s="2" t="s">
        <v>18</v>
      </c>
      <c r="G249" s="2">
        <v>15</v>
      </c>
      <c r="H249" s="2" t="b">
        <v>0</v>
      </c>
      <c r="I249" s="2">
        <v>2</v>
      </c>
      <c r="J249" s="2" t="s">
        <v>25</v>
      </c>
      <c r="K249" s="2">
        <v>2</v>
      </c>
      <c r="L249" s="2">
        <v>0.16</v>
      </c>
      <c r="M249" s="2">
        <v>0.19700000000000001</v>
      </c>
      <c r="N249" s="2">
        <v>0.8</v>
      </c>
      <c r="O249" s="2">
        <v>8.9599999999999999E-2</v>
      </c>
      <c r="P249" s="2">
        <v>2</v>
      </c>
      <c r="Q249" s="2">
        <v>45</v>
      </c>
      <c r="R249" s="2">
        <v>47</v>
      </c>
    </row>
    <row r="250" spans="1:18" x14ac:dyDescent="0.3">
      <c r="A250" s="2">
        <v>248</v>
      </c>
      <c r="B250" s="4">
        <v>40554</v>
      </c>
      <c r="C250" s="2">
        <v>1</v>
      </c>
      <c r="D250" s="2">
        <v>0</v>
      </c>
      <c r="E250" s="2">
        <v>1</v>
      </c>
      <c r="F250" s="2" t="s">
        <v>18</v>
      </c>
      <c r="G250" s="2">
        <v>16</v>
      </c>
      <c r="H250" s="2" t="b">
        <v>0</v>
      </c>
      <c r="I250" s="2">
        <v>2</v>
      </c>
      <c r="J250" s="2" t="s">
        <v>25</v>
      </c>
      <c r="K250" s="2">
        <v>2</v>
      </c>
      <c r="L250" s="2">
        <v>0.16</v>
      </c>
      <c r="M250" s="2">
        <v>0.1515</v>
      </c>
      <c r="N250" s="2">
        <v>0.86</v>
      </c>
      <c r="O250" s="2">
        <v>0.22389999999999999</v>
      </c>
      <c r="P250" s="2">
        <v>4</v>
      </c>
      <c r="Q250" s="2">
        <v>72</v>
      </c>
      <c r="R250" s="2">
        <v>76</v>
      </c>
    </row>
    <row r="251" spans="1:18" x14ac:dyDescent="0.3">
      <c r="A251" s="2">
        <v>249</v>
      </c>
      <c r="B251" s="4">
        <v>40554</v>
      </c>
      <c r="C251" s="2">
        <v>1</v>
      </c>
      <c r="D251" s="2">
        <v>0</v>
      </c>
      <c r="E251" s="2">
        <v>1</v>
      </c>
      <c r="F251" s="2" t="s">
        <v>18</v>
      </c>
      <c r="G251" s="2">
        <v>17</v>
      </c>
      <c r="H251" s="2" t="b">
        <v>0</v>
      </c>
      <c r="I251" s="2">
        <v>2</v>
      </c>
      <c r="J251" s="2" t="s">
        <v>25</v>
      </c>
      <c r="K251" s="2">
        <v>2</v>
      </c>
      <c r="L251" s="2">
        <v>0.16</v>
      </c>
      <c r="M251" s="2">
        <v>0.1515</v>
      </c>
      <c r="N251" s="2">
        <v>0.86</v>
      </c>
      <c r="O251" s="2">
        <v>0.22389999999999999</v>
      </c>
      <c r="P251" s="2">
        <v>6</v>
      </c>
      <c r="Q251" s="2">
        <v>130</v>
      </c>
      <c r="R251" s="2">
        <v>136</v>
      </c>
    </row>
    <row r="252" spans="1:18" x14ac:dyDescent="0.3">
      <c r="A252" s="2">
        <v>250</v>
      </c>
      <c r="B252" s="4">
        <v>40554</v>
      </c>
      <c r="C252" s="2">
        <v>1</v>
      </c>
      <c r="D252" s="2">
        <v>0</v>
      </c>
      <c r="E252" s="2">
        <v>1</v>
      </c>
      <c r="F252" s="2" t="s">
        <v>18</v>
      </c>
      <c r="G252" s="2">
        <v>18</v>
      </c>
      <c r="H252" s="2" t="b">
        <v>0</v>
      </c>
      <c r="I252" s="2">
        <v>2</v>
      </c>
      <c r="J252" s="2" t="s">
        <v>25</v>
      </c>
      <c r="K252" s="2">
        <v>3</v>
      </c>
      <c r="L252" s="2">
        <v>0.16</v>
      </c>
      <c r="M252" s="2">
        <v>0.18179999999999999</v>
      </c>
      <c r="N252" s="2">
        <v>0.93</v>
      </c>
      <c r="O252" s="2">
        <v>0.1045</v>
      </c>
      <c r="P252" s="2">
        <v>1</v>
      </c>
      <c r="Q252" s="2">
        <v>94</v>
      </c>
      <c r="R252" s="2">
        <v>95</v>
      </c>
    </row>
    <row r="253" spans="1:18" x14ac:dyDescent="0.3">
      <c r="A253" s="2">
        <v>251</v>
      </c>
      <c r="B253" s="4">
        <v>40554</v>
      </c>
      <c r="C253" s="2">
        <v>1</v>
      </c>
      <c r="D253" s="2">
        <v>0</v>
      </c>
      <c r="E253" s="2">
        <v>1</v>
      </c>
      <c r="F253" s="2" t="s">
        <v>18</v>
      </c>
      <c r="G253" s="2">
        <v>19</v>
      </c>
      <c r="H253" s="2" t="b">
        <v>0</v>
      </c>
      <c r="I253" s="2">
        <v>2</v>
      </c>
      <c r="J253" s="2" t="s">
        <v>25</v>
      </c>
      <c r="K253" s="2">
        <v>3</v>
      </c>
      <c r="L253" s="2">
        <v>0.16</v>
      </c>
      <c r="M253" s="2">
        <v>0.2273</v>
      </c>
      <c r="N253" s="2">
        <v>0.93</v>
      </c>
      <c r="O253" s="2">
        <v>0</v>
      </c>
      <c r="P253" s="2">
        <v>0</v>
      </c>
      <c r="Q253" s="2">
        <v>51</v>
      </c>
      <c r="R253" s="2">
        <v>51</v>
      </c>
    </row>
    <row r="254" spans="1:18" x14ac:dyDescent="0.3">
      <c r="A254" s="2">
        <v>252</v>
      </c>
      <c r="B254" s="4">
        <v>40554</v>
      </c>
      <c r="C254" s="2">
        <v>1</v>
      </c>
      <c r="D254" s="2">
        <v>0</v>
      </c>
      <c r="E254" s="2">
        <v>1</v>
      </c>
      <c r="F254" s="2" t="s">
        <v>18</v>
      </c>
      <c r="G254" s="2">
        <v>20</v>
      </c>
      <c r="H254" s="2" t="b">
        <v>0</v>
      </c>
      <c r="I254" s="2">
        <v>2</v>
      </c>
      <c r="J254" s="2" t="s">
        <v>25</v>
      </c>
      <c r="K254" s="2">
        <v>3</v>
      </c>
      <c r="L254" s="2">
        <v>0.16</v>
      </c>
      <c r="M254" s="2">
        <v>0.1515</v>
      </c>
      <c r="N254" s="2">
        <v>0.93</v>
      </c>
      <c r="O254" s="2">
        <v>0.19400000000000001</v>
      </c>
      <c r="P254" s="2">
        <v>0</v>
      </c>
      <c r="Q254" s="2">
        <v>32</v>
      </c>
      <c r="R254" s="2">
        <v>32</v>
      </c>
    </row>
    <row r="255" spans="1:18" x14ac:dyDescent="0.3">
      <c r="A255" s="2">
        <v>253</v>
      </c>
      <c r="B255" s="4">
        <v>40554</v>
      </c>
      <c r="C255" s="2">
        <v>1</v>
      </c>
      <c r="D255" s="2">
        <v>0</v>
      </c>
      <c r="E255" s="2">
        <v>1</v>
      </c>
      <c r="F255" s="2" t="s">
        <v>18</v>
      </c>
      <c r="G255" s="2">
        <v>21</v>
      </c>
      <c r="H255" s="2" t="b">
        <v>0</v>
      </c>
      <c r="I255" s="2">
        <v>2</v>
      </c>
      <c r="J255" s="2" t="s">
        <v>25</v>
      </c>
      <c r="K255" s="2">
        <v>3</v>
      </c>
      <c r="L255" s="2">
        <v>0.16</v>
      </c>
      <c r="M255" s="2">
        <v>0.19700000000000001</v>
      </c>
      <c r="N255" s="2">
        <v>0.86</v>
      </c>
      <c r="O255" s="2">
        <v>8.9599999999999999E-2</v>
      </c>
      <c r="P255" s="2">
        <v>0</v>
      </c>
      <c r="Q255" s="2">
        <v>20</v>
      </c>
      <c r="R255" s="2">
        <v>20</v>
      </c>
    </row>
    <row r="256" spans="1:18" x14ac:dyDescent="0.3">
      <c r="A256" s="2">
        <v>254</v>
      </c>
      <c r="B256" s="4">
        <v>40554</v>
      </c>
      <c r="C256" s="2">
        <v>1</v>
      </c>
      <c r="D256" s="2">
        <v>0</v>
      </c>
      <c r="E256" s="2">
        <v>1</v>
      </c>
      <c r="F256" s="2" t="s">
        <v>18</v>
      </c>
      <c r="G256" s="2">
        <v>22</v>
      </c>
      <c r="H256" s="2" t="b">
        <v>0</v>
      </c>
      <c r="I256" s="2">
        <v>2</v>
      </c>
      <c r="J256" s="2" t="s">
        <v>26</v>
      </c>
      <c r="K256" s="2">
        <v>3</v>
      </c>
      <c r="L256" s="2">
        <v>0.16</v>
      </c>
      <c r="M256" s="2">
        <v>0.18179999999999999</v>
      </c>
      <c r="N256" s="2">
        <v>0.93</v>
      </c>
      <c r="O256" s="2">
        <v>0.1045</v>
      </c>
      <c r="P256" s="2">
        <v>1</v>
      </c>
      <c r="Q256" s="2">
        <v>28</v>
      </c>
      <c r="R256" s="2">
        <v>29</v>
      </c>
    </row>
    <row r="257" spans="1:18" x14ac:dyDescent="0.3">
      <c r="A257" s="2">
        <v>255</v>
      </c>
      <c r="B257" s="4">
        <v>40554</v>
      </c>
      <c r="C257" s="2">
        <v>1</v>
      </c>
      <c r="D257" s="2">
        <v>0</v>
      </c>
      <c r="E257" s="2">
        <v>1</v>
      </c>
      <c r="F257" s="2" t="s">
        <v>18</v>
      </c>
      <c r="G257" s="2">
        <v>23</v>
      </c>
      <c r="H257" s="2" t="b">
        <v>0</v>
      </c>
      <c r="I257" s="2">
        <v>2</v>
      </c>
      <c r="J257" s="2" t="s">
        <v>26</v>
      </c>
      <c r="K257" s="2">
        <v>3</v>
      </c>
      <c r="L257" s="2">
        <v>0.16</v>
      </c>
      <c r="M257" s="2">
        <v>0.19700000000000001</v>
      </c>
      <c r="N257" s="2">
        <v>0.93</v>
      </c>
      <c r="O257" s="2">
        <v>8.9599999999999999E-2</v>
      </c>
      <c r="P257" s="2">
        <v>1</v>
      </c>
      <c r="Q257" s="2">
        <v>18</v>
      </c>
      <c r="R257" s="2">
        <v>19</v>
      </c>
    </row>
    <row r="258" spans="1:18" x14ac:dyDescent="0.3">
      <c r="A258" s="2">
        <v>256</v>
      </c>
      <c r="B258" s="4">
        <v>40555</v>
      </c>
      <c r="C258" s="2">
        <v>1</v>
      </c>
      <c r="D258" s="2">
        <v>0</v>
      </c>
      <c r="E258" s="2">
        <v>1</v>
      </c>
      <c r="F258" s="2" t="s">
        <v>18</v>
      </c>
      <c r="G258" s="2">
        <v>0</v>
      </c>
      <c r="H258" s="2" t="b">
        <v>0</v>
      </c>
      <c r="I258" s="2">
        <v>3</v>
      </c>
      <c r="J258" s="2" t="s">
        <v>26</v>
      </c>
      <c r="K258" s="2">
        <v>2</v>
      </c>
      <c r="L258" s="2">
        <v>0.16</v>
      </c>
      <c r="M258" s="2">
        <v>0.19700000000000001</v>
      </c>
      <c r="N258" s="2">
        <v>0.86</v>
      </c>
      <c r="O258" s="2">
        <v>8.9599999999999999E-2</v>
      </c>
      <c r="P258" s="2">
        <v>0</v>
      </c>
      <c r="Q258" s="2">
        <v>7</v>
      </c>
      <c r="R258" s="2">
        <v>7</v>
      </c>
    </row>
    <row r="259" spans="1:18" x14ac:dyDescent="0.3">
      <c r="A259" s="2">
        <v>257</v>
      </c>
      <c r="B259" s="4">
        <v>40555</v>
      </c>
      <c r="C259" s="2">
        <v>1</v>
      </c>
      <c r="D259" s="2">
        <v>0</v>
      </c>
      <c r="E259" s="2">
        <v>1</v>
      </c>
      <c r="F259" s="2" t="s">
        <v>18</v>
      </c>
      <c r="G259" s="2">
        <v>1</v>
      </c>
      <c r="H259" s="2" t="b">
        <v>0</v>
      </c>
      <c r="I259" s="2">
        <v>3</v>
      </c>
      <c r="J259" s="2" t="s">
        <v>26</v>
      </c>
      <c r="K259" s="2">
        <v>2</v>
      </c>
      <c r="L259" s="2">
        <v>0.16</v>
      </c>
      <c r="M259" s="2">
        <v>0.18179999999999999</v>
      </c>
      <c r="N259" s="2">
        <v>0.86</v>
      </c>
      <c r="O259" s="2">
        <v>0.1045</v>
      </c>
      <c r="P259" s="2">
        <v>0</v>
      </c>
      <c r="Q259" s="2">
        <v>6</v>
      </c>
      <c r="R259" s="2">
        <v>6</v>
      </c>
    </row>
    <row r="260" spans="1:18" x14ac:dyDescent="0.3">
      <c r="A260" s="2">
        <v>258</v>
      </c>
      <c r="B260" s="4">
        <v>40555</v>
      </c>
      <c r="C260" s="2">
        <v>1</v>
      </c>
      <c r="D260" s="2">
        <v>0</v>
      </c>
      <c r="E260" s="2">
        <v>1</v>
      </c>
      <c r="F260" s="2" t="s">
        <v>18</v>
      </c>
      <c r="G260" s="2">
        <v>2</v>
      </c>
      <c r="H260" s="2" t="b">
        <v>0</v>
      </c>
      <c r="I260" s="2">
        <v>3</v>
      </c>
      <c r="J260" s="2" t="s">
        <v>26</v>
      </c>
      <c r="K260" s="2">
        <v>1</v>
      </c>
      <c r="L260" s="2">
        <v>0.14000000000000001</v>
      </c>
      <c r="M260" s="2">
        <v>0.1515</v>
      </c>
      <c r="N260" s="2">
        <v>0.86</v>
      </c>
      <c r="O260" s="2">
        <v>0.1343</v>
      </c>
      <c r="P260" s="2">
        <v>0</v>
      </c>
      <c r="Q260" s="2">
        <v>1</v>
      </c>
      <c r="R260" s="2">
        <v>1</v>
      </c>
    </row>
    <row r="261" spans="1:18" x14ac:dyDescent="0.3">
      <c r="A261" s="2">
        <v>259</v>
      </c>
      <c r="B261" s="4">
        <v>40555</v>
      </c>
      <c r="C261" s="2">
        <v>1</v>
      </c>
      <c r="D261" s="2">
        <v>0</v>
      </c>
      <c r="E261" s="2">
        <v>1</v>
      </c>
      <c r="F261" s="2" t="s">
        <v>18</v>
      </c>
      <c r="G261" s="2">
        <v>5</v>
      </c>
      <c r="H261" s="2" t="b">
        <v>0</v>
      </c>
      <c r="I261" s="2">
        <v>3</v>
      </c>
      <c r="J261" s="2" t="s">
        <v>26</v>
      </c>
      <c r="K261" s="2">
        <v>1</v>
      </c>
      <c r="L261" s="2">
        <v>0.14000000000000001</v>
      </c>
      <c r="M261" s="2">
        <v>0.1515</v>
      </c>
      <c r="N261" s="2">
        <v>0.86</v>
      </c>
      <c r="O261" s="2">
        <v>0.16420000000000001</v>
      </c>
      <c r="P261" s="2">
        <v>0</v>
      </c>
      <c r="Q261" s="2">
        <v>5</v>
      </c>
      <c r="R261" s="2">
        <v>5</v>
      </c>
    </row>
    <row r="262" spans="1:18" x14ac:dyDescent="0.3">
      <c r="A262" s="2">
        <v>260</v>
      </c>
      <c r="B262" s="4">
        <v>40555</v>
      </c>
      <c r="C262" s="2">
        <v>1</v>
      </c>
      <c r="D262" s="2">
        <v>0</v>
      </c>
      <c r="E262" s="2">
        <v>1</v>
      </c>
      <c r="F262" s="2" t="s">
        <v>18</v>
      </c>
      <c r="G262" s="2">
        <v>6</v>
      </c>
      <c r="H262" s="2" t="b">
        <v>0</v>
      </c>
      <c r="I262" s="2">
        <v>3</v>
      </c>
      <c r="J262" s="2" t="s">
        <v>26</v>
      </c>
      <c r="K262" s="2">
        <v>1</v>
      </c>
      <c r="L262" s="2">
        <v>0.12</v>
      </c>
      <c r="M262" s="2">
        <v>0.1515</v>
      </c>
      <c r="N262" s="2">
        <v>0.93</v>
      </c>
      <c r="O262" s="2">
        <v>0.1343</v>
      </c>
      <c r="P262" s="2">
        <v>0</v>
      </c>
      <c r="Q262" s="2">
        <v>16</v>
      </c>
      <c r="R262" s="2">
        <v>16</v>
      </c>
    </row>
    <row r="263" spans="1:18" x14ac:dyDescent="0.3">
      <c r="A263" s="2">
        <v>261</v>
      </c>
      <c r="B263" s="4">
        <v>40555</v>
      </c>
      <c r="C263" s="2">
        <v>1</v>
      </c>
      <c r="D263" s="2">
        <v>0</v>
      </c>
      <c r="E263" s="2">
        <v>1</v>
      </c>
      <c r="F263" s="2" t="s">
        <v>18</v>
      </c>
      <c r="G263" s="2">
        <v>7</v>
      </c>
      <c r="H263" s="2" t="b">
        <v>0</v>
      </c>
      <c r="I263" s="2">
        <v>3</v>
      </c>
      <c r="J263" s="2" t="s">
        <v>26</v>
      </c>
      <c r="K263" s="2">
        <v>1</v>
      </c>
      <c r="L263" s="2">
        <v>0.14000000000000001</v>
      </c>
      <c r="M263" s="2">
        <v>0.1515</v>
      </c>
      <c r="N263" s="2">
        <v>0.69</v>
      </c>
      <c r="O263" s="2">
        <v>0.1343</v>
      </c>
      <c r="P263" s="2">
        <v>0</v>
      </c>
      <c r="Q263" s="2">
        <v>54</v>
      </c>
      <c r="R263" s="2">
        <v>54</v>
      </c>
    </row>
    <row r="264" spans="1:18" x14ac:dyDescent="0.3">
      <c r="A264" s="2">
        <v>262</v>
      </c>
      <c r="B264" s="4">
        <v>40555</v>
      </c>
      <c r="C264" s="2">
        <v>1</v>
      </c>
      <c r="D264" s="2">
        <v>0</v>
      </c>
      <c r="E264" s="2">
        <v>1</v>
      </c>
      <c r="F264" s="2" t="s">
        <v>18</v>
      </c>
      <c r="G264" s="2">
        <v>8</v>
      </c>
      <c r="H264" s="2" t="b">
        <v>0</v>
      </c>
      <c r="I264" s="2">
        <v>3</v>
      </c>
      <c r="J264" s="2" t="s">
        <v>26</v>
      </c>
      <c r="K264" s="2">
        <v>1</v>
      </c>
      <c r="L264" s="2">
        <v>0.16</v>
      </c>
      <c r="M264" s="2">
        <v>0.16669999999999999</v>
      </c>
      <c r="N264" s="2">
        <v>0.59</v>
      </c>
      <c r="O264" s="2">
        <v>0.16420000000000001</v>
      </c>
      <c r="P264" s="2">
        <v>3</v>
      </c>
      <c r="Q264" s="2">
        <v>125</v>
      </c>
      <c r="R264" s="2">
        <v>128</v>
      </c>
    </row>
    <row r="265" spans="1:18" x14ac:dyDescent="0.3">
      <c r="A265" s="2">
        <v>263</v>
      </c>
      <c r="B265" s="4">
        <v>40555</v>
      </c>
      <c r="C265" s="2">
        <v>1</v>
      </c>
      <c r="D265" s="2">
        <v>0</v>
      </c>
      <c r="E265" s="2">
        <v>1</v>
      </c>
      <c r="F265" s="2" t="s">
        <v>18</v>
      </c>
      <c r="G265" s="2">
        <v>9</v>
      </c>
      <c r="H265" s="2" t="b">
        <v>0</v>
      </c>
      <c r="I265" s="2">
        <v>3</v>
      </c>
      <c r="J265" s="2" t="s">
        <v>26</v>
      </c>
      <c r="K265" s="2">
        <v>1</v>
      </c>
      <c r="L265" s="2">
        <v>0.16</v>
      </c>
      <c r="M265" s="2">
        <v>0.13639999999999999</v>
      </c>
      <c r="N265" s="2">
        <v>0.59</v>
      </c>
      <c r="O265" s="2">
        <v>0.32840000000000003</v>
      </c>
      <c r="P265" s="2">
        <v>3</v>
      </c>
      <c r="Q265" s="2">
        <v>78</v>
      </c>
      <c r="R265" s="2">
        <v>81</v>
      </c>
    </row>
    <row r="266" spans="1:18" x14ac:dyDescent="0.3">
      <c r="A266" s="2">
        <v>264</v>
      </c>
      <c r="B266" s="4">
        <v>40555</v>
      </c>
      <c r="C266" s="2">
        <v>1</v>
      </c>
      <c r="D266" s="2">
        <v>0</v>
      </c>
      <c r="E266" s="2">
        <v>1</v>
      </c>
      <c r="F266" s="2" t="s">
        <v>18</v>
      </c>
      <c r="G266" s="2">
        <v>10</v>
      </c>
      <c r="H266" s="2" t="b">
        <v>0</v>
      </c>
      <c r="I266" s="2">
        <v>3</v>
      </c>
      <c r="J266" s="2" t="s">
        <v>26</v>
      </c>
      <c r="K266" s="2">
        <v>1</v>
      </c>
      <c r="L266" s="2">
        <v>0.18</v>
      </c>
      <c r="M266" s="2">
        <v>0.18179999999999999</v>
      </c>
      <c r="N266" s="2">
        <v>0.55000000000000004</v>
      </c>
      <c r="O266" s="2">
        <v>0.22389999999999999</v>
      </c>
      <c r="P266" s="2">
        <v>0</v>
      </c>
      <c r="Q266" s="2">
        <v>39</v>
      </c>
      <c r="R266" s="2">
        <v>39</v>
      </c>
    </row>
    <row r="267" spans="1:18" x14ac:dyDescent="0.3">
      <c r="A267" s="2">
        <v>265</v>
      </c>
      <c r="B267" s="4">
        <v>40555</v>
      </c>
      <c r="C267" s="2">
        <v>1</v>
      </c>
      <c r="D267" s="2">
        <v>0</v>
      </c>
      <c r="E267" s="2">
        <v>1</v>
      </c>
      <c r="F267" s="2" t="s">
        <v>18</v>
      </c>
      <c r="G267" s="2">
        <v>11</v>
      </c>
      <c r="H267" s="2" t="b">
        <v>0</v>
      </c>
      <c r="I267" s="2">
        <v>3</v>
      </c>
      <c r="J267" s="2" t="s">
        <v>26</v>
      </c>
      <c r="K267" s="2">
        <v>1</v>
      </c>
      <c r="L267" s="2">
        <v>0.2</v>
      </c>
      <c r="M267" s="2">
        <v>0.18179999999999999</v>
      </c>
      <c r="N267" s="2">
        <v>0.51</v>
      </c>
      <c r="O267" s="2">
        <v>0.3881</v>
      </c>
      <c r="P267" s="2">
        <v>3</v>
      </c>
      <c r="Q267" s="2">
        <v>32</v>
      </c>
      <c r="R267" s="2">
        <v>35</v>
      </c>
    </row>
    <row r="268" spans="1:18" x14ac:dyDescent="0.3">
      <c r="A268" s="2">
        <v>266</v>
      </c>
      <c r="B268" s="4">
        <v>40555</v>
      </c>
      <c r="C268" s="2">
        <v>1</v>
      </c>
      <c r="D268" s="2">
        <v>0</v>
      </c>
      <c r="E268" s="2">
        <v>1</v>
      </c>
      <c r="F268" s="2" t="s">
        <v>18</v>
      </c>
      <c r="G268" s="2">
        <v>12</v>
      </c>
      <c r="H268" s="2" t="b">
        <v>0</v>
      </c>
      <c r="I268" s="2">
        <v>3</v>
      </c>
      <c r="J268" s="2" t="s">
        <v>26</v>
      </c>
      <c r="K268" s="2">
        <v>1</v>
      </c>
      <c r="L268" s="2">
        <v>0.2</v>
      </c>
      <c r="M268" s="2">
        <v>0.1515</v>
      </c>
      <c r="N268" s="2">
        <v>0.47</v>
      </c>
      <c r="O268" s="2">
        <v>0.58209999999999995</v>
      </c>
      <c r="P268" s="2">
        <v>3</v>
      </c>
      <c r="Q268" s="2">
        <v>52</v>
      </c>
      <c r="R268" s="2">
        <v>55</v>
      </c>
    </row>
    <row r="269" spans="1:18" x14ac:dyDescent="0.3">
      <c r="A269" s="2">
        <v>267</v>
      </c>
      <c r="B269" s="4">
        <v>40555</v>
      </c>
      <c r="C269" s="2">
        <v>1</v>
      </c>
      <c r="D269" s="2">
        <v>0</v>
      </c>
      <c r="E269" s="2">
        <v>1</v>
      </c>
      <c r="F269" s="2" t="s">
        <v>18</v>
      </c>
      <c r="G269" s="2">
        <v>13</v>
      </c>
      <c r="H269" s="2" t="b">
        <v>0</v>
      </c>
      <c r="I269" s="2">
        <v>3</v>
      </c>
      <c r="J269" s="2" t="s">
        <v>26</v>
      </c>
      <c r="K269" s="2">
        <v>1</v>
      </c>
      <c r="L269" s="2">
        <v>0.22</v>
      </c>
      <c r="M269" s="2">
        <v>0.19700000000000001</v>
      </c>
      <c r="N269" s="2">
        <v>0.44</v>
      </c>
      <c r="O269" s="2">
        <v>0.35820000000000002</v>
      </c>
      <c r="P269" s="2">
        <v>0</v>
      </c>
      <c r="Q269" s="2">
        <v>49</v>
      </c>
      <c r="R269" s="2">
        <v>49</v>
      </c>
    </row>
    <row r="270" spans="1:18" x14ac:dyDescent="0.3">
      <c r="A270" s="2">
        <v>268</v>
      </c>
      <c r="B270" s="4">
        <v>40555</v>
      </c>
      <c r="C270" s="2">
        <v>1</v>
      </c>
      <c r="D270" s="2">
        <v>0</v>
      </c>
      <c r="E270" s="2">
        <v>1</v>
      </c>
      <c r="F270" s="2" t="s">
        <v>18</v>
      </c>
      <c r="G270" s="2">
        <v>14</v>
      </c>
      <c r="H270" s="2" t="b">
        <v>0</v>
      </c>
      <c r="I270" s="2">
        <v>3</v>
      </c>
      <c r="J270" s="2" t="s">
        <v>26</v>
      </c>
      <c r="K270" s="2">
        <v>1</v>
      </c>
      <c r="L270" s="2">
        <v>0.2</v>
      </c>
      <c r="M270" s="2">
        <v>0.18179999999999999</v>
      </c>
      <c r="N270" s="2">
        <v>0.47</v>
      </c>
      <c r="O270" s="2">
        <v>0.32840000000000003</v>
      </c>
      <c r="P270" s="2">
        <v>0</v>
      </c>
      <c r="Q270" s="2">
        <v>44</v>
      </c>
      <c r="R270" s="2">
        <v>44</v>
      </c>
    </row>
    <row r="271" spans="1:18" x14ac:dyDescent="0.3">
      <c r="A271" s="2">
        <v>269</v>
      </c>
      <c r="B271" s="4">
        <v>40555</v>
      </c>
      <c r="C271" s="2">
        <v>1</v>
      </c>
      <c r="D271" s="2">
        <v>0</v>
      </c>
      <c r="E271" s="2">
        <v>1</v>
      </c>
      <c r="F271" s="2" t="s">
        <v>18</v>
      </c>
      <c r="G271" s="2">
        <v>15</v>
      </c>
      <c r="H271" s="2" t="b">
        <v>0</v>
      </c>
      <c r="I271" s="2">
        <v>3</v>
      </c>
      <c r="J271" s="2" t="s">
        <v>26</v>
      </c>
      <c r="K271" s="2">
        <v>1</v>
      </c>
      <c r="L271" s="2">
        <v>0.2</v>
      </c>
      <c r="M271" s="2">
        <v>0.16669999999999999</v>
      </c>
      <c r="N271" s="2">
        <v>0.47</v>
      </c>
      <c r="O271" s="2">
        <v>0.41789999999999999</v>
      </c>
      <c r="P271" s="2">
        <v>1</v>
      </c>
      <c r="Q271" s="2">
        <v>48</v>
      </c>
      <c r="R271" s="2">
        <v>49</v>
      </c>
    </row>
    <row r="272" spans="1:18" x14ac:dyDescent="0.3">
      <c r="A272" s="2">
        <v>270</v>
      </c>
      <c r="B272" s="4">
        <v>40555</v>
      </c>
      <c r="C272" s="2">
        <v>1</v>
      </c>
      <c r="D272" s="2">
        <v>0</v>
      </c>
      <c r="E272" s="2">
        <v>1</v>
      </c>
      <c r="F272" s="2" t="s">
        <v>18</v>
      </c>
      <c r="G272" s="2">
        <v>16</v>
      </c>
      <c r="H272" s="2" t="b">
        <v>0</v>
      </c>
      <c r="I272" s="2">
        <v>3</v>
      </c>
      <c r="J272" s="2" t="s">
        <v>26</v>
      </c>
      <c r="K272" s="2">
        <v>1</v>
      </c>
      <c r="L272" s="2">
        <v>0.22</v>
      </c>
      <c r="M272" s="2">
        <v>0.19700000000000001</v>
      </c>
      <c r="N272" s="2">
        <v>0.44</v>
      </c>
      <c r="O272" s="2">
        <v>0.32840000000000003</v>
      </c>
      <c r="P272" s="2">
        <v>5</v>
      </c>
      <c r="Q272" s="2">
        <v>63</v>
      </c>
      <c r="R272" s="2">
        <v>68</v>
      </c>
    </row>
    <row r="273" spans="1:18" x14ac:dyDescent="0.3">
      <c r="A273" s="2">
        <v>271</v>
      </c>
      <c r="B273" s="4">
        <v>40555</v>
      </c>
      <c r="C273" s="2">
        <v>1</v>
      </c>
      <c r="D273" s="2">
        <v>0</v>
      </c>
      <c r="E273" s="2">
        <v>1</v>
      </c>
      <c r="F273" s="2" t="s">
        <v>18</v>
      </c>
      <c r="G273" s="2">
        <v>17</v>
      </c>
      <c r="H273" s="2" t="b">
        <v>0</v>
      </c>
      <c r="I273" s="2">
        <v>3</v>
      </c>
      <c r="J273" s="2" t="s">
        <v>26</v>
      </c>
      <c r="K273" s="2">
        <v>1</v>
      </c>
      <c r="L273" s="2">
        <v>0.2</v>
      </c>
      <c r="M273" s="2">
        <v>0.18179999999999999</v>
      </c>
      <c r="N273" s="2">
        <v>0.47</v>
      </c>
      <c r="O273" s="2">
        <v>0.35820000000000002</v>
      </c>
      <c r="P273" s="2">
        <v>0</v>
      </c>
      <c r="Q273" s="2">
        <v>139</v>
      </c>
      <c r="R273" s="2">
        <v>139</v>
      </c>
    </row>
    <row r="274" spans="1:18" x14ac:dyDescent="0.3">
      <c r="A274" s="2">
        <v>272</v>
      </c>
      <c r="B274" s="4">
        <v>40555</v>
      </c>
      <c r="C274" s="2">
        <v>1</v>
      </c>
      <c r="D274" s="2">
        <v>0</v>
      </c>
      <c r="E274" s="2">
        <v>1</v>
      </c>
      <c r="F274" s="2" t="s">
        <v>18</v>
      </c>
      <c r="G274" s="2">
        <v>18</v>
      </c>
      <c r="H274" s="2" t="b">
        <v>0</v>
      </c>
      <c r="I274" s="2">
        <v>3</v>
      </c>
      <c r="J274" s="2" t="s">
        <v>26</v>
      </c>
      <c r="K274" s="2">
        <v>1</v>
      </c>
      <c r="L274" s="2">
        <v>0.2</v>
      </c>
      <c r="M274" s="2">
        <v>0.1515</v>
      </c>
      <c r="N274" s="2">
        <v>0.47</v>
      </c>
      <c r="O274" s="2">
        <v>0.52239999999999998</v>
      </c>
      <c r="P274" s="2">
        <v>2</v>
      </c>
      <c r="Q274" s="2">
        <v>135</v>
      </c>
      <c r="R274" s="2">
        <v>137</v>
      </c>
    </row>
    <row r="275" spans="1:18" x14ac:dyDescent="0.3">
      <c r="A275" s="2">
        <v>273</v>
      </c>
      <c r="B275" s="4">
        <v>40555</v>
      </c>
      <c r="C275" s="2">
        <v>1</v>
      </c>
      <c r="D275" s="2">
        <v>0</v>
      </c>
      <c r="E275" s="2">
        <v>1</v>
      </c>
      <c r="F275" s="2" t="s">
        <v>18</v>
      </c>
      <c r="G275" s="2">
        <v>19</v>
      </c>
      <c r="H275" s="2" t="b">
        <v>0</v>
      </c>
      <c r="I275" s="2">
        <v>3</v>
      </c>
      <c r="J275" s="2" t="s">
        <v>26</v>
      </c>
      <c r="K275" s="2">
        <v>1</v>
      </c>
      <c r="L275" s="2">
        <v>0.18</v>
      </c>
      <c r="M275" s="2">
        <v>0.1515</v>
      </c>
      <c r="N275" s="2">
        <v>0.47</v>
      </c>
      <c r="O275" s="2">
        <v>0.41789999999999999</v>
      </c>
      <c r="P275" s="2">
        <v>1</v>
      </c>
      <c r="Q275" s="2">
        <v>82</v>
      </c>
      <c r="R275" s="2">
        <v>83</v>
      </c>
    </row>
    <row r="276" spans="1:18" x14ac:dyDescent="0.3">
      <c r="A276" s="2">
        <v>274</v>
      </c>
      <c r="B276" s="4">
        <v>40555</v>
      </c>
      <c r="C276" s="2">
        <v>1</v>
      </c>
      <c r="D276" s="2">
        <v>0</v>
      </c>
      <c r="E276" s="2">
        <v>1</v>
      </c>
      <c r="F276" s="2" t="s">
        <v>18</v>
      </c>
      <c r="G276" s="2">
        <v>20</v>
      </c>
      <c r="H276" s="2" t="b">
        <v>0</v>
      </c>
      <c r="I276" s="2">
        <v>3</v>
      </c>
      <c r="J276" s="2" t="s">
        <v>26</v>
      </c>
      <c r="K276" s="2">
        <v>1</v>
      </c>
      <c r="L276" s="2">
        <v>0.16</v>
      </c>
      <c r="M276" s="2">
        <v>0.13639999999999999</v>
      </c>
      <c r="N276" s="2">
        <v>0.5</v>
      </c>
      <c r="O276" s="2">
        <v>0.32840000000000003</v>
      </c>
      <c r="P276" s="2">
        <v>2</v>
      </c>
      <c r="Q276" s="2">
        <v>54</v>
      </c>
      <c r="R276" s="2">
        <v>56</v>
      </c>
    </row>
    <row r="277" spans="1:18" x14ac:dyDescent="0.3">
      <c r="A277" s="2">
        <v>275</v>
      </c>
      <c r="B277" s="4">
        <v>40555</v>
      </c>
      <c r="C277" s="2">
        <v>1</v>
      </c>
      <c r="D277" s="2">
        <v>0</v>
      </c>
      <c r="E277" s="2">
        <v>1</v>
      </c>
      <c r="F277" s="2" t="s">
        <v>18</v>
      </c>
      <c r="G277" s="2">
        <v>21</v>
      </c>
      <c r="H277" s="2" t="b">
        <v>0</v>
      </c>
      <c r="I277" s="2">
        <v>3</v>
      </c>
      <c r="J277" s="2" t="s">
        <v>26</v>
      </c>
      <c r="K277" s="2">
        <v>1</v>
      </c>
      <c r="L277" s="2">
        <v>0.16</v>
      </c>
      <c r="M277" s="2">
        <v>0.13639999999999999</v>
      </c>
      <c r="N277" s="2">
        <v>0.55000000000000004</v>
      </c>
      <c r="O277" s="2">
        <v>0.32840000000000003</v>
      </c>
      <c r="P277" s="2">
        <v>0</v>
      </c>
      <c r="Q277" s="2">
        <v>57</v>
      </c>
      <c r="R277" s="2">
        <v>57</v>
      </c>
    </row>
    <row r="278" spans="1:18" x14ac:dyDescent="0.3">
      <c r="A278" s="2">
        <v>276</v>
      </c>
      <c r="B278" s="4">
        <v>40555</v>
      </c>
      <c r="C278" s="2">
        <v>1</v>
      </c>
      <c r="D278" s="2">
        <v>0</v>
      </c>
      <c r="E278" s="2">
        <v>1</v>
      </c>
      <c r="F278" s="2" t="s">
        <v>18</v>
      </c>
      <c r="G278" s="2">
        <v>22</v>
      </c>
      <c r="H278" s="2" t="b">
        <v>0</v>
      </c>
      <c r="I278" s="2">
        <v>3</v>
      </c>
      <c r="J278" s="2" t="s">
        <v>26</v>
      </c>
      <c r="K278" s="2">
        <v>1</v>
      </c>
      <c r="L278" s="2">
        <v>0.16</v>
      </c>
      <c r="M278" s="2">
        <v>0.1212</v>
      </c>
      <c r="N278" s="2">
        <v>0.55000000000000004</v>
      </c>
      <c r="O278" s="2">
        <v>0.44779999999999998</v>
      </c>
      <c r="P278" s="2">
        <v>1</v>
      </c>
      <c r="Q278" s="2">
        <v>32</v>
      </c>
      <c r="R278" s="2">
        <v>33</v>
      </c>
    </row>
    <row r="279" spans="1:18" x14ac:dyDescent="0.3">
      <c r="A279" s="2">
        <v>277</v>
      </c>
      <c r="B279" s="4">
        <v>40555</v>
      </c>
      <c r="C279" s="2">
        <v>1</v>
      </c>
      <c r="D279" s="2">
        <v>0</v>
      </c>
      <c r="E279" s="2">
        <v>1</v>
      </c>
      <c r="F279" s="2" t="s">
        <v>18</v>
      </c>
      <c r="G279" s="2">
        <v>23</v>
      </c>
      <c r="H279" s="2" t="b">
        <v>0</v>
      </c>
      <c r="I279" s="2">
        <v>3</v>
      </c>
      <c r="J279" s="2" t="s">
        <v>27</v>
      </c>
      <c r="K279" s="2">
        <v>1</v>
      </c>
      <c r="L279" s="2">
        <v>0.14000000000000001</v>
      </c>
      <c r="M279" s="2">
        <v>0.1061</v>
      </c>
      <c r="N279" s="2">
        <v>0.59</v>
      </c>
      <c r="O279" s="2">
        <v>0.41789999999999999</v>
      </c>
      <c r="P279" s="2">
        <v>1</v>
      </c>
      <c r="Q279" s="2">
        <v>19</v>
      </c>
      <c r="R279" s="2">
        <v>20</v>
      </c>
    </row>
    <row r="280" spans="1:18" x14ac:dyDescent="0.3">
      <c r="A280" s="2">
        <v>278</v>
      </c>
      <c r="B280" s="4">
        <v>40556</v>
      </c>
      <c r="C280" s="2">
        <v>1</v>
      </c>
      <c r="D280" s="2">
        <v>0</v>
      </c>
      <c r="E280" s="2">
        <v>1</v>
      </c>
      <c r="F280" s="2" t="s">
        <v>18</v>
      </c>
      <c r="G280" s="2">
        <v>0</v>
      </c>
      <c r="H280" s="2" t="b">
        <v>0</v>
      </c>
      <c r="I280" s="2">
        <v>4</v>
      </c>
      <c r="J280" s="2" t="s">
        <v>27</v>
      </c>
      <c r="K280" s="2">
        <v>1</v>
      </c>
      <c r="L280" s="2">
        <v>0.14000000000000001</v>
      </c>
      <c r="M280" s="2">
        <v>0.1212</v>
      </c>
      <c r="N280" s="2">
        <v>0.59</v>
      </c>
      <c r="O280" s="2">
        <v>0.28360000000000002</v>
      </c>
      <c r="P280" s="2">
        <v>1</v>
      </c>
      <c r="Q280" s="2">
        <v>6</v>
      </c>
      <c r="R280" s="2">
        <v>7</v>
      </c>
    </row>
    <row r="281" spans="1:18" x14ac:dyDescent="0.3">
      <c r="A281" s="2">
        <v>279</v>
      </c>
      <c r="B281" s="4">
        <v>40556</v>
      </c>
      <c r="C281" s="2">
        <v>1</v>
      </c>
      <c r="D281" s="2">
        <v>0</v>
      </c>
      <c r="E281" s="2">
        <v>1</v>
      </c>
      <c r="F281" s="2" t="s">
        <v>18</v>
      </c>
      <c r="G281" s="2">
        <v>1</v>
      </c>
      <c r="H281" s="2" t="b">
        <v>0</v>
      </c>
      <c r="I281" s="2">
        <v>4</v>
      </c>
      <c r="J281" s="2" t="s">
        <v>27</v>
      </c>
      <c r="K281" s="2">
        <v>1</v>
      </c>
      <c r="L281" s="2">
        <v>0.14000000000000001</v>
      </c>
      <c r="M281" s="2">
        <v>0.1212</v>
      </c>
      <c r="N281" s="2">
        <v>0.5</v>
      </c>
      <c r="O281" s="2">
        <v>0.28360000000000002</v>
      </c>
      <c r="P281" s="2">
        <v>0</v>
      </c>
      <c r="Q281" s="2">
        <v>2</v>
      </c>
      <c r="R281" s="2">
        <v>2</v>
      </c>
    </row>
    <row r="282" spans="1:18" x14ac:dyDescent="0.3">
      <c r="A282" s="2">
        <v>280</v>
      </c>
      <c r="B282" s="4">
        <v>40556</v>
      </c>
      <c r="C282" s="2">
        <v>1</v>
      </c>
      <c r="D282" s="2">
        <v>0</v>
      </c>
      <c r="E282" s="2">
        <v>1</v>
      </c>
      <c r="F282" s="2" t="s">
        <v>18</v>
      </c>
      <c r="G282" s="2">
        <v>2</v>
      </c>
      <c r="H282" s="2" t="b">
        <v>0</v>
      </c>
      <c r="I282" s="2">
        <v>4</v>
      </c>
      <c r="J282" s="2" t="s">
        <v>27</v>
      </c>
      <c r="K282" s="2">
        <v>1</v>
      </c>
      <c r="L282" s="2">
        <v>0.14000000000000001</v>
      </c>
      <c r="M282" s="2">
        <v>0.1212</v>
      </c>
      <c r="N282" s="2">
        <v>0.5</v>
      </c>
      <c r="O282" s="2">
        <v>0.35820000000000002</v>
      </c>
      <c r="P282" s="2">
        <v>0</v>
      </c>
      <c r="Q282" s="2">
        <v>2</v>
      </c>
      <c r="R282" s="2">
        <v>2</v>
      </c>
    </row>
    <row r="283" spans="1:18" x14ac:dyDescent="0.3">
      <c r="A283" s="2">
        <v>281</v>
      </c>
      <c r="B283" s="4">
        <v>40556</v>
      </c>
      <c r="C283" s="2">
        <v>1</v>
      </c>
      <c r="D283" s="2">
        <v>0</v>
      </c>
      <c r="E283" s="2">
        <v>1</v>
      </c>
      <c r="F283" s="2" t="s">
        <v>18</v>
      </c>
      <c r="G283" s="2">
        <v>3</v>
      </c>
      <c r="H283" s="2" t="b">
        <v>0</v>
      </c>
      <c r="I283" s="2">
        <v>4</v>
      </c>
      <c r="J283" s="2" t="s">
        <v>27</v>
      </c>
      <c r="K283" s="2">
        <v>1</v>
      </c>
      <c r="L283" s="2">
        <v>0.14000000000000001</v>
      </c>
      <c r="M283" s="2">
        <v>0.1212</v>
      </c>
      <c r="N283" s="2">
        <v>0.5</v>
      </c>
      <c r="O283" s="2">
        <v>0.32840000000000003</v>
      </c>
      <c r="P283" s="2">
        <v>0</v>
      </c>
      <c r="Q283" s="2">
        <v>3</v>
      </c>
      <c r="R283" s="2">
        <v>3</v>
      </c>
    </row>
    <row r="284" spans="1:18" x14ac:dyDescent="0.3">
      <c r="A284" s="2">
        <v>282</v>
      </c>
      <c r="B284" s="4">
        <v>40556</v>
      </c>
      <c r="C284" s="2">
        <v>1</v>
      </c>
      <c r="D284" s="2">
        <v>0</v>
      </c>
      <c r="E284" s="2">
        <v>1</v>
      </c>
      <c r="F284" s="2" t="s">
        <v>18</v>
      </c>
      <c r="G284" s="2">
        <v>4</v>
      </c>
      <c r="H284" s="2" t="b">
        <v>0</v>
      </c>
      <c r="I284" s="2">
        <v>4</v>
      </c>
      <c r="J284" s="2" t="s">
        <v>27</v>
      </c>
      <c r="K284" s="2">
        <v>1</v>
      </c>
      <c r="L284" s="2">
        <v>0.14000000000000001</v>
      </c>
      <c r="M284" s="2">
        <v>0.1212</v>
      </c>
      <c r="N284" s="2">
        <v>0.5</v>
      </c>
      <c r="O284" s="2">
        <v>0.25369999999999998</v>
      </c>
      <c r="P284" s="2">
        <v>0</v>
      </c>
      <c r="Q284" s="2">
        <v>4</v>
      </c>
      <c r="R284" s="2">
        <v>4</v>
      </c>
    </row>
    <row r="285" spans="1:18" x14ac:dyDescent="0.3">
      <c r="A285" s="2">
        <v>283</v>
      </c>
      <c r="B285" s="4">
        <v>40556</v>
      </c>
      <c r="C285" s="2">
        <v>1</v>
      </c>
      <c r="D285" s="2">
        <v>0</v>
      </c>
      <c r="E285" s="2">
        <v>1</v>
      </c>
      <c r="F285" s="2" t="s">
        <v>18</v>
      </c>
      <c r="G285" s="2">
        <v>5</v>
      </c>
      <c r="H285" s="2" t="b">
        <v>0</v>
      </c>
      <c r="I285" s="2">
        <v>4</v>
      </c>
      <c r="J285" s="2" t="s">
        <v>27</v>
      </c>
      <c r="K285" s="2">
        <v>1</v>
      </c>
      <c r="L285" s="2">
        <v>0.14000000000000001</v>
      </c>
      <c r="M285" s="2">
        <v>0.1212</v>
      </c>
      <c r="N285" s="2">
        <v>0.5</v>
      </c>
      <c r="O285" s="2">
        <v>0.29849999999999999</v>
      </c>
      <c r="P285" s="2">
        <v>0</v>
      </c>
      <c r="Q285" s="2">
        <v>3</v>
      </c>
      <c r="R285" s="2">
        <v>3</v>
      </c>
    </row>
    <row r="286" spans="1:18" x14ac:dyDescent="0.3">
      <c r="A286" s="2">
        <v>284</v>
      </c>
      <c r="B286" s="4">
        <v>40556</v>
      </c>
      <c r="C286" s="2">
        <v>1</v>
      </c>
      <c r="D286" s="2">
        <v>0</v>
      </c>
      <c r="E286" s="2">
        <v>1</v>
      </c>
      <c r="F286" s="2" t="s">
        <v>18</v>
      </c>
      <c r="G286" s="2">
        <v>6</v>
      </c>
      <c r="H286" s="2" t="b">
        <v>0</v>
      </c>
      <c r="I286" s="2">
        <v>4</v>
      </c>
      <c r="J286" s="2" t="s">
        <v>27</v>
      </c>
      <c r="K286" s="2">
        <v>1</v>
      </c>
      <c r="L286" s="2">
        <v>0.12</v>
      </c>
      <c r="M286" s="2">
        <v>0.1515</v>
      </c>
      <c r="N286" s="2">
        <v>0.54</v>
      </c>
      <c r="O286" s="2">
        <v>0.1343</v>
      </c>
      <c r="P286" s="2">
        <v>0</v>
      </c>
      <c r="Q286" s="2">
        <v>28</v>
      </c>
      <c r="R286" s="2">
        <v>28</v>
      </c>
    </row>
    <row r="287" spans="1:18" x14ac:dyDescent="0.3">
      <c r="A287" s="2">
        <v>285</v>
      </c>
      <c r="B287" s="4">
        <v>40556</v>
      </c>
      <c r="C287" s="2">
        <v>1</v>
      </c>
      <c r="D287" s="2">
        <v>0</v>
      </c>
      <c r="E287" s="2">
        <v>1</v>
      </c>
      <c r="F287" s="2" t="s">
        <v>18</v>
      </c>
      <c r="G287" s="2">
        <v>7</v>
      </c>
      <c r="H287" s="2" t="b">
        <v>0</v>
      </c>
      <c r="I287" s="2">
        <v>4</v>
      </c>
      <c r="J287" s="2" t="s">
        <v>27</v>
      </c>
      <c r="K287" s="2">
        <v>1</v>
      </c>
      <c r="L287" s="2">
        <v>0.12</v>
      </c>
      <c r="M287" s="2">
        <v>0.1515</v>
      </c>
      <c r="N287" s="2">
        <v>0.54</v>
      </c>
      <c r="O287" s="2">
        <v>0.1343</v>
      </c>
      <c r="P287" s="2">
        <v>0</v>
      </c>
      <c r="Q287" s="2">
        <v>72</v>
      </c>
      <c r="R287" s="2">
        <v>72</v>
      </c>
    </row>
    <row r="288" spans="1:18" x14ac:dyDescent="0.3">
      <c r="A288" s="2">
        <v>286</v>
      </c>
      <c r="B288" s="4">
        <v>40556</v>
      </c>
      <c r="C288" s="2">
        <v>1</v>
      </c>
      <c r="D288" s="2">
        <v>0</v>
      </c>
      <c r="E288" s="2">
        <v>1</v>
      </c>
      <c r="F288" s="2" t="s">
        <v>18</v>
      </c>
      <c r="G288" s="2">
        <v>8</v>
      </c>
      <c r="H288" s="2" t="b">
        <v>0</v>
      </c>
      <c r="I288" s="2">
        <v>4</v>
      </c>
      <c r="J288" s="2" t="s">
        <v>27</v>
      </c>
      <c r="K288" s="2">
        <v>1</v>
      </c>
      <c r="L288" s="2">
        <v>0.14000000000000001</v>
      </c>
      <c r="M288" s="2">
        <v>0.13639999999999999</v>
      </c>
      <c r="N288" s="2">
        <v>0.5</v>
      </c>
      <c r="O288" s="2">
        <v>0.19400000000000001</v>
      </c>
      <c r="P288" s="2">
        <v>5</v>
      </c>
      <c r="Q288" s="2">
        <v>197</v>
      </c>
      <c r="R288" s="2">
        <v>202</v>
      </c>
    </row>
    <row r="289" spans="1:18" x14ac:dyDescent="0.3">
      <c r="A289" s="2">
        <v>287</v>
      </c>
      <c r="B289" s="4">
        <v>40556</v>
      </c>
      <c r="C289" s="2">
        <v>1</v>
      </c>
      <c r="D289" s="2">
        <v>0</v>
      </c>
      <c r="E289" s="2">
        <v>1</v>
      </c>
      <c r="F289" s="2" t="s">
        <v>18</v>
      </c>
      <c r="G289" s="2">
        <v>9</v>
      </c>
      <c r="H289" s="2" t="b">
        <v>0</v>
      </c>
      <c r="I289" s="2">
        <v>4</v>
      </c>
      <c r="J289" s="2" t="s">
        <v>27</v>
      </c>
      <c r="K289" s="2">
        <v>1</v>
      </c>
      <c r="L289" s="2">
        <v>0.14000000000000001</v>
      </c>
      <c r="M289" s="2">
        <v>0.1212</v>
      </c>
      <c r="N289" s="2">
        <v>0.5</v>
      </c>
      <c r="O289" s="2">
        <v>0.32840000000000003</v>
      </c>
      <c r="P289" s="2">
        <v>2</v>
      </c>
      <c r="Q289" s="2">
        <v>137</v>
      </c>
      <c r="R289" s="2">
        <v>139</v>
      </c>
    </row>
    <row r="290" spans="1:18" x14ac:dyDescent="0.3">
      <c r="A290" s="2">
        <v>288</v>
      </c>
      <c r="B290" s="4">
        <v>40556</v>
      </c>
      <c r="C290" s="2">
        <v>1</v>
      </c>
      <c r="D290" s="2">
        <v>0</v>
      </c>
      <c r="E290" s="2">
        <v>1</v>
      </c>
      <c r="F290" s="2" t="s">
        <v>18</v>
      </c>
      <c r="G290" s="2">
        <v>10</v>
      </c>
      <c r="H290" s="2" t="b">
        <v>0</v>
      </c>
      <c r="I290" s="2">
        <v>4</v>
      </c>
      <c r="J290" s="2" t="s">
        <v>27</v>
      </c>
      <c r="K290" s="2">
        <v>2</v>
      </c>
      <c r="L290" s="2">
        <v>0.16</v>
      </c>
      <c r="M290" s="2">
        <v>0.13639999999999999</v>
      </c>
      <c r="N290" s="2">
        <v>0.5</v>
      </c>
      <c r="O290" s="2">
        <v>0.35820000000000002</v>
      </c>
      <c r="P290" s="2">
        <v>2</v>
      </c>
      <c r="Q290" s="2">
        <v>36</v>
      </c>
      <c r="R290" s="2">
        <v>38</v>
      </c>
    </row>
    <row r="291" spans="1:18" x14ac:dyDescent="0.3">
      <c r="A291" s="2">
        <v>289</v>
      </c>
      <c r="B291" s="4">
        <v>40556</v>
      </c>
      <c r="C291" s="2">
        <v>1</v>
      </c>
      <c r="D291" s="2">
        <v>0</v>
      </c>
      <c r="E291" s="2">
        <v>1</v>
      </c>
      <c r="F291" s="2" t="s">
        <v>18</v>
      </c>
      <c r="G291" s="2">
        <v>11</v>
      </c>
      <c r="H291" s="2" t="b">
        <v>0</v>
      </c>
      <c r="I291" s="2">
        <v>4</v>
      </c>
      <c r="J291" s="2" t="s">
        <v>27</v>
      </c>
      <c r="K291" s="2">
        <v>2</v>
      </c>
      <c r="L291" s="2">
        <v>0.2</v>
      </c>
      <c r="M291" s="2">
        <v>0.16669999999999999</v>
      </c>
      <c r="N291" s="2">
        <v>0.44</v>
      </c>
      <c r="O291" s="2">
        <v>0.44779999999999998</v>
      </c>
      <c r="P291" s="2">
        <v>4</v>
      </c>
      <c r="Q291" s="2">
        <v>33</v>
      </c>
      <c r="R291" s="2">
        <v>37</v>
      </c>
    </row>
    <row r="292" spans="1:18" x14ac:dyDescent="0.3">
      <c r="A292" s="2">
        <v>290</v>
      </c>
      <c r="B292" s="4">
        <v>40556</v>
      </c>
      <c r="C292" s="2">
        <v>1</v>
      </c>
      <c r="D292" s="2">
        <v>0</v>
      </c>
      <c r="E292" s="2">
        <v>1</v>
      </c>
      <c r="F292" s="2" t="s">
        <v>18</v>
      </c>
      <c r="G292" s="2">
        <v>12</v>
      </c>
      <c r="H292" s="2" t="b">
        <v>0</v>
      </c>
      <c r="I292" s="2">
        <v>4</v>
      </c>
      <c r="J292" s="2" t="s">
        <v>27</v>
      </c>
      <c r="K292" s="2">
        <v>1</v>
      </c>
      <c r="L292" s="2">
        <v>0.2</v>
      </c>
      <c r="M292" s="2">
        <v>0.16669999999999999</v>
      </c>
      <c r="N292" s="2">
        <v>0.44</v>
      </c>
      <c r="O292" s="2">
        <v>0.41789999999999999</v>
      </c>
      <c r="P292" s="2">
        <v>3</v>
      </c>
      <c r="Q292" s="2">
        <v>49</v>
      </c>
      <c r="R292" s="2">
        <v>52</v>
      </c>
    </row>
    <row r="293" spans="1:18" x14ac:dyDescent="0.3">
      <c r="A293" s="2">
        <v>291</v>
      </c>
      <c r="B293" s="4">
        <v>40556</v>
      </c>
      <c r="C293" s="2">
        <v>1</v>
      </c>
      <c r="D293" s="2">
        <v>0</v>
      </c>
      <c r="E293" s="2">
        <v>1</v>
      </c>
      <c r="F293" s="2" t="s">
        <v>18</v>
      </c>
      <c r="G293" s="2">
        <v>13</v>
      </c>
      <c r="H293" s="2" t="b">
        <v>0</v>
      </c>
      <c r="I293" s="2">
        <v>4</v>
      </c>
      <c r="J293" s="2" t="s">
        <v>27</v>
      </c>
      <c r="K293" s="2">
        <v>1</v>
      </c>
      <c r="L293" s="2">
        <v>0.22</v>
      </c>
      <c r="M293" s="2">
        <v>0.19700000000000001</v>
      </c>
      <c r="N293" s="2">
        <v>0.41</v>
      </c>
      <c r="O293" s="2">
        <v>0.44779999999999998</v>
      </c>
      <c r="P293" s="2">
        <v>2</v>
      </c>
      <c r="Q293" s="2">
        <v>81</v>
      </c>
      <c r="R293" s="2">
        <v>83</v>
      </c>
    </row>
    <row r="294" spans="1:18" x14ac:dyDescent="0.3">
      <c r="A294" s="2">
        <v>292</v>
      </c>
      <c r="B294" s="4">
        <v>40556</v>
      </c>
      <c r="C294" s="2">
        <v>1</v>
      </c>
      <c r="D294" s="2">
        <v>0</v>
      </c>
      <c r="E294" s="2">
        <v>1</v>
      </c>
      <c r="F294" s="2" t="s">
        <v>18</v>
      </c>
      <c r="G294" s="2">
        <v>14</v>
      </c>
      <c r="H294" s="2" t="b">
        <v>0</v>
      </c>
      <c r="I294" s="2">
        <v>4</v>
      </c>
      <c r="J294" s="2" t="s">
        <v>27</v>
      </c>
      <c r="K294" s="2">
        <v>1</v>
      </c>
      <c r="L294" s="2">
        <v>0.22</v>
      </c>
      <c r="M294" s="2">
        <v>0.19700000000000001</v>
      </c>
      <c r="N294" s="2">
        <v>0.41</v>
      </c>
      <c r="O294" s="2">
        <v>0.3881</v>
      </c>
      <c r="P294" s="2">
        <v>3</v>
      </c>
      <c r="Q294" s="2">
        <v>39</v>
      </c>
      <c r="R294" s="2">
        <v>42</v>
      </c>
    </row>
    <row r="295" spans="1:18" x14ac:dyDescent="0.3">
      <c r="A295" s="2">
        <v>293</v>
      </c>
      <c r="B295" s="4">
        <v>40556</v>
      </c>
      <c r="C295" s="2">
        <v>1</v>
      </c>
      <c r="D295" s="2">
        <v>0</v>
      </c>
      <c r="E295" s="2">
        <v>1</v>
      </c>
      <c r="F295" s="2" t="s">
        <v>18</v>
      </c>
      <c r="G295" s="2">
        <v>15</v>
      </c>
      <c r="H295" s="2" t="b">
        <v>0</v>
      </c>
      <c r="I295" s="2">
        <v>4</v>
      </c>
      <c r="J295" s="2" t="s">
        <v>27</v>
      </c>
      <c r="K295" s="2">
        <v>1</v>
      </c>
      <c r="L295" s="2">
        <v>0.24</v>
      </c>
      <c r="M295" s="2">
        <v>0.21210000000000001</v>
      </c>
      <c r="N295" s="2">
        <v>0.38</v>
      </c>
      <c r="O295" s="2">
        <v>0.29849999999999999</v>
      </c>
      <c r="P295" s="2">
        <v>5</v>
      </c>
      <c r="Q295" s="2">
        <v>55</v>
      </c>
      <c r="R295" s="2">
        <v>60</v>
      </c>
    </row>
    <row r="296" spans="1:18" x14ac:dyDescent="0.3">
      <c r="A296" s="2">
        <v>294</v>
      </c>
      <c r="B296" s="4">
        <v>40556</v>
      </c>
      <c r="C296" s="2">
        <v>1</v>
      </c>
      <c r="D296" s="2">
        <v>0</v>
      </c>
      <c r="E296" s="2">
        <v>1</v>
      </c>
      <c r="F296" s="2" t="s">
        <v>18</v>
      </c>
      <c r="G296" s="2">
        <v>16</v>
      </c>
      <c r="H296" s="2" t="b">
        <v>0</v>
      </c>
      <c r="I296" s="2">
        <v>4</v>
      </c>
      <c r="J296" s="2" t="s">
        <v>27</v>
      </c>
      <c r="K296" s="2">
        <v>1</v>
      </c>
      <c r="L296" s="2">
        <v>0.24</v>
      </c>
      <c r="M296" s="2">
        <v>0.21210000000000001</v>
      </c>
      <c r="N296" s="2">
        <v>0.38</v>
      </c>
      <c r="O296" s="2">
        <v>0.35820000000000002</v>
      </c>
      <c r="P296" s="2">
        <v>2</v>
      </c>
      <c r="Q296" s="2">
        <v>76</v>
      </c>
      <c r="R296" s="2">
        <v>78</v>
      </c>
    </row>
    <row r="297" spans="1:18" x14ac:dyDescent="0.3">
      <c r="A297" s="2">
        <v>295</v>
      </c>
      <c r="B297" s="4">
        <v>40556</v>
      </c>
      <c r="C297" s="2">
        <v>1</v>
      </c>
      <c r="D297" s="2">
        <v>0</v>
      </c>
      <c r="E297" s="2">
        <v>1</v>
      </c>
      <c r="F297" s="2" t="s">
        <v>18</v>
      </c>
      <c r="G297" s="2">
        <v>17</v>
      </c>
      <c r="H297" s="2" t="b">
        <v>0</v>
      </c>
      <c r="I297" s="2">
        <v>4</v>
      </c>
      <c r="J297" s="2" t="s">
        <v>27</v>
      </c>
      <c r="K297" s="2">
        <v>1</v>
      </c>
      <c r="L297" s="2">
        <v>0.2</v>
      </c>
      <c r="M297" s="2">
        <v>0.18179999999999999</v>
      </c>
      <c r="N297" s="2">
        <v>0.4</v>
      </c>
      <c r="O297" s="2">
        <v>0.28360000000000002</v>
      </c>
      <c r="P297" s="2">
        <v>4</v>
      </c>
      <c r="Q297" s="2">
        <v>158</v>
      </c>
      <c r="R297" s="2">
        <v>162</v>
      </c>
    </row>
    <row r="298" spans="1:18" x14ac:dyDescent="0.3">
      <c r="A298" s="2">
        <v>296</v>
      </c>
      <c r="B298" s="4">
        <v>40556</v>
      </c>
      <c r="C298" s="2">
        <v>1</v>
      </c>
      <c r="D298" s="2">
        <v>0</v>
      </c>
      <c r="E298" s="2">
        <v>1</v>
      </c>
      <c r="F298" s="2" t="s">
        <v>18</v>
      </c>
      <c r="G298" s="2">
        <v>18</v>
      </c>
      <c r="H298" s="2" t="b">
        <v>0</v>
      </c>
      <c r="I298" s="2">
        <v>4</v>
      </c>
      <c r="J298" s="2" t="s">
        <v>27</v>
      </c>
      <c r="K298" s="2">
        <v>1</v>
      </c>
      <c r="L298" s="2">
        <v>0.2</v>
      </c>
      <c r="M298" s="2">
        <v>0.18179999999999999</v>
      </c>
      <c r="N298" s="2">
        <v>0.4</v>
      </c>
      <c r="O298" s="2">
        <v>0.32840000000000003</v>
      </c>
      <c r="P298" s="2">
        <v>3</v>
      </c>
      <c r="Q298" s="2">
        <v>141</v>
      </c>
      <c r="R298" s="2">
        <v>144</v>
      </c>
    </row>
    <row r="299" spans="1:18" x14ac:dyDescent="0.3">
      <c r="A299" s="2">
        <v>297</v>
      </c>
      <c r="B299" s="4">
        <v>40556</v>
      </c>
      <c r="C299" s="2">
        <v>1</v>
      </c>
      <c r="D299" s="2">
        <v>0</v>
      </c>
      <c r="E299" s="2">
        <v>1</v>
      </c>
      <c r="F299" s="2" t="s">
        <v>18</v>
      </c>
      <c r="G299" s="2">
        <v>19</v>
      </c>
      <c r="H299" s="2" t="b">
        <v>0</v>
      </c>
      <c r="I299" s="2">
        <v>4</v>
      </c>
      <c r="J299" s="2" t="s">
        <v>27</v>
      </c>
      <c r="K299" s="2">
        <v>1</v>
      </c>
      <c r="L299" s="2">
        <v>0.16</v>
      </c>
      <c r="M299" s="2">
        <v>0.1515</v>
      </c>
      <c r="N299" s="2">
        <v>0.47</v>
      </c>
      <c r="O299" s="2">
        <v>0.25369999999999998</v>
      </c>
      <c r="P299" s="2">
        <v>1</v>
      </c>
      <c r="Q299" s="2">
        <v>98</v>
      </c>
      <c r="R299" s="2">
        <v>99</v>
      </c>
    </row>
    <row r="300" spans="1:18" x14ac:dyDescent="0.3">
      <c r="A300" s="2">
        <v>298</v>
      </c>
      <c r="B300" s="4">
        <v>40556</v>
      </c>
      <c r="C300" s="2">
        <v>1</v>
      </c>
      <c r="D300" s="2">
        <v>0</v>
      </c>
      <c r="E300" s="2">
        <v>1</v>
      </c>
      <c r="F300" s="2" t="s">
        <v>18</v>
      </c>
      <c r="G300" s="2">
        <v>20</v>
      </c>
      <c r="H300" s="2" t="b">
        <v>0</v>
      </c>
      <c r="I300" s="2">
        <v>4</v>
      </c>
      <c r="J300" s="2" t="s">
        <v>27</v>
      </c>
      <c r="K300" s="2">
        <v>1</v>
      </c>
      <c r="L300" s="2">
        <v>0.16</v>
      </c>
      <c r="M300" s="2">
        <v>0.1515</v>
      </c>
      <c r="N300" s="2">
        <v>0.47</v>
      </c>
      <c r="O300" s="2">
        <v>0.22389999999999999</v>
      </c>
      <c r="P300" s="2">
        <v>0</v>
      </c>
      <c r="Q300" s="2">
        <v>64</v>
      </c>
      <c r="R300" s="2">
        <v>64</v>
      </c>
    </row>
    <row r="301" spans="1:18" x14ac:dyDescent="0.3">
      <c r="A301" s="2">
        <v>299</v>
      </c>
      <c r="B301" s="4">
        <v>40556</v>
      </c>
      <c r="C301" s="2">
        <v>1</v>
      </c>
      <c r="D301" s="2">
        <v>0</v>
      </c>
      <c r="E301" s="2">
        <v>1</v>
      </c>
      <c r="F301" s="2" t="s">
        <v>18</v>
      </c>
      <c r="G301" s="2">
        <v>21</v>
      </c>
      <c r="H301" s="2" t="b">
        <v>0</v>
      </c>
      <c r="I301" s="2">
        <v>4</v>
      </c>
      <c r="J301" s="2" t="s">
        <v>27</v>
      </c>
      <c r="K301" s="2">
        <v>1</v>
      </c>
      <c r="L301" s="2">
        <v>0.14000000000000001</v>
      </c>
      <c r="M301" s="2">
        <v>0.1212</v>
      </c>
      <c r="N301" s="2">
        <v>0.46</v>
      </c>
      <c r="O301" s="2">
        <v>0.29849999999999999</v>
      </c>
      <c r="P301" s="2">
        <v>0</v>
      </c>
      <c r="Q301" s="2">
        <v>40</v>
      </c>
      <c r="R301" s="2">
        <v>40</v>
      </c>
    </row>
    <row r="302" spans="1:18" x14ac:dyDescent="0.3">
      <c r="A302" s="2">
        <v>300</v>
      </c>
      <c r="B302" s="4">
        <v>40556</v>
      </c>
      <c r="C302" s="2">
        <v>1</v>
      </c>
      <c r="D302" s="2">
        <v>0</v>
      </c>
      <c r="E302" s="2">
        <v>1</v>
      </c>
      <c r="F302" s="2" t="s">
        <v>18</v>
      </c>
      <c r="G302" s="2">
        <v>22</v>
      </c>
      <c r="H302" s="2" t="b">
        <v>0</v>
      </c>
      <c r="I302" s="2">
        <v>4</v>
      </c>
      <c r="J302" s="2" t="s">
        <v>28</v>
      </c>
      <c r="K302" s="2">
        <v>1</v>
      </c>
      <c r="L302" s="2">
        <v>0.14000000000000001</v>
      </c>
      <c r="M302" s="2">
        <v>0.1212</v>
      </c>
      <c r="N302" s="2">
        <v>0.46</v>
      </c>
      <c r="O302" s="2">
        <v>0.32840000000000003</v>
      </c>
      <c r="P302" s="2">
        <v>0</v>
      </c>
      <c r="Q302" s="2">
        <v>30</v>
      </c>
      <c r="R302" s="2">
        <v>30</v>
      </c>
    </row>
    <row r="303" spans="1:18" x14ac:dyDescent="0.3">
      <c r="A303" s="2">
        <v>301</v>
      </c>
      <c r="B303" s="4">
        <v>40556</v>
      </c>
      <c r="C303" s="2">
        <v>1</v>
      </c>
      <c r="D303" s="2">
        <v>0</v>
      </c>
      <c r="E303" s="2">
        <v>1</v>
      </c>
      <c r="F303" s="2" t="s">
        <v>18</v>
      </c>
      <c r="G303" s="2">
        <v>23</v>
      </c>
      <c r="H303" s="2" t="b">
        <v>0</v>
      </c>
      <c r="I303" s="2">
        <v>4</v>
      </c>
      <c r="J303" s="2" t="s">
        <v>28</v>
      </c>
      <c r="K303" s="2">
        <v>1</v>
      </c>
      <c r="L303" s="2">
        <v>0.12</v>
      </c>
      <c r="M303" s="2">
        <v>0.13639999999999999</v>
      </c>
      <c r="N303" s="2">
        <v>0.5</v>
      </c>
      <c r="O303" s="2">
        <v>0.19400000000000001</v>
      </c>
      <c r="P303" s="2">
        <v>1</v>
      </c>
      <c r="Q303" s="2">
        <v>14</v>
      </c>
      <c r="R303" s="2">
        <v>15</v>
      </c>
    </row>
    <row r="304" spans="1:18" x14ac:dyDescent="0.3">
      <c r="A304" s="2">
        <v>302</v>
      </c>
      <c r="B304" s="4">
        <v>40557</v>
      </c>
      <c r="C304" s="2">
        <v>1</v>
      </c>
      <c r="D304" s="2">
        <v>0</v>
      </c>
      <c r="E304" s="2">
        <v>1</v>
      </c>
      <c r="F304" s="2" t="s">
        <v>18</v>
      </c>
      <c r="G304" s="2">
        <v>0</v>
      </c>
      <c r="H304" s="2" t="b">
        <v>0</v>
      </c>
      <c r="I304" s="2">
        <v>5</v>
      </c>
      <c r="J304" s="2" t="s">
        <v>28</v>
      </c>
      <c r="K304" s="2">
        <v>1</v>
      </c>
      <c r="L304" s="2">
        <v>0.12</v>
      </c>
      <c r="M304" s="2">
        <v>0.13639999999999999</v>
      </c>
      <c r="N304" s="2">
        <v>0.5</v>
      </c>
      <c r="O304" s="2">
        <v>0.19400000000000001</v>
      </c>
      <c r="P304" s="2">
        <v>0</v>
      </c>
      <c r="Q304" s="2">
        <v>14</v>
      </c>
      <c r="R304" s="2">
        <v>14</v>
      </c>
    </row>
    <row r="305" spans="1:18" x14ac:dyDescent="0.3">
      <c r="A305" s="2">
        <v>303</v>
      </c>
      <c r="B305" s="4">
        <v>40557</v>
      </c>
      <c r="C305" s="2">
        <v>1</v>
      </c>
      <c r="D305" s="2">
        <v>0</v>
      </c>
      <c r="E305" s="2">
        <v>1</v>
      </c>
      <c r="F305" s="2" t="s">
        <v>18</v>
      </c>
      <c r="G305" s="2">
        <v>1</v>
      </c>
      <c r="H305" s="2" t="b">
        <v>0</v>
      </c>
      <c r="I305" s="2">
        <v>5</v>
      </c>
      <c r="J305" s="2" t="s">
        <v>28</v>
      </c>
      <c r="K305" s="2">
        <v>1</v>
      </c>
      <c r="L305" s="2">
        <v>0.1</v>
      </c>
      <c r="M305" s="2">
        <v>0.1212</v>
      </c>
      <c r="N305" s="2">
        <v>0.54</v>
      </c>
      <c r="O305" s="2">
        <v>0.16420000000000001</v>
      </c>
      <c r="P305" s="2">
        <v>0</v>
      </c>
      <c r="Q305" s="2">
        <v>5</v>
      </c>
      <c r="R305" s="2">
        <v>5</v>
      </c>
    </row>
    <row r="306" spans="1:18" x14ac:dyDescent="0.3">
      <c r="A306" s="2">
        <v>304</v>
      </c>
      <c r="B306" s="4">
        <v>40557</v>
      </c>
      <c r="C306" s="2">
        <v>1</v>
      </c>
      <c r="D306" s="2">
        <v>0</v>
      </c>
      <c r="E306" s="2">
        <v>1</v>
      </c>
      <c r="F306" s="2" t="s">
        <v>18</v>
      </c>
      <c r="G306" s="2">
        <v>2</v>
      </c>
      <c r="H306" s="2" t="b">
        <v>0</v>
      </c>
      <c r="I306" s="2">
        <v>5</v>
      </c>
      <c r="J306" s="2" t="s">
        <v>28</v>
      </c>
      <c r="K306" s="2">
        <v>1</v>
      </c>
      <c r="L306" s="2">
        <v>0.1</v>
      </c>
      <c r="M306" s="2">
        <v>0.1212</v>
      </c>
      <c r="N306" s="2">
        <v>0.54</v>
      </c>
      <c r="O306" s="2">
        <v>0.1343</v>
      </c>
      <c r="P306" s="2">
        <v>0</v>
      </c>
      <c r="Q306" s="2">
        <v>1</v>
      </c>
      <c r="R306" s="2">
        <v>1</v>
      </c>
    </row>
    <row r="307" spans="1:18" x14ac:dyDescent="0.3">
      <c r="A307" s="2">
        <v>305</v>
      </c>
      <c r="B307" s="4">
        <v>40557</v>
      </c>
      <c r="C307" s="2">
        <v>1</v>
      </c>
      <c r="D307" s="2">
        <v>0</v>
      </c>
      <c r="E307" s="2">
        <v>1</v>
      </c>
      <c r="F307" s="2" t="s">
        <v>18</v>
      </c>
      <c r="G307" s="2">
        <v>3</v>
      </c>
      <c r="H307" s="2" t="b">
        <v>0</v>
      </c>
      <c r="I307" s="2">
        <v>5</v>
      </c>
      <c r="J307" s="2" t="s">
        <v>28</v>
      </c>
      <c r="K307" s="2">
        <v>1</v>
      </c>
      <c r="L307" s="2">
        <v>0.1</v>
      </c>
      <c r="M307" s="2">
        <v>0.13639999999999999</v>
      </c>
      <c r="N307" s="2">
        <v>0.54</v>
      </c>
      <c r="O307" s="2">
        <v>0.1045</v>
      </c>
      <c r="P307" s="2">
        <v>0</v>
      </c>
      <c r="Q307" s="2">
        <v>1</v>
      </c>
      <c r="R307" s="2">
        <v>1</v>
      </c>
    </row>
    <row r="308" spans="1:18" x14ac:dyDescent="0.3">
      <c r="A308" s="2">
        <v>306</v>
      </c>
      <c r="B308" s="4">
        <v>40557</v>
      </c>
      <c r="C308" s="2">
        <v>1</v>
      </c>
      <c r="D308" s="2">
        <v>0</v>
      </c>
      <c r="E308" s="2">
        <v>1</v>
      </c>
      <c r="F308" s="2" t="s">
        <v>18</v>
      </c>
      <c r="G308" s="2">
        <v>5</v>
      </c>
      <c r="H308" s="2" t="b">
        <v>0</v>
      </c>
      <c r="I308" s="2">
        <v>5</v>
      </c>
      <c r="J308" s="2" t="s">
        <v>28</v>
      </c>
      <c r="K308" s="2">
        <v>1</v>
      </c>
      <c r="L308" s="2">
        <v>0.1</v>
      </c>
      <c r="M308" s="2">
        <v>0.13639999999999999</v>
      </c>
      <c r="N308" s="2">
        <v>0.54</v>
      </c>
      <c r="O308" s="2">
        <v>8.9599999999999999E-2</v>
      </c>
      <c r="P308" s="2">
        <v>0</v>
      </c>
      <c r="Q308" s="2">
        <v>8</v>
      </c>
      <c r="R308" s="2">
        <v>8</v>
      </c>
    </row>
    <row r="309" spans="1:18" x14ac:dyDescent="0.3">
      <c r="A309" s="2">
        <v>307</v>
      </c>
      <c r="B309" s="4">
        <v>40557</v>
      </c>
      <c r="C309" s="2">
        <v>1</v>
      </c>
      <c r="D309" s="2">
        <v>0</v>
      </c>
      <c r="E309" s="2">
        <v>1</v>
      </c>
      <c r="F309" s="2" t="s">
        <v>18</v>
      </c>
      <c r="G309" s="2">
        <v>6</v>
      </c>
      <c r="H309" s="2" t="b">
        <v>0</v>
      </c>
      <c r="I309" s="2">
        <v>5</v>
      </c>
      <c r="J309" s="2" t="s">
        <v>28</v>
      </c>
      <c r="K309" s="2">
        <v>1</v>
      </c>
      <c r="L309" s="2">
        <v>0.1</v>
      </c>
      <c r="M309" s="2">
        <v>0.18179999999999999</v>
      </c>
      <c r="N309" s="2">
        <v>0.54</v>
      </c>
      <c r="O309" s="2">
        <v>0</v>
      </c>
      <c r="P309" s="2">
        <v>0</v>
      </c>
      <c r="Q309" s="2">
        <v>17</v>
      </c>
      <c r="R309" s="2">
        <v>17</v>
      </c>
    </row>
    <row r="310" spans="1:18" x14ac:dyDescent="0.3">
      <c r="A310" s="2">
        <v>308</v>
      </c>
      <c r="B310" s="4">
        <v>40557</v>
      </c>
      <c r="C310" s="2">
        <v>1</v>
      </c>
      <c r="D310" s="2">
        <v>0</v>
      </c>
      <c r="E310" s="2">
        <v>1</v>
      </c>
      <c r="F310" s="2" t="s">
        <v>18</v>
      </c>
      <c r="G310" s="2">
        <v>7</v>
      </c>
      <c r="H310" s="2" t="b">
        <v>0</v>
      </c>
      <c r="I310" s="2">
        <v>5</v>
      </c>
      <c r="J310" s="2" t="s">
        <v>28</v>
      </c>
      <c r="K310" s="2">
        <v>1</v>
      </c>
      <c r="L310" s="2">
        <v>0.1</v>
      </c>
      <c r="M310" s="2">
        <v>0.1212</v>
      </c>
      <c r="N310" s="2">
        <v>0.74</v>
      </c>
      <c r="O310" s="2">
        <v>0.16420000000000001</v>
      </c>
      <c r="P310" s="2">
        <v>0</v>
      </c>
      <c r="Q310" s="2">
        <v>70</v>
      </c>
      <c r="R310" s="2">
        <v>70</v>
      </c>
    </row>
    <row r="311" spans="1:18" x14ac:dyDescent="0.3">
      <c r="A311" s="2">
        <v>309</v>
      </c>
      <c r="B311" s="4">
        <v>40557</v>
      </c>
      <c r="C311" s="2">
        <v>1</v>
      </c>
      <c r="D311" s="2">
        <v>0</v>
      </c>
      <c r="E311" s="2">
        <v>1</v>
      </c>
      <c r="F311" s="2" t="s">
        <v>18</v>
      </c>
      <c r="G311" s="2">
        <v>8</v>
      </c>
      <c r="H311" s="2" t="b">
        <v>0</v>
      </c>
      <c r="I311" s="2">
        <v>5</v>
      </c>
      <c r="J311" s="2" t="s">
        <v>28</v>
      </c>
      <c r="K311" s="2">
        <v>1</v>
      </c>
      <c r="L311" s="2">
        <v>0.12</v>
      </c>
      <c r="M311" s="2">
        <v>0.16669999999999999</v>
      </c>
      <c r="N311" s="2">
        <v>0.68</v>
      </c>
      <c r="O311" s="2">
        <v>0</v>
      </c>
      <c r="P311" s="2">
        <v>2</v>
      </c>
      <c r="Q311" s="2">
        <v>156</v>
      </c>
      <c r="R311" s="2">
        <v>158</v>
      </c>
    </row>
    <row r="312" spans="1:18" x14ac:dyDescent="0.3">
      <c r="A312" s="2">
        <v>310</v>
      </c>
      <c r="B312" s="4">
        <v>40557</v>
      </c>
      <c r="C312" s="2">
        <v>1</v>
      </c>
      <c r="D312" s="2">
        <v>0</v>
      </c>
      <c r="E312" s="2">
        <v>1</v>
      </c>
      <c r="F312" s="2" t="s">
        <v>18</v>
      </c>
      <c r="G312" s="2">
        <v>9</v>
      </c>
      <c r="H312" s="2" t="b">
        <v>0</v>
      </c>
      <c r="I312" s="2">
        <v>5</v>
      </c>
      <c r="J312" s="2" t="s">
        <v>28</v>
      </c>
      <c r="K312" s="2">
        <v>1</v>
      </c>
      <c r="L312" s="2">
        <v>0.14000000000000001</v>
      </c>
      <c r="M312" s="2">
        <v>0.1515</v>
      </c>
      <c r="N312" s="2">
        <v>0.69</v>
      </c>
      <c r="O312" s="2">
        <v>0.1343</v>
      </c>
      <c r="P312" s="2">
        <v>0</v>
      </c>
      <c r="Q312" s="2">
        <v>117</v>
      </c>
      <c r="R312" s="2">
        <v>117</v>
      </c>
    </row>
    <row r="313" spans="1:18" x14ac:dyDescent="0.3">
      <c r="A313" s="2">
        <v>311</v>
      </c>
      <c r="B313" s="4">
        <v>40557</v>
      </c>
      <c r="C313" s="2">
        <v>1</v>
      </c>
      <c r="D313" s="2">
        <v>0</v>
      </c>
      <c r="E313" s="2">
        <v>1</v>
      </c>
      <c r="F313" s="2" t="s">
        <v>18</v>
      </c>
      <c r="G313" s="2">
        <v>10</v>
      </c>
      <c r="H313" s="2" t="b">
        <v>0</v>
      </c>
      <c r="I313" s="2">
        <v>5</v>
      </c>
      <c r="J313" s="2" t="s">
        <v>28</v>
      </c>
      <c r="K313" s="2">
        <v>1</v>
      </c>
      <c r="L313" s="2">
        <v>0.18</v>
      </c>
      <c r="M313" s="2">
        <v>0.18179999999999999</v>
      </c>
      <c r="N313" s="2">
        <v>0.55000000000000004</v>
      </c>
      <c r="O313" s="2">
        <v>0.19400000000000001</v>
      </c>
      <c r="P313" s="2">
        <v>4</v>
      </c>
      <c r="Q313" s="2">
        <v>40</v>
      </c>
      <c r="R313" s="2">
        <v>44</v>
      </c>
    </row>
    <row r="314" spans="1:18" x14ac:dyDescent="0.3">
      <c r="A314" s="2">
        <v>312</v>
      </c>
      <c r="B314" s="4">
        <v>40557</v>
      </c>
      <c r="C314" s="2">
        <v>1</v>
      </c>
      <c r="D314" s="2">
        <v>0</v>
      </c>
      <c r="E314" s="2">
        <v>1</v>
      </c>
      <c r="F314" s="2" t="s">
        <v>18</v>
      </c>
      <c r="G314" s="2">
        <v>11</v>
      </c>
      <c r="H314" s="2" t="b">
        <v>0</v>
      </c>
      <c r="I314" s="2">
        <v>5</v>
      </c>
      <c r="J314" s="2" t="s">
        <v>28</v>
      </c>
      <c r="K314" s="2">
        <v>1</v>
      </c>
      <c r="L314" s="2">
        <v>0.18</v>
      </c>
      <c r="M314" s="2">
        <v>0.16669999999999999</v>
      </c>
      <c r="N314" s="2">
        <v>0.51</v>
      </c>
      <c r="O314" s="2">
        <v>0.28360000000000002</v>
      </c>
      <c r="P314" s="2">
        <v>6</v>
      </c>
      <c r="Q314" s="2">
        <v>47</v>
      </c>
      <c r="R314" s="2">
        <v>53</v>
      </c>
    </row>
    <row r="315" spans="1:18" x14ac:dyDescent="0.3">
      <c r="A315" s="2">
        <v>313</v>
      </c>
      <c r="B315" s="4">
        <v>40557</v>
      </c>
      <c r="C315" s="2">
        <v>1</v>
      </c>
      <c r="D315" s="2">
        <v>0</v>
      </c>
      <c r="E315" s="2">
        <v>1</v>
      </c>
      <c r="F315" s="2" t="s">
        <v>18</v>
      </c>
      <c r="G315" s="2">
        <v>12</v>
      </c>
      <c r="H315" s="2" t="b">
        <v>0</v>
      </c>
      <c r="I315" s="2">
        <v>5</v>
      </c>
      <c r="J315" s="2" t="s">
        <v>28</v>
      </c>
      <c r="K315" s="2">
        <v>1</v>
      </c>
      <c r="L315" s="2">
        <v>0.2</v>
      </c>
      <c r="M315" s="2">
        <v>0.19700000000000001</v>
      </c>
      <c r="N315" s="2">
        <v>0.44</v>
      </c>
      <c r="O315" s="2">
        <v>0.25369999999999998</v>
      </c>
      <c r="P315" s="2">
        <v>2</v>
      </c>
      <c r="Q315" s="2">
        <v>59</v>
      </c>
      <c r="R315" s="2">
        <v>61</v>
      </c>
    </row>
    <row r="316" spans="1:18" x14ac:dyDescent="0.3">
      <c r="A316" s="2">
        <v>314</v>
      </c>
      <c r="B316" s="4">
        <v>40557</v>
      </c>
      <c r="C316" s="2">
        <v>1</v>
      </c>
      <c r="D316" s="2">
        <v>0</v>
      </c>
      <c r="E316" s="2">
        <v>1</v>
      </c>
      <c r="F316" s="2" t="s">
        <v>18</v>
      </c>
      <c r="G316" s="2">
        <v>13</v>
      </c>
      <c r="H316" s="2" t="b">
        <v>0</v>
      </c>
      <c r="I316" s="2">
        <v>5</v>
      </c>
      <c r="J316" s="2" t="s">
        <v>28</v>
      </c>
      <c r="K316" s="2">
        <v>1</v>
      </c>
      <c r="L316" s="2">
        <v>0.22</v>
      </c>
      <c r="M316" s="2">
        <v>0.19700000000000001</v>
      </c>
      <c r="N316" s="2">
        <v>0.37</v>
      </c>
      <c r="O316" s="2">
        <v>0.3881</v>
      </c>
      <c r="P316" s="2">
        <v>4</v>
      </c>
      <c r="Q316" s="2">
        <v>73</v>
      </c>
      <c r="R316" s="2">
        <v>77</v>
      </c>
    </row>
    <row r="317" spans="1:18" x14ac:dyDescent="0.3">
      <c r="A317" s="2">
        <v>315</v>
      </c>
      <c r="B317" s="4">
        <v>40557</v>
      </c>
      <c r="C317" s="2">
        <v>1</v>
      </c>
      <c r="D317" s="2">
        <v>0</v>
      </c>
      <c r="E317" s="2">
        <v>1</v>
      </c>
      <c r="F317" s="2" t="s">
        <v>18</v>
      </c>
      <c r="G317" s="2">
        <v>14</v>
      </c>
      <c r="H317" s="2" t="b">
        <v>0</v>
      </c>
      <c r="I317" s="2">
        <v>5</v>
      </c>
      <c r="J317" s="2" t="s">
        <v>28</v>
      </c>
      <c r="K317" s="2">
        <v>1</v>
      </c>
      <c r="L317" s="2">
        <v>0.22</v>
      </c>
      <c r="M317" s="2">
        <v>0.21210000000000001</v>
      </c>
      <c r="N317" s="2">
        <v>0.41</v>
      </c>
      <c r="O317" s="2">
        <v>0.28360000000000002</v>
      </c>
      <c r="P317" s="2">
        <v>5</v>
      </c>
      <c r="Q317" s="2">
        <v>59</v>
      </c>
      <c r="R317" s="2">
        <v>64</v>
      </c>
    </row>
    <row r="318" spans="1:18" x14ac:dyDescent="0.3">
      <c r="A318" s="2">
        <v>316</v>
      </c>
      <c r="B318" s="4">
        <v>40557</v>
      </c>
      <c r="C318" s="2">
        <v>1</v>
      </c>
      <c r="D318" s="2">
        <v>0</v>
      </c>
      <c r="E318" s="2">
        <v>1</v>
      </c>
      <c r="F318" s="2" t="s">
        <v>18</v>
      </c>
      <c r="G318" s="2">
        <v>15</v>
      </c>
      <c r="H318" s="2" t="b">
        <v>0</v>
      </c>
      <c r="I318" s="2">
        <v>5</v>
      </c>
      <c r="J318" s="2" t="s">
        <v>28</v>
      </c>
      <c r="K318" s="2">
        <v>1</v>
      </c>
      <c r="L318" s="2">
        <v>0.24</v>
      </c>
      <c r="M318" s="2">
        <v>0.2424</v>
      </c>
      <c r="N318" s="2">
        <v>0.38</v>
      </c>
      <c r="O318" s="2">
        <v>0.16420000000000001</v>
      </c>
      <c r="P318" s="2">
        <v>9</v>
      </c>
      <c r="Q318" s="2">
        <v>59</v>
      </c>
      <c r="R318" s="2">
        <v>68</v>
      </c>
    </row>
    <row r="319" spans="1:18" x14ac:dyDescent="0.3">
      <c r="A319" s="2">
        <v>317</v>
      </c>
      <c r="B319" s="4">
        <v>40557</v>
      </c>
      <c r="C319" s="2">
        <v>1</v>
      </c>
      <c r="D319" s="2">
        <v>0</v>
      </c>
      <c r="E319" s="2">
        <v>1</v>
      </c>
      <c r="F319" s="2" t="s">
        <v>18</v>
      </c>
      <c r="G319" s="2">
        <v>16</v>
      </c>
      <c r="H319" s="2" t="b">
        <v>0</v>
      </c>
      <c r="I319" s="2">
        <v>5</v>
      </c>
      <c r="J319" s="2" t="s">
        <v>28</v>
      </c>
      <c r="K319" s="2">
        <v>1</v>
      </c>
      <c r="L319" s="2">
        <v>0.22</v>
      </c>
      <c r="M319" s="2">
        <v>0.2424</v>
      </c>
      <c r="N319" s="2">
        <v>0.41</v>
      </c>
      <c r="O319" s="2">
        <v>0.1045</v>
      </c>
      <c r="P319" s="2">
        <v>3</v>
      </c>
      <c r="Q319" s="2">
        <v>87</v>
      </c>
      <c r="R319" s="2">
        <v>90</v>
      </c>
    </row>
    <row r="320" spans="1:18" x14ac:dyDescent="0.3">
      <c r="A320" s="2">
        <v>318</v>
      </c>
      <c r="B320" s="4">
        <v>40557</v>
      </c>
      <c r="C320" s="2">
        <v>1</v>
      </c>
      <c r="D320" s="2">
        <v>0</v>
      </c>
      <c r="E320" s="2">
        <v>1</v>
      </c>
      <c r="F320" s="2" t="s">
        <v>18</v>
      </c>
      <c r="G320" s="2">
        <v>17</v>
      </c>
      <c r="H320" s="2" t="b">
        <v>0</v>
      </c>
      <c r="I320" s="2">
        <v>5</v>
      </c>
      <c r="J320" s="2" t="s">
        <v>28</v>
      </c>
      <c r="K320" s="2">
        <v>1</v>
      </c>
      <c r="L320" s="2">
        <v>0.22</v>
      </c>
      <c r="M320" s="2">
        <v>0.2273</v>
      </c>
      <c r="N320" s="2">
        <v>0.41</v>
      </c>
      <c r="O320" s="2">
        <v>0.16420000000000001</v>
      </c>
      <c r="P320" s="2">
        <v>4</v>
      </c>
      <c r="Q320" s="2">
        <v>155</v>
      </c>
      <c r="R320" s="2">
        <v>159</v>
      </c>
    </row>
    <row r="321" spans="1:18" x14ac:dyDescent="0.3">
      <c r="A321" s="2">
        <v>319</v>
      </c>
      <c r="B321" s="4">
        <v>40557</v>
      </c>
      <c r="C321" s="2">
        <v>1</v>
      </c>
      <c r="D321" s="2">
        <v>0</v>
      </c>
      <c r="E321" s="2">
        <v>1</v>
      </c>
      <c r="F321" s="2" t="s">
        <v>18</v>
      </c>
      <c r="G321" s="2">
        <v>18</v>
      </c>
      <c r="H321" s="2" t="b">
        <v>0</v>
      </c>
      <c r="I321" s="2">
        <v>5</v>
      </c>
      <c r="J321" s="2" t="s">
        <v>28</v>
      </c>
      <c r="K321" s="2">
        <v>1</v>
      </c>
      <c r="L321" s="2">
        <v>0.2</v>
      </c>
      <c r="M321" s="2">
        <v>0.2576</v>
      </c>
      <c r="N321" s="2">
        <v>0.47</v>
      </c>
      <c r="O321" s="2">
        <v>0</v>
      </c>
      <c r="P321" s="2">
        <v>5</v>
      </c>
      <c r="Q321" s="2">
        <v>134</v>
      </c>
      <c r="R321" s="2">
        <v>139</v>
      </c>
    </row>
    <row r="322" spans="1:18" x14ac:dyDescent="0.3">
      <c r="A322" s="2">
        <v>320</v>
      </c>
      <c r="B322" s="4">
        <v>40557</v>
      </c>
      <c r="C322" s="2">
        <v>1</v>
      </c>
      <c r="D322" s="2">
        <v>0</v>
      </c>
      <c r="E322" s="2">
        <v>1</v>
      </c>
      <c r="F322" s="2" t="s">
        <v>18</v>
      </c>
      <c r="G322" s="2">
        <v>19</v>
      </c>
      <c r="H322" s="2" t="b">
        <v>0</v>
      </c>
      <c r="I322" s="2">
        <v>5</v>
      </c>
      <c r="J322" s="2" t="s">
        <v>28</v>
      </c>
      <c r="K322" s="2">
        <v>1</v>
      </c>
      <c r="L322" s="2">
        <v>0.16</v>
      </c>
      <c r="M322" s="2">
        <v>0.19700000000000001</v>
      </c>
      <c r="N322" s="2">
        <v>0.59</v>
      </c>
      <c r="O322" s="2">
        <v>8.9599999999999999E-2</v>
      </c>
      <c r="P322" s="2">
        <v>3</v>
      </c>
      <c r="Q322" s="2">
        <v>89</v>
      </c>
      <c r="R322" s="2">
        <v>92</v>
      </c>
    </row>
    <row r="323" spans="1:18" x14ac:dyDescent="0.3">
      <c r="A323" s="2">
        <v>321</v>
      </c>
      <c r="B323" s="4">
        <v>40557</v>
      </c>
      <c r="C323" s="2">
        <v>1</v>
      </c>
      <c r="D323" s="2">
        <v>0</v>
      </c>
      <c r="E323" s="2">
        <v>1</v>
      </c>
      <c r="F323" s="2" t="s">
        <v>18</v>
      </c>
      <c r="G323" s="2">
        <v>20</v>
      </c>
      <c r="H323" s="2" t="b">
        <v>0</v>
      </c>
      <c r="I323" s="2">
        <v>5</v>
      </c>
      <c r="J323" s="2" t="s">
        <v>28</v>
      </c>
      <c r="K323" s="2">
        <v>1</v>
      </c>
      <c r="L323" s="2">
        <v>0.18</v>
      </c>
      <c r="M323" s="2">
        <v>0.2424</v>
      </c>
      <c r="N323" s="2">
        <v>0.59</v>
      </c>
      <c r="O323" s="2">
        <v>0</v>
      </c>
      <c r="P323" s="2">
        <v>0</v>
      </c>
      <c r="Q323" s="2">
        <v>68</v>
      </c>
      <c r="R323" s="2">
        <v>68</v>
      </c>
    </row>
    <row r="324" spans="1:18" x14ac:dyDescent="0.3">
      <c r="A324" s="2">
        <v>322</v>
      </c>
      <c r="B324" s="4">
        <v>40557</v>
      </c>
      <c r="C324" s="2">
        <v>1</v>
      </c>
      <c r="D324" s="2">
        <v>0</v>
      </c>
      <c r="E324" s="2">
        <v>1</v>
      </c>
      <c r="F324" s="2" t="s">
        <v>18</v>
      </c>
      <c r="G324" s="2">
        <v>21</v>
      </c>
      <c r="H324" s="2" t="b">
        <v>0</v>
      </c>
      <c r="I324" s="2">
        <v>5</v>
      </c>
      <c r="J324" s="2" t="s">
        <v>28</v>
      </c>
      <c r="K324" s="2">
        <v>1</v>
      </c>
      <c r="L324" s="2">
        <v>0.16</v>
      </c>
      <c r="M324" s="2">
        <v>0.2273</v>
      </c>
      <c r="N324" s="2">
        <v>0.69</v>
      </c>
      <c r="O324" s="2">
        <v>0</v>
      </c>
      <c r="P324" s="2">
        <v>4</v>
      </c>
      <c r="Q324" s="2">
        <v>48</v>
      </c>
      <c r="R324" s="2">
        <v>52</v>
      </c>
    </row>
    <row r="325" spans="1:18" x14ac:dyDescent="0.3">
      <c r="A325" s="2">
        <v>323</v>
      </c>
      <c r="B325" s="4">
        <v>40557</v>
      </c>
      <c r="C325" s="2">
        <v>1</v>
      </c>
      <c r="D325" s="2">
        <v>0</v>
      </c>
      <c r="E325" s="2">
        <v>1</v>
      </c>
      <c r="F325" s="2" t="s">
        <v>18</v>
      </c>
      <c r="G325" s="2">
        <v>22</v>
      </c>
      <c r="H325" s="2" t="b">
        <v>0</v>
      </c>
      <c r="I325" s="2">
        <v>5</v>
      </c>
      <c r="J325" s="2" t="s">
        <v>19</v>
      </c>
      <c r="K325" s="2">
        <v>2</v>
      </c>
      <c r="L325" s="2">
        <v>0.16</v>
      </c>
      <c r="M325" s="2">
        <v>0.2273</v>
      </c>
      <c r="N325" s="2">
        <v>0.69</v>
      </c>
      <c r="O325" s="2">
        <v>0</v>
      </c>
      <c r="P325" s="2">
        <v>2</v>
      </c>
      <c r="Q325" s="2">
        <v>34</v>
      </c>
      <c r="R325" s="2">
        <v>36</v>
      </c>
    </row>
    <row r="326" spans="1:18" x14ac:dyDescent="0.3">
      <c r="A326" s="2">
        <v>324</v>
      </c>
      <c r="B326" s="4">
        <v>40557</v>
      </c>
      <c r="C326" s="2">
        <v>1</v>
      </c>
      <c r="D326" s="2">
        <v>0</v>
      </c>
      <c r="E326" s="2">
        <v>1</v>
      </c>
      <c r="F326" s="2" t="s">
        <v>18</v>
      </c>
      <c r="G326" s="2">
        <v>23</v>
      </c>
      <c r="H326" s="2" t="b">
        <v>0</v>
      </c>
      <c r="I326" s="2">
        <v>5</v>
      </c>
      <c r="J326" s="2" t="s">
        <v>19</v>
      </c>
      <c r="K326" s="2">
        <v>2</v>
      </c>
      <c r="L326" s="2">
        <v>0.18</v>
      </c>
      <c r="M326" s="2">
        <v>0.2424</v>
      </c>
      <c r="N326" s="2">
        <v>0.55000000000000004</v>
      </c>
      <c r="O326" s="2">
        <v>0</v>
      </c>
      <c r="P326" s="2">
        <v>1</v>
      </c>
      <c r="Q326" s="2">
        <v>26</v>
      </c>
      <c r="R326" s="2">
        <v>27</v>
      </c>
    </row>
    <row r="327" spans="1:18" x14ac:dyDescent="0.3">
      <c r="A327" s="2">
        <v>325</v>
      </c>
      <c r="B327" s="4">
        <v>40558</v>
      </c>
      <c r="C327" s="2">
        <v>1</v>
      </c>
      <c r="D327" s="2">
        <v>0</v>
      </c>
      <c r="E327" s="2">
        <v>1</v>
      </c>
      <c r="F327" s="2" t="s">
        <v>18</v>
      </c>
      <c r="G327" s="2">
        <v>0</v>
      </c>
      <c r="H327" s="2" t="b">
        <v>0</v>
      </c>
      <c r="I327" s="2">
        <v>6</v>
      </c>
      <c r="J327" s="2" t="s">
        <v>19</v>
      </c>
      <c r="K327" s="2">
        <v>1</v>
      </c>
      <c r="L327" s="2">
        <v>0.18</v>
      </c>
      <c r="M327" s="2">
        <v>0.2424</v>
      </c>
      <c r="N327" s="2">
        <v>0.55000000000000004</v>
      </c>
      <c r="O327" s="2">
        <v>0</v>
      </c>
      <c r="P327" s="2">
        <v>3</v>
      </c>
      <c r="Q327" s="2">
        <v>25</v>
      </c>
      <c r="R327" s="2">
        <v>28</v>
      </c>
    </row>
    <row r="328" spans="1:18" x14ac:dyDescent="0.3">
      <c r="A328" s="2">
        <v>326</v>
      </c>
      <c r="B328" s="4">
        <v>40558</v>
      </c>
      <c r="C328" s="2">
        <v>1</v>
      </c>
      <c r="D328" s="2">
        <v>0</v>
      </c>
      <c r="E328" s="2">
        <v>1</v>
      </c>
      <c r="F328" s="2" t="s">
        <v>18</v>
      </c>
      <c r="G328" s="2">
        <v>1</v>
      </c>
      <c r="H328" s="2" t="b">
        <v>0</v>
      </c>
      <c r="I328" s="2">
        <v>6</v>
      </c>
      <c r="J328" s="2" t="s">
        <v>19</v>
      </c>
      <c r="K328" s="2">
        <v>2</v>
      </c>
      <c r="L328" s="2">
        <v>0.16</v>
      </c>
      <c r="M328" s="2">
        <v>0.19700000000000001</v>
      </c>
      <c r="N328" s="2">
        <v>0.59</v>
      </c>
      <c r="O328" s="2">
        <v>8.9599999999999999E-2</v>
      </c>
      <c r="P328" s="2">
        <v>2</v>
      </c>
      <c r="Q328" s="2">
        <v>18</v>
      </c>
      <c r="R328" s="2">
        <v>20</v>
      </c>
    </row>
    <row r="329" spans="1:18" x14ac:dyDescent="0.3">
      <c r="A329" s="2">
        <v>327</v>
      </c>
      <c r="B329" s="4">
        <v>40558</v>
      </c>
      <c r="C329" s="2">
        <v>1</v>
      </c>
      <c r="D329" s="2">
        <v>0</v>
      </c>
      <c r="E329" s="2">
        <v>1</v>
      </c>
      <c r="F329" s="2" t="s">
        <v>18</v>
      </c>
      <c r="G329" s="2">
        <v>2</v>
      </c>
      <c r="H329" s="2" t="b">
        <v>0</v>
      </c>
      <c r="I329" s="2">
        <v>6</v>
      </c>
      <c r="J329" s="2" t="s">
        <v>19</v>
      </c>
      <c r="K329" s="2">
        <v>2</v>
      </c>
      <c r="L329" s="2">
        <v>0.16</v>
      </c>
      <c r="M329" s="2">
        <v>0.19700000000000001</v>
      </c>
      <c r="N329" s="2">
        <v>0.59</v>
      </c>
      <c r="O329" s="2">
        <v>8.9599999999999999E-2</v>
      </c>
      <c r="P329" s="2">
        <v>0</v>
      </c>
      <c r="Q329" s="2">
        <v>12</v>
      </c>
      <c r="R329" s="2">
        <v>12</v>
      </c>
    </row>
    <row r="330" spans="1:18" x14ac:dyDescent="0.3">
      <c r="A330" s="2">
        <v>328</v>
      </c>
      <c r="B330" s="4">
        <v>40558</v>
      </c>
      <c r="C330" s="2">
        <v>1</v>
      </c>
      <c r="D330" s="2">
        <v>0</v>
      </c>
      <c r="E330" s="2">
        <v>1</v>
      </c>
      <c r="F330" s="2" t="s">
        <v>18</v>
      </c>
      <c r="G330" s="2">
        <v>3</v>
      </c>
      <c r="H330" s="2" t="b">
        <v>0</v>
      </c>
      <c r="I330" s="2">
        <v>6</v>
      </c>
      <c r="J330" s="2" t="s">
        <v>19</v>
      </c>
      <c r="K330" s="2">
        <v>2</v>
      </c>
      <c r="L330" s="2">
        <v>0.16</v>
      </c>
      <c r="M330" s="2">
        <v>0.2273</v>
      </c>
      <c r="N330" s="2">
        <v>0.59</v>
      </c>
      <c r="O330" s="2">
        <v>0</v>
      </c>
      <c r="P330" s="2">
        <v>1</v>
      </c>
      <c r="Q330" s="2">
        <v>7</v>
      </c>
      <c r="R330" s="2">
        <v>8</v>
      </c>
    </row>
    <row r="331" spans="1:18" x14ac:dyDescent="0.3">
      <c r="A331" s="2">
        <v>329</v>
      </c>
      <c r="B331" s="4">
        <v>40558</v>
      </c>
      <c r="C331" s="2">
        <v>1</v>
      </c>
      <c r="D331" s="2">
        <v>0</v>
      </c>
      <c r="E331" s="2">
        <v>1</v>
      </c>
      <c r="F331" s="2" t="s">
        <v>18</v>
      </c>
      <c r="G331" s="2">
        <v>4</v>
      </c>
      <c r="H331" s="2" t="b">
        <v>0</v>
      </c>
      <c r="I331" s="2">
        <v>6</v>
      </c>
      <c r="J331" s="2" t="s">
        <v>19</v>
      </c>
      <c r="K331" s="2">
        <v>2</v>
      </c>
      <c r="L331" s="2">
        <v>0.16</v>
      </c>
      <c r="M331" s="2">
        <v>0.2273</v>
      </c>
      <c r="N331" s="2">
        <v>0.59</v>
      </c>
      <c r="O331" s="2">
        <v>0</v>
      </c>
      <c r="P331" s="2">
        <v>0</v>
      </c>
      <c r="Q331" s="2">
        <v>5</v>
      </c>
      <c r="R331" s="2">
        <v>5</v>
      </c>
    </row>
    <row r="332" spans="1:18" x14ac:dyDescent="0.3">
      <c r="A332" s="2">
        <v>330</v>
      </c>
      <c r="B332" s="4">
        <v>40558</v>
      </c>
      <c r="C332" s="2">
        <v>1</v>
      </c>
      <c r="D332" s="2">
        <v>0</v>
      </c>
      <c r="E332" s="2">
        <v>1</v>
      </c>
      <c r="F332" s="2" t="s">
        <v>18</v>
      </c>
      <c r="G332" s="2">
        <v>5</v>
      </c>
      <c r="H332" s="2" t="b">
        <v>0</v>
      </c>
      <c r="I332" s="2">
        <v>6</v>
      </c>
      <c r="J332" s="2" t="s">
        <v>19</v>
      </c>
      <c r="K332" s="2">
        <v>1</v>
      </c>
      <c r="L332" s="2">
        <v>0.16</v>
      </c>
      <c r="M332" s="2">
        <v>0.2273</v>
      </c>
      <c r="N332" s="2">
        <v>0.59</v>
      </c>
      <c r="O332" s="2">
        <v>0</v>
      </c>
      <c r="P332" s="2">
        <v>0</v>
      </c>
      <c r="Q332" s="2">
        <v>1</v>
      </c>
      <c r="R332" s="2">
        <v>1</v>
      </c>
    </row>
    <row r="333" spans="1:18" x14ac:dyDescent="0.3">
      <c r="A333" s="2">
        <v>331</v>
      </c>
      <c r="B333" s="4">
        <v>40558</v>
      </c>
      <c r="C333" s="2">
        <v>1</v>
      </c>
      <c r="D333" s="2">
        <v>0</v>
      </c>
      <c r="E333" s="2">
        <v>1</v>
      </c>
      <c r="F333" s="2" t="s">
        <v>18</v>
      </c>
      <c r="G333" s="2">
        <v>6</v>
      </c>
      <c r="H333" s="2" t="b">
        <v>0</v>
      </c>
      <c r="I333" s="2">
        <v>6</v>
      </c>
      <c r="J333" s="2" t="s">
        <v>19</v>
      </c>
      <c r="K333" s="2">
        <v>1</v>
      </c>
      <c r="L333" s="2">
        <v>0.14000000000000001</v>
      </c>
      <c r="M333" s="2">
        <v>0.16669999999999999</v>
      </c>
      <c r="N333" s="2">
        <v>0.63</v>
      </c>
      <c r="O333" s="2">
        <v>0.1045</v>
      </c>
      <c r="P333" s="2">
        <v>1</v>
      </c>
      <c r="Q333" s="2">
        <v>2</v>
      </c>
      <c r="R333" s="2">
        <v>3</v>
      </c>
    </row>
    <row r="334" spans="1:18" x14ac:dyDescent="0.3">
      <c r="A334" s="2">
        <v>332</v>
      </c>
      <c r="B334" s="4">
        <v>40558</v>
      </c>
      <c r="C334" s="2">
        <v>1</v>
      </c>
      <c r="D334" s="2">
        <v>0</v>
      </c>
      <c r="E334" s="2">
        <v>1</v>
      </c>
      <c r="F334" s="2" t="s">
        <v>18</v>
      </c>
      <c r="G334" s="2">
        <v>7</v>
      </c>
      <c r="H334" s="2" t="b">
        <v>0</v>
      </c>
      <c r="I334" s="2">
        <v>6</v>
      </c>
      <c r="J334" s="2" t="s">
        <v>19</v>
      </c>
      <c r="K334" s="2">
        <v>1</v>
      </c>
      <c r="L334" s="2">
        <v>0.14000000000000001</v>
      </c>
      <c r="M334" s="2">
        <v>0.21210000000000001</v>
      </c>
      <c r="N334" s="2">
        <v>0.63</v>
      </c>
      <c r="O334" s="2">
        <v>0</v>
      </c>
      <c r="P334" s="2">
        <v>1</v>
      </c>
      <c r="Q334" s="2">
        <v>9</v>
      </c>
      <c r="R334" s="2">
        <v>10</v>
      </c>
    </row>
    <row r="335" spans="1:18" x14ac:dyDescent="0.3">
      <c r="A335" s="2">
        <v>333</v>
      </c>
      <c r="B335" s="4">
        <v>40558</v>
      </c>
      <c r="C335" s="2">
        <v>1</v>
      </c>
      <c r="D335" s="2">
        <v>0</v>
      </c>
      <c r="E335" s="2">
        <v>1</v>
      </c>
      <c r="F335" s="2" t="s">
        <v>18</v>
      </c>
      <c r="G335" s="2">
        <v>8</v>
      </c>
      <c r="H335" s="2" t="b">
        <v>0</v>
      </c>
      <c r="I335" s="2">
        <v>6</v>
      </c>
      <c r="J335" s="2" t="s">
        <v>19</v>
      </c>
      <c r="K335" s="2">
        <v>1</v>
      </c>
      <c r="L335" s="2">
        <v>0.14000000000000001</v>
      </c>
      <c r="M335" s="2">
        <v>0.1515</v>
      </c>
      <c r="N335" s="2">
        <v>0.63</v>
      </c>
      <c r="O335" s="2">
        <v>0.1343</v>
      </c>
      <c r="P335" s="2">
        <v>1</v>
      </c>
      <c r="Q335" s="2">
        <v>22</v>
      </c>
      <c r="R335" s="2">
        <v>23</v>
      </c>
    </row>
    <row r="336" spans="1:18" x14ac:dyDescent="0.3">
      <c r="A336" s="2">
        <v>334</v>
      </c>
      <c r="B336" s="4">
        <v>40558</v>
      </c>
      <c r="C336" s="2">
        <v>1</v>
      </c>
      <c r="D336" s="2">
        <v>0</v>
      </c>
      <c r="E336" s="2">
        <v>1</v>
      </c>
      <c r="F336" s="2" t="s">
        <v>18</v>
      </c>
      <c r="G336" s="2">
        <v>9</v>
      </c>
      <c r="H336" s="2" t="b">
        <v>0</v>
      </c>
      <c r="I336" s="2">
        <v>6</v>
      </c>
      <c r="J336" s="2" t="s">
        <v>19</v>
      </c>
      <c r="K336" s="2">
        <v>1</v>
      </c>
      <c r="L336" s="2">
        <v>0.16</v>
      </c>
      <c r="M336" s="2">
        <v>0.18179999999999999</v>
      </c>
      <c r="N336" s="2">
        <v>0.64</v>
      </c>
      <c r="O336" s="2">
        <v>0.1343</v>
      </c>
      <c r="P336" s="2">
        <v>2</v>
      </c>
      <c r="Q336" s="2">
        <v>31</v>
      </c>
      <c r="R336" s="2">
        <v>33</v>
      </c>
    </row>
    <row r="337" spans="1:18" x14ac:dyDescent="0.3">
      <c r="A337" s="2">
        <v>335</v>
      </c>
      <c r="B337" s="4">
        <v>40558</v>
      </c>
      <c r="C337" s="2">
        <v>1</v>
      </c>
      <c r="D337" s="2">
        <v>0</v>
      </c>
      <c r="E337" s="2">
        <v>1</v>
      </c>
      <c r="F337" s="2" t="s">
        <v>18</v>
      </c>
      <c r="G337" s="2">
        <v>10</v>
      </c>
      <c r="H337" s="2" t="b">
        <v>0</v>
      </c>
      <c r="I337" s="2">
        <v>6</v>
      </c>
      <c r="J337" s="2" t="s">
        <v>19</v>
      </c>
      <c r="K337" s="2">
        <v>1</v>
      </c>
      <c r="L337" s="2">
        <v>0.18</v>
      </c>
      <c r="M337" s="2">
        <v>0.19700000000000001</v>
      </c>
      <c r="N337" s="2">
        <v>0.59</v>
      </c>
      <c r="O337" s="2">
        <v>0.16420000000000001</v>
      </c>
      <c r="P337" s="2">
        <v>2</v>
      </c>
      <c r="Q337" s="2">
        <v>57</v>
      </c>
      <c r="R337" s="2">
        <v>59</v>
      </c>
    </row>
    <row r="338" spans="1:18" x14ac:dyDescent="0.3">
      <c r="A338" s="2">
        <v>336</v>
      </c>
      <c r="B338" s="4">
        <v>40558</v>
      </c>
      <c r="C338" s="2">
        <v>1</v>
      </c>
      <c r="D338" s="2">
        <v>0</v>
      </c>
      <c r="E338" s="2">
        <v>1</v>
      </c>
      <c r="F338" s="2" t="s">
        <v>18</v>
      </c>
      <c r="G338" s="2">
        <v>11</v>
      </c>
      <c r="H338" s="2" t="b">
        <v>0</v>
      </c>
      <c r="I338" s="2">
        <v>6</v>
      </c>
      <c r="J338" s="2" t="s">
        <v>19</v>
      </c>
      <c r="K338" s="2">
        <v>1</v>
      </c>
      <c r="L338" s="2">
        <v>0.2</v>
      </c>
      <c r="M338" s="2">
        <v>0.19700000000000001</v>
      </c>
      <c r="N338" s="2">
        <v>0.55000000000000004</v>
      </c>
      <c r="O338" s="2">
        <v>0.22389999999999999</v>
      </c>
      <c r="P338" s="2">
        <v>18</v>
      </c>
      <c r="Q338" s="2">
        <v>54</v>
      </c>
      <c r="R338" s="2">
        <v>72</v>
      </c>
    </row>
    <row r="339" spans="1:18" x14ac:dyDescent="0.3">
      <c r="A339" s="2">
        <v>337</v>
      </c>
      <c r="B339" s="4">
        <v>40558</v>
      </c>
      <c r="C339" s="2">
        <v>1</v>
      </c>
      <c r="D339" s="2">
        <v>0</v>
      </c>
      <c r="E339" s="2">
        <v>1</v>
      </c>
      <c r="F339" s="2" t="s">
        <v>18</v>
      </c>
      <c r="G339" s="2">
        <v>12</v>
      </c>
      <c r="H339" s="2" t="b">
        <v>0</v>
      </c>
      <c r="I339" s="2">
        <v>6</v>
      </c>
      <c r="J339" s="2" t="s">
        <v>19</v>
      </c>
      <c r="K339" s="2">
        <v>1</v>
      </c>
      <c r="L339" s="2">
        <v>0.24</v>
      </c>
      <c r="M339" s="2">
        <v>0.2273</v>
      </c>
      <c r="N339" s="2">
        <v>0.48</v>
      </c>
      <c r="O339" s="2">
        <v>0.22389999999999999</v>
      </c>
      <c r="P339" s="2">
        <v>15</v>
      </c>
      <c r="Q339" s="2">
        <v>74</v>
      </c>
      <c r="R339" s="2">
        <v>89</v>
      </c>
    </row>
    <row r="340" spans="1:18" x14ac:dyDescent="0.3">
      <c r="A340" s="2">
        <v>338</v>
      </c>
      <c r="B340" s="4">
        <v>40558</v>
      </c>
      <c r="C340" s="2">
        <v>1</v>
      </c>
      <c r="D340" s="2">
        <v>0</v>
      </c>
      <c r="E340" s="2">
        <v>1</v>
      </c>
      <c r="F340" s="2" t="s">
        <v>18</v>
      </c>
      <c r="G340" s="2">
        <v>13</v>
      </c>
      <c r="H340" s="2" t="b">
        <v>0</v>
      </c>
      <c r="I340" s="2">
        <v>6</v>
      </c>
      <c r="J340" s="2" t="s">
        <v>19</v>
      </c>
      <c r="K340" s="2">
        <v>1</v>
      </c>
      <c r="L340" s="2">
        <v>0.28000000000000003</v>
      </c>
      <c r="M340" s="2">
        <v>0.2576</v>
      </c>
      <c r="N340" s="2">
        <v>0.38</v>
      </c>
      <c r="O340" s="2">
        <v>0.29849999999999999</v>
      </c>
      <c r="P340" s="2">
        <v>21</v>
      </c>
      <c r="Q340" s="2">
        <v>80</v>
      </c>
      <c r="R340" s="2">
        <v>101</v>
      </c>
    </row>
    <row r="341" spans="1:18" x14ac:dyDescent="0.3">
      <c r="A341" s="2">
        <v>339</v>
      </c>
      <c r="B341" s="4">
        <v>40558</v>
      </c>
      <c r="C341" s="2">
        <v>1</v>
      </c>
      <c r="D341" s="2">
        <v>0</v>
      </c>
      <c r="E341" s="2">
        <v>1</v>
      </c>
      <c r="F341" s="2" t="s">
        <v>18</v>
      </c>
      <c r="G341" s="2">
        <v>14</v>
      </c>
      <c r="H341" s="2" t="b">
        <v>0</v>
      </c>
      <c r="I341" s="2">
        <v>6</v>
      </c>
      <c r="J341" s="2" t="s">
        <v>19</v>
      </c>
      <c r="K341" s="2">
        <v>1</v>
      </c>
      <c r="L341" s="2">
        <v>0.3</v>
      </c>
      <c r="M341" s="2">
        <v>0.28789999999999999</v>
      </c>
      <c r="N341" s="2">
        <v>0.39</v>
      </c>
      <c r="O341" s="2">
        <v>0.28360000000000002</v>
      </c>
      <c r="P341" s="2">
        <v>26</v>
      </c>
      <c r="Q341" s="2">
        <v>92</v>
      </c>
      <c r="R341" s="2">
        <v>118</v>
      </c>
    </row>
    <row r="342" spans="1:18" x14ac:dyDescent="0.3">
      <c r="A342" s="2">
        <v>340</v>
      </c>
      <c r="B342" s="4">
        <v>40558</v>
      </c>
      <c r="C342" s="2">
        <v>1</v>
      </c>
      <c r="D342" s="2">
        <v>0</v>
      </c>
      <c r="E342" s="2">
        <v>1</v>
      </c>
      <c r="F342" s="2" t="s">
        <v>18</v>
      </c>
      <c r="G342" s="2">
        <v>15</v>
      </c>
      <c r="H342" s="2" t="b">
        <v>0</v>
      </c>
      <c r="I342" s="2">
        <v>6</v>
      </c>
      <c r="J342" s="2" t="s">
        <v>19</v>
      </c>
      <c r="K342" s="2">
        <v>2</v>
      </c>
      <c r="L342" s="2">
        <v>0.32</v>
      </c>
      <c r="M342" s="2">
        <v>0.31819999999999998</v>
      </c>
      <c r="N342" s="2">
        <v>0.36</v>
      </c>
      <c r="O342" s="2">
        <v>0.19400000000000001</v>
      </c>
      <c r="P342" s="2">
        <v>21</v>
      </c>
      <c r="Q342" s="2">
        <v>108</v>
      </c>
      <c r="R342" s="2">
        <v>129</v>
      </c>
    </row>
    <row r="343" spans="1:18" x14ac:dyDescent="0.3">
      <c r="A343" s="2">
        <v>341</v>
      </c>
      <c r="B343" s="4">
        <v>40558</v>
      </c>
      <c r="C343" s="2">
        <v>1</v>
      </c>
      <c r="D343" s="2">
        <v>0</v>
      </c>
      <c r="E343" s="2">
        <v>1</v>
      </c>
      <c r="F343" s="2" t="s">
        <v>18</v>
      </c>
      <c r="G343" s="2">
        <v>16</v>
      </c>
      <c r="H343" s="2" t="b">
        <v>0</v>
      </c>
      <c r="I343" s="2">
        <v>6</v>
      </c>
      <c r="J343" s="2" t="s">
        <v>19</v>
      </c>
      <c r="K343" s="2">
        <v>2</v>
      </c>
      <c r="L343" s="2">
        <v>0.34</v>
      </c>
      <c r="M343" s="2">
        <v>0.33329999999999999</v>
      </c>
      <c r="N343" s="2">
        <v>0.34</v>
      </c>
      <c r="O343" s="2">
        <v>0.19400000000000001</v>
      </c>
      <c r="P343" s="2">
        <v>33</v>
      </c>
      <c r="Q343" s="2">
        <v>95</v>
      </c>
      <c r="R343" s="2">
        <v>128</v>
      </c>
    </row>
    <row r="344" spans="1:18" x14ac:dyDescent="0.3">
      <c r="A344" s="2">
        <v>342</v>
      </c>
      <c r="B344" s="4">
        <v>40558</v>
      </c>
      <c r="C344" s="2">
        <v>1</v>
      </c>
      <c r="D344" s="2">
        <v>0</v>
      </c>
      <c r="E344" s="2">
        <v>1</v>
      </c>
      <c r="F344" s="2" t="s">
        <v>18</v>
      </c>
      <c r="G344" s="2">
        <v>17</v>
      </c>
      <c r="H344" s="2" t="b">
        <v>0</v>
      </c>
      <c r="I344" s="2">
        <v>6</v>
      </c>
      <c r="J344" s="2" t="s">
        <v>19</v>
      </c>
      <c r="K344" s="2">
        <v>2</v>
      </c>
      <c r="L344" s="2">
        <v>0.32</v>
      </c>
      <c r="M344" s="2">
        <v>0.30299999999999999</v>
      </c>
      <c r="N344" s="2">
        <v>0.36</v>
      </c>
      <c r="O344" s="2">
        <v>0.28360000000000002</v>
      </c>
      <c r="P344" s="2">
        <v>29</v>
      </c>
      <c r="Q344" s="2">
        <v>54</v>
      </c>
      <c r="R344" s="2">
        <v>83</v>
      </c>
    </row>
    <row r="345" spans="1:18" x14ac:dyDescent="0.3">
      <c r="A345" s="2">
        <v>343</v>
      </c>
      <c r="B345" s="4">
        <v>40558</v>
      </c>
      <c r="C345" s="2">
        <v>1</v>
      </c>
      <c r="D345" s="2">
        <v>0</v>
      </c>
      <c r="E345" s="2">
        <v>1</v>
      </c>
      <c r="F345" s="2" t="s">
        <v>18</v>
      </c>
      <c r="G345" s="2">
        <v>18</v>
      </c>
      <c r="H345" s="2" t="b">
        <v>0</v>
      </c>
      <c r="I345" s="2">
        <v>6</v>
      </c>
      <c r="J345" s="2" t="s">
        <v>19</v>
      </c>
      <c r="K345" s="2">
        <v>2</v>
      </c>
      <c r="L345" s="2">
        <v>0.3</v>
      </c>
      <c r="M345" s="2">
        <v>0.28789999999999999</v>
      </c>
      <c r="N345" s="2">
        <v>0.45</v>
      </c>
      <c r="O345" s="2">
        <v>0.25369999999999998</v>
      </c>
      <c r="P345" s="2">
        <v>15</v>
      </c>
      <c r="Q345" s="2">
        <v>69</v>
      </c>
      <c r="R345" s="2">
        <v>84</v>
      </c>
    </row>
    <row r="346" spans="1:18" x14ac:dyDescent="0.3">
      <c r="A346" s="2">
        <v>344</v>
      </c>
      <c r="B346" s="4">
        <v>40558</v>
      </c>
      <c r="C346" s="2">
        <v>1</v>
      </c>
      <c r="D346" s="2">
        <v>0</v>
      </c>
      <c r="E346" s="2">
        <v>1</v>
      </c>
      <c r="F346" s="2" t="s">
        <v>18</v>
      </c>
      <c r="G346" s="2">
        <v>19</v>
      </c>
      <c r="H346" s="2" t="b">
        <v>0</v>
      </c>
      <c r="I346" s="2">
        <v>6</v>
      </c>
      <c r="J346" s="2" t="s">
        <v>19</v>
      </c>
      <c r="K346" s="2">
        <v>2</v>
      </c>
      <c r="L346" s="2">
        <v>0.32</v>
      </c>
      <c r="M346" s="2">
        <v>0.30299999999999999</v>
      </c>
      <c r="N346" s="2">
        <v>0.39</v>
      </c>
      <c r="O346" s="2">
        <v>0.25369999999999998</v>
      </c>
      <c r="P346" s="2">
        <v>14</v>
      </c>
      <c r="Q346" s="2">
        <v>60</v>
      </c>
      <c r="R346" s="2">
        <v>74</v>
      </c>
    </row>
    <row r="347" spans="1:18" x14ac:dyDescent="0.3">
      <c r="A347" s="2">
        <v>345</v>
      </c>
      <c r="B347" s="4">
        <v>40558</v>
      </c>
      <c r="C347" s="2">
        <v>1</v>
      </c>
      <c r="D347" s="2">
        <v>0</v>
      </c>
      <c r="E347" s="2">
        <v>1</v>
      </c>
      <c r="F347" s="2" t="s">
        <v>18</v>
      </c>
      <c r="G347" s="2">
        <v>20</v>
      </c>
      <c r="H347" s="2" t="b">
        <v>0</v>
      </c>
      <c r="I347" s="2">
        <v>6</v>
      </c>
      <c r="J347" s="2" t="s">
        <v>19</v>
      </c>
      <c r="K347" s="2">
        <v>2</v>
      </c>
      <c r="L347" s="2">
        <v>0.32</v>
      </c>
      <c r="M347" s="2">
        <v>0.30299999999999999</v>
      </c>
      <c r="N347" s="2">
        <v>0.39</v>
      </c>
      <c r="O347" s="2">
        <v>0.25369999999999998</v>
      </c>
      <c r="P347" s="2">
        <v>6</v>
      </c>
      <c r="Q347" s="2">
        <v>35</v>
      </c>
      <c r="R347" s="2">
        <v>41</v>
      </c>
    </row>
    <row r="348" spans="1:18" x14ac:dyDescent="0.3">
      <c r="A348" s="2">
        <v>346</v>
      </c>
      <c r="B348" s="4">
        <v>40558</v>
      </c>
      <c r="C348" s="2">
        <v>1</v>
      </c>
      <c r="D348" s="2">
        <v>0</v>
      </c>
      <c r="E348" s="2">
        <v>1</v>
      </c>
      <c r="F348" s="2" t="s">
        <v>18</v>
      </c>
      <c r="G348" s="2">
        <v>21</v>
      </c>
      <c r="H348" s="2" t="b">
        <v>0</v>
      </c>
      <c r="I348" s="2">
        <v>6</v>
      </c>
      <c r="J348" s="2" t="s">
        <v>19</v>
      </c>
      <c r="K348" s="2">
        <v>2</v>
      </c>
      <c r="L348" s="2">
        <v>0.32</v>
      </c>
      <c r="M348" s="2">
        <v>0.30299999999999999</v>
      </c>
      <c r="N348" s="2">
        <v>0.39</v>
      </c>
      <c r="O348" s="2">
        <v>0.22389999999999999</v>
      </c>
      <c r="P348" s="2">
        <v>6</v>
      </c>
      <c r="Q348" s="2">
        <v>51</v>
      </c>
      <c r="R348" s="2">
        <v>57</v>
      </c>
    </row>
    <row r="349" spans="1:18" x14ac:dyDescent="0.3">
      <c r="A349" s="2">
        <v>347</v>
      </c>
      <c r="B349" s="4">
        <v>40558</v>
      </c>
      <c r="C349" s="2">
        <v>1</v>
      </c>
      <c r="D349" s="2">
        <v>0</v>
      </c>
      <c r="E349" s="2">
        <v>1</v>
      </c>
      <c r="F349" s="2" t="s">
        <v>18</v>
      </c>
      <c r="G349" s="2">
        <v>22</v>
      </c>
      <c r="H349" s="2" t="b">
        <v>0</v>
      </c>
      <c r="I349" s="2">
        <v>6</v>
      </c>
      <c r="J349" s="2" t="s">
        <v>23</v>
      </c>
      <c r="K349" s="2">
        <v>2</v>
      </c>
      <c r="L349" s="2">
        <v>0.3</v>
      </c>
      <c r="M349" s="2">
        <v>0.31819999999999998</v>
      </c>
      <c r="N349" s="2">
        <v>0.42</v>
      </c>
      <c r="O349" s="2">
        <v>0.1045</v>
      </c>
      <c r="P349" s="2">
        <v>0</v>
      </c>
      <c r="Q349" s="2">
        <v>26</v>
      </c>
      <c r="R349" s="2">
        <v>26</v>
      </c>
    </row>
    <row r="350" spans="1:18" x14ac:dyDescent="0.3">
      <c r="A350" s="2">
        <v>348</v>
      </c>
      <c r="B350" s="4">
        <v>40558</v>
      </c>
      <c r="C350" s="2">
        <v>1</v>
      </c>
      <c r="D350" s="2">
        <v>0</v>
      </c>
      <c r="E350" s="2">
        <v>1</v>
      </c>
      <c r="F350" s="2" t="s">
        <v>18</v>
      </c>
      <c r="G350" s="2">
        <v>23</v>
      </c>
      <c r="H350" s="2" t="b">
        <v>0</v>
      </c>
      <c r="I350" s="2">
        <v>6</v>
      </c>
      <c r="J350" s="2" t="s">
        <v>23</v>
      </c>
      <c r="K350" s="2">
        <v>1</v>
      </c>
      <c r="L350" s="2">
        <v>0.3</v>
      </c>
      <c r="M350" s="2">
        <v>0.28789999999999999</v>
      </c>
      <c r="N350" s="2">
        <v>0.45</v>
      </c>
      <c r="O350" s="2">
        <v>0.28360000000000002</v>
      </c>
      <c r="P350" s="2">
        <v>5</v>
      </c>
      <c r="Q350" s="2">
        <v>39</v>
      </c>
      <c r="R350" s="2">
        <v>44</v>
      </c>
    </row>
    <row r="351" spans="1:18" x14ac:dyDescent="0.3">
      <c r="A351" s="2">
        <v>349</v>
      </c>
      <c r="B351" s="4">
        <v>40559</v>
      </c>
      <c r="C351" s="2">
        <v>1</v>
      </c>
      <c r="D351" s="2">
        <v>0</v>
      </c>
      <c r="E351" s="2">
        <v>1</v>
      </c>
      <c r="F351" s="2" t="s">
        <v>18</v>
      </c>
      <c r="G351" s="2">
        <v>0</v>
      </c>
      <c r="H351" s="2" t="b">
        <v>0</v>
      </c>
      <c r="I351" s="2">
        <v>0</v>
      </c>
      <c r="J351" s="2" t="s">
        <v>23</v>
      </c>
      <c r="K351" s="2">
        <v>1</v>
      </c>
      <c r="L351" s="2">
        <v>0.26</v>
      </c>
      <c r="M351" s="2">
        <v>0.30299999999999999</v>
      </c>
      <c r="N351" s="2">
        <v>0.56000000000000005</v>
      </c>
      <c r="O351" s="2">
        <v>0</v>
      </c>
      <c r="P351" s="2">
        <v>6</v>
      </c>
      <c r="Q351" s="2">
        <v>33</v>
      </c>
      <c r="R351" s="2">
        <v>39</v>
      </c>
    </row>
    <row r="352" spans="1:18" x14ac:dyDescent="0.3">
      <c r="A352" s="2">
        <v>350</v>
      </c>
      <c r="B352" s="4">
        <v>40559</v>
      </c>
      <c r="C352" s="2">
        <v>1</v>
      </c>
      <c r="D352" s="2">
        <v>0</v>
      </c>
      <c r="E352" s="2">
        <v>1</v>
      </c>
      <c r="F352" s="2" t="s">
        <v>18</v>
      </c>
      <c r="G352" s="2">
        <v>1</v>
      </c>
      <c r="H352" s="2" t="b">
        <v>0</v>
      </c>
      <c r="I352" s="2">
        <v>0</v>
      </c>
      <c r="J352" s="2" t="s">
        <v>23</v>
      </c>
      <c r="K352" s="2">
        <v>1</v>
      </c>
      <c r="L352" s="2">
        <v>0.26</v>
      </c>
      <c r="M352" s="2">
        <v>0.2727</v>
      </c>
      <c r="N352" s="2">
        <v>0.56000000000000005</v>
      </c>
      <c r="O352" s="2">
        <v>0.1343</v>
      </c>
      <c r="P352" s="2">
        <v>4</v>
      </c>
      <c r="Q352" s="2">
        <v>19</v>
      </c>
      <c r="R352" s="2">
        <v>23</v>
      </c>
    </row>
    <row r="353" spans="1:18" x14ac:dyDescent="0.3">
      <c r="A353" s="2">
        <v>351</v>
      </c>
      <c r="B353" s="4">
        <v>40559</v>
      </c>
      <c r="C353" s="2">
        <v>1</v>
      </c>
      <c r="D353" s="2">
        <v>0</v>
      </c>
      <c r="E353" s="2">
        <v>1</v>
      </c>
      <c r="F353" s="2" t="s">
        <v>18</v>
      </c>
      <c r="G353" s="2">
        <v>2</v>
      </c>
      <c r="H353" s="2" t="b">
        <v>0</v>
      </c>
      <c r="I353" s="2">
        <v>0</v>
      </c>
      <c r="J353" s="2" t="s">
        <v>23</v>
      </c>
      <c r="K353" s="2">
        <v>1</v>
      </c>
      <c r="L353" s="2">
        <v>0.26</v>
      </c>
      <c r="M353" s="2">
        <v>0.28789999999999999</v>
      </c>
      <c r="N353" s="2">
        <v>0.56000000000000005</v>
      </c>
      <c r="O353" s="2">
        <v>8.9599999999999999E-2</v>
      </c>
      <c r="P353" s="2">
        <v>3</v>
      </c>
      <c r="Q353" s="2">
        <v>13</v>
      </c>
      <c r="R353" s="2">
        <v>16</v>
      </c>
    </row>
    <row r="354" spans="1:18" x14ac:dyDescent="0.3">
      <c r="A354" s="2">
        <v>352</v>
      </c>
      <c r="B354" s="4">
        <v>40559</v>
      </c>
      <c r="C354" s="2">
        <v>1</v>
      </c>
      <c r="D354" s="2">
        <v>0</v>
      </c>
      <c r="E354" s="2">
        <v>1</v>
      </c>
      <c r="F354" s="2" t="s">
        <v>18</v>
      </c>
      <c r="G354" s="2">
        <v>3</v>
      </c>
      <c r="H354" s="2" t="b">
        <v>0</v>
      </c>
      <c r="I354" s="2">
        <v>0</v>
      </c>
      <c r="J354" s="2" t="s">
        <v>23</v>
      </c>
      <c r="K354" s="2">
        <v>1</v>
      </c>
      <c r="L354" s="2">
        <v>0.22</v>
      </c>
      <c r="M354" s="2">
        <v>0.2727</v>
      </c>
      <c r="N354" s="2">
        <v>0.69</v>
      </c>
      <c r="O354" s="2">
        <v>0</v>
      </c>
      <c r="P354" s="2">
        <v>9</v>
      </c>
      <c r="Q354" s="2">
        <v>6</v>
      </c>
      <c r="R354" s="2">
        <v>15</v>
      </c>
    </row>
    <row r="355" spans="1:18" x14ac:dyDescent="0.3">
      <c r="A355" s="2">
        <v>353</v>
      </c>
      <c r="B355" s="4">
        <v>40559</v>
      </c>
      <c r="C355" s="2">
        <v>1</v>
      </c>
      <c r="D355" s="2">
        <v>0</v>
      </c>
      <c r="E355" s="2">
        <v>1</v>
      </c>
      <c r="F355" s="2" t="s">
        <v>18</v>
      </c>
      <c r="G355" s="2">
        <v>4</v>
      </c>
      <c r="H355" s="2" t="b">
        <v>0</v>
      </c>
      <c r="I355" s="2">
        <v>0</v>
      </c>
      <c r="J355" s="2" t="s">
        <v>23</v>
      </c>
      <c r="K355" s="2">
        <v>1</v>
      </c>
      <c r="L355" s="2">
        <v>0.26</v>
      </c>
      <c r="M355" s="2">
        <v>0.2576</v>
      </c>
      <c r="N355" s="2">
        <v>0.56000000000000005</v>
      </c>
      <c r="O355" s="2">
        <v>0.16420000000000001</v>
      </c>
      <c r="P355" s="2">
        <v>0</v>
      </c>
      <c r="Q355" s="2">
        <v>1</v>
      </c>
      <c r="R355" s="2">
        <v>1</v>
      </c>
    </row>
    <row r="356" spans="1:18" x14ac:dyDescent="0.3">
      <c r="A356" s="2">
        <v>354</v>
      </c>
      <c r="B356" s="4">
        <v>40559</v>
      </c>
      <c r="C356" s="2">
        <v>1</v>
      </c>
      <c r="D356" s="2">
        <v>0</v>
      </c>
      <c r="E356" s="2">
        <v>1</v>
      </c>
      <c r="F356" s="2" t="s">
        <v>18</v>
      </c>
      <c r="G356" s="2">
        <v>5</v>
      </c>
      <c r="H356" s="2" t="b">
        <v>0</v>
      </c>
      <c r="I356" s="2">
        <v>0</v>
      </c>
      <c r="J356" s="2" t="s">
        <v>23</v>
      </c>
      <c r="K356" s="2">
        <v>2</v>
      </c>
      <c r="L356" s="2">
        <v>0.26</v>
      </c>
      <c r="M356" s="2">
        <v>0.2576</v>
      </c>
      <c r="N356" s="2">
        <v>0.56000000000000005</v>
      </c>
      <c r="O356" s="2">
        <v>0.16420000000000001</v>
      </c>
      <c r="P356" s="2">
        <v>1</v>
      </c>
      <c r="Q356" s="2">
        <v>1</v>
      </c>
      <c r="R356" s="2">
        <v>2</v>
      </c>
    </row>
    <row r="357" spans="1:18" x14ac:dyDescent="0.3">
      <c r="A357" s="2">
        <v>355</v>
      </c>
      <c r="B357" s="4">
        <v>40559</v>
      </c>
      <c r="C357" s="2">
        <v>1</v>
      </c>
      <c r="D357" s="2">
        <v>0</v>
      </c>
      <c r="E357" s="2">
        <v>1</v>
      </c>
      <c r="F357" s="2" t="s">
        <v>18</v>
      </c>
      <c r="G357" s="2">
        <v>6</v>
      </c>
      <c r="H357" s="2" t="b">
        <v>0</v>
      </c>
      <c r="I357" s="2">
        <v>0</v>
      </c>
      <c r="J357" s="2" t="s">
        <v>23</v>
      </c>
      <c r="K357" s="2">
        <v>2</v>
      </c>
      <c r="L357" s="2">
        <v>0.26</v>
      </c>
      <c r="M357" s="2">
        <v>0.2576</v>
      </c>
      <c r="N357" s="2">
        <v>0.56000000000000005</v>
      </c>
      <c r="O357" s="2">
        <v>0.16420000000000001</v>
      </c>
      <c r="P357" s="2">
        <v>0</v>
      </c>
      <c r="Q357" s="2">
        <v>1</v>
      </c>
      <c r="R357" s="2">
        <v>1</v>
      </c>
    </row>
    <row r="358" spans="1:18" x14ac:dyDescent="0.3">
      <c r="A358" s="2">
        <v>356</v>
      </c>
      <c r="B358" s="4">
        <v>40559</v>
      </c>
      <c r="C358" s="2">
        <v>1</v>
      </c>
      <c r="D358" s="2">
        <v>0</v>
      </c>
      <c r="E358" s="2">
        <v>1</v>
      </c>
      <c r="F358" s="2" t="s">
        <v>18</v>
      </c>
      <c r="G358" s="2">
        <v>7</v>
      </c>
      <c r="H358" s="2" t="b">
        <v>0</v>
      </c>
      <c r="I358" s="2">
        <v>0</v>
      </c>
      <c r="J358" s="2" t="s">
        <v>23</v>
      </c>
      <c r="K358" s="2">
        <v>2</v>
      </c>
      <c r="L358" s="2">
        <v>0.24</v>
      </c>
      <c r="M358" s="2">
        <v>0.21210000000000001</v>
      </c>
      <c r="N358" s="2">
        <v>0.56000000000000005</v>
      </c>
      <c r="O358" s="2">
        <v>0.29849999999999999</v>
      </c>
      <c r="P358" s="2">
        <v>0</v>
      </c>
      <c r="Q358" s="2">
        <v>3</v>
      </c>
      <c r="R358" s="2">
        <v>3</v>
      </c>
    </row>
    <row r="359" spans="1:18" x14ac:dyDescent="0.3">
      <c r="A359" s="2">
        <v>357</v>
      </c>
      <c r="B359" s="4">
        <v>40559</v>
      </c>
      <c r="C359" s="2">
        <v>1</v>
      </c>
      <c r="D359" s="2">
        <v>0</v>
      </c>
      <c r="E359" s="2">
        <v>1</v>
      </c>
      <c r="F359" s="2" t="s">
        <v>18</v>
      </c>
      <c r="G359" s="2">
        <v>8</v>
      </c>
      <c r="H359" s="2" t="b">
        <v>0</v>
      </c>
      <c r="I359" s="2">
        <v>0</v>
      </c>
      <c r="J359" s="2" t="s">
        <v>23</v>
      </c>
      <c r="K359" s="2">
        <v>1</v>
      </c>
      <c r="L359" s="2">
        <v>0.22</v>
      </c>
      <c r="M359" s="2">
        <v>0.21210000000000001</v>
      </c>
      <c r="N359" s="2">
        <v>0.55000000000000004</v>
      </c>
      <c r="O359" s="2">
        <v>0.28360000000000002</v>
      </c>
      <c r="P359" s="2">
        <v>0</v>
      </c>
      <c r="Q359" s="2">
        <v>18</v>
      </c>
      <c r="R359" s="2">
        <v>18</v>
      </c>
    </row>
    <row r="360" spans="1:18" x14ac:dyDescent="0.3">
      <c r="A360" s="2">
        <v>358</v>
      </c>
      <c r="B360" s="4">
        <v>40559</v>
      </c>
      <c r="C360" s="2">
        <v>1</v>
      </c>
      <c r="D360" s="2">
        <v>0</v>
      </c>
      <c r="E360" s="2">
        <v>1</v>
      </c>
      <c r="F360" s="2" t="s">
        <v>18</v>
      </c>
      <c r="G360" s="2">
        <v>9</v>
      </c>
      <c r="H360" s="2" t="b">
        <v>0</v>
      </c>
      <c r="I360" s="2">
        <v>0</v>
      </c>
      <c r="J360" s="2" t="s">
        <v>23</v>
      </c>
      <c r="K360" s="2">
        <v>1</v>
      </c>
      <c r="L360" s="2">
        <v>0.22</v>
      </c>
      <c r="M360" s="2">
        <v>0.21210000000000001</v>
      </c>
      <c r="N360" s="2">
        <v>0.51</v>
      </c>
      <c r="O360" s="2">
        <v>0.25369999999999998</v>
      </c>
      <c r="P360" s="2">
        <v>3</v>
      </c>
      <c r="Q360" s="2">
        <v>29</v>
      </c>
      <c r="R360" s="2">
        <v>32</v>
      </c>
    </row>
    <row r="361" spans="1:18" x14ac:dyDescent="0.3">
      <c r="A361" s="2">
        <v>359</v>
      </c>
      <c r="B361" s="4">
        <v>40559</v>
      </c>
      <c r="C361" s="2">
        <v>1</v>
      </c>
      <c r="D361" s="2">
        <v>0</v>
      </c>
      <c r="E361" s="2">
        <v>1</v>
      </c>
      <c r="F361" s="2" t="s">
        <v>18</v>
      </c>
      <c r="G361" s="2">
        <v>10</v>
      </c>
      <c r="H361" s="2" t="b">
        <v>0</v>
      </c>
      <c r="I361" s="2">
        <v>0</v>
      </c>
      <c r="J361" s="2" t="s">
        <v>23</v>
      </c>
      <c r="K361" s="2">
        <v>1</v>
      </c>
      <c r="L361" s="2">
        <v>0.22</v>
      </c>
      <c r="M361" s="2">
        <v>0.21210000000000001</v>
      </c>
      <c r="N361" s="2">
        <v>0.51</v>
      </c>
      <c r="O361" s="2">
        <v>0.28360000000000002</v>
      </c>
      <c r="P361" s="2">
        <v>8</v>
      </c>
      <c r="Q361" s="2">
        <v>71</v>
      </c>
      <c r="R361" s="2">
        <v>79</v>
      </c>
    </row>
    <row r="362" spans="1:18" x14ac:dyDescent="0.3">
      <c r="A362" s="2">
        <v>360</v>
      </c>
      <c r="B362" s="4">
        <v>40559</v>
      </c>
      <c r="C362" s="2">
        <v>1</v>
      </c>
      <c r="D362" s="2">
        <v>0</v>
      </c>
      <c r="E362" s="2">
        <v>1</v>
      </c>
      <c r="F362" s="2" t="s">
        <v>18</v>
      </c>
      <c r="G362" s="2">
        <v>11</v>
      </c>
      <c r="H362" s="2" t="b">
        <v>0</v>
      </c>
      <c r="I362" s="2">
        <v>0</v>
      </c>
      <c r="J362" s="2" t="s">
        <v>23</v>
      </c>
      <c r="K362" s="2">
        <v>1</v>
      </c>
      <c r="L362" s="2">
        <v>0.24</v>
      </c>
      <c r="M362" s="2">
        <v>0.2273</v>
      </c>
      <c r="N362" s="2">
        <v>0.44</v>
      </c>
      <c r="O362" s="2">
        <v>0.25369999999999998</v>
      </c>
      <c r="P362" s="2">
        <v>23</v>
      </c>
      <c r="Q362" s="2">
        <v>70</v>
      </c>
      <c r="R362" s="2">
        <v>93</v>
      </c>
    </row>
    <row r="363" spans="1:18" x14ac:dyDescent="0.3">
      <c r="A363" s="2">
        <v>361</v>
      </c>
      <c r="B363" s="4">
        <v>40559</v>
      </c>
      <c r="C363" s="2">
        <v>1</v>
      </c>
      <c r="D363" s="2">
        <v>0</v>
      </c>
      <c r="E363" s="2">
        <v>1</v>
      </c>
      <c r="F363" s="2" t="s">
        <v>18</v>
      </c>
      <c r="G363" s="2">
        <v>12</v>
      </c>
      <c r="H363" s="2" t="b">
        <v>0</v>
      </c>
      <c r="I363" s="2">
        <v>0</v>
      </c>
      <c r="J363" s="2" t="s">
        <v>23</v>
      </c>
      <c r="K363" s="2">
        <v>1</v>
      </c>
      <c r="L363" s="2">
        <v>0.24</v>
      </c>
      <c r="M363" s="2">
        <v>0.21210000000000001</v>
      </c>
      <c r="N363" s="2">
        <v>0.41</v>
      </c>
      <c r="O363" s="2">
        <v>0.28360000000000002</v>
      </c>
      <c r="P363" s="2">
        <v>29</v>
      </c>
      <c r="Q363" s="2">
        <v>75</v>
      </c>
      <c r="R363" s="2">
        <v>104</v>
      </c>
    </row>
    <row r="364" spans="1:18" x14ac:dyDescent="0.3">
      <c r="A364" s="2">
        <v>362</v>
      </c>
      <c r="B364" s="4">
        <v>40559</v>
      </c>
      <c r="C364" s="2">
        <v>1</v>
      </c>
      <c r="D364" s="2">
        <v>0</v>
      </c>
      <c r="E364" s="2">
        <v>1</v>
      </c>
      <c r="F364" s="2" t="s">
        <v>18</v>
      </c>
      <c r="G364" s="2">
        <v>13</v>
      </c>
      <c r="H364" s="2" t="b">
        <v>0</v>
      </c>
      <c r="I364" s="2">
        <v>0</v>
      </c>
      <c r="J364" s="2" t="s">
        <v>23</v>
      </c>
      <c r="K364" s="2">
        <v>1</v>
      </c>
      <c r="L364" s="2">
        <v>0.26</v>
      </c>
      <c r="M364" s="2">
        <v>0.2273</v>
      </c>
      <c r="N364" s="2">
        <v>0.35</v>
      </c>
      <c r="O364" s="2">
        <v>0.29849999999999999</v>
      </c>
      <c r="P364" s="2">
        <v>23</v>
      </c>
      <c r="Q364" s="2">
        <v>95</v>
      </c>
      <c r="R364" s="2">
        <v>118</v>
      </c>
    </row>
    <row r="365" spans="1:18" x14ac:dyDescent="0.3">
      <c r="A365" s="2">
        <v>363</v>
      </c>
      <c r="B365" s="4">
        <v>40559</v>
      </c>
      <c r="C365" s="2">
        <v>1</v>
      </c>
      <c r="D365" s="2">
        <v>0</v>
      </c>
      <c r="E365" s="2">
        <v>1</v>
      </c>
      <c r="F365" s="2" t="s">
        <v>18</v>
      </c>
      <c r="G365" s="2">
        <v>14</v>
      </c>
      <c r="H365" s="2" t="b">
        <v>0</v>
      </c>
      <c r="I365" s="2">
        <v>0</v>
      </c>
      <c r="J365" s="2" t="s">
        <v>23</v>
      </c>
      <c r="K365" s="2">
        <v>1</v>
      </c>
      <c r="L365" s="2">
        <v>0.28000000000000003</v>
      </c>
      <c r="M365" s="2">
        <v>0.2727</v>
      </c>
      <c r="N365" s="2">
        <v>0.36</v>
      </c>
      <c r="O365" s="2">
        <v>0.25369999999999998</v>
      </c>
      <c r="P365" s="2">
        <v>22</v>
      </c>
      <c r="Q365" s="2">
        <v>69</v>
      </c>
      <c r="R365" s="2">
        <v>91</v>
      </c>
    </row>
    <row r="366" spans="1:18" x14ac:dyDescent="0.3">
      <c r="A366" s="2">
        <v>364</v>
      </c>
      <c r="B366" s="4">
        <v>40559</v>
      </c>
      <c r="C366" s="2">
        <v>1</v>
      </c>
      <c r="D366" s="2">
        <v>0</v>
      </c>
      <c r="E366" s="2">
        <v>1</v>
      </c>
      <c r="F366" s="2" t="s">
        <v>18</v>
      </c>
      <c r="G366" s="2">
        <v>15</v>
      </c>
      <c r="H366" s="2" t="b">
        <v>0</v>
      </c>
      <c r="I366" s="2">
        <v>0</v>
      </c>
      <c r="J366" s="2" t="s">
        <v>23</v>
      </c>
      <c r="K366" s="2">
        <v>1</v>
      </c>
      <c r="L366" s="2">
        <v>0.26</v>
      </c>
      <c r="M366" s="2">
        <v>0.2424</v>
      </c>
      <c r="N366" s="2">
        <v>0.38</v>
      </c>
      <c r="O366" s="2">
        <v>0.25369999999999998</v>
      </c>
      <c r="P366" s="2">
        <v>35</v>
      </c>
      <c r="Q366" s="2">
        <v>78</v>
      </c>
      <c r="R366" s="2">
        <v>113</v>
      </c>
    </row>
    <row r="367" spans="1:18" x14ac:dyDescent="0.3">
      <c r="A367" s="2">
        <v>365</v>
      </c>
      <c r="B367" s="4">
        <v>40559</v>
      </c>
      <c r="C367" s="2">
        <v>1</v>
      </c>
      <c r="D367" s="2">
        <v>0</v>
      </c>
      <c r="E367" s="2">
        <v>1</v>
      </c>
      <c r="F367" s="2" t="s">
        <v>18</v>
      </c>
      <c r="G367" s="2">
        <v>16</v>
      </c>
      <c r="H367" s="2" t="b">
        <v>0</v>
      </c>
      <c r="I367" s="2">
        <v>0</v>
      </c>
      <c r="J367" s="2" t="s">
        <v>23</v>
      </c>
      <c r="K367" s="2">
        <v>1</v>
      </c>
      <c r="L367" s="2">
        <v>0.24</v>
      </c>
      <c r="M367" s="2">
        <v>0.2273</v>
      </c>
      <c r="N367" s="2">
        <v>0.38</v>
      </c>
      <c r="O367" s="2">
        <v>0.22389999999999999</v>
      </c>
      <c r="P367" s="2">
        <v>22</v>
      </c>
      <c r="Q367" s="2">
        <v>77</v>
      </c>
      <c r="R367" s="2">
        <v>99</v>
      </c>
    </row>
    <row r="368" spans="1:18" x14ac:dyDescent="0.3">
      <c r="A368" s="2">
        <v>366</v>
      </c>
      <c r="B368" s="4">
        <v>40559</v>
      </c>
      <c r="C368" s="2">
        <v>1</v>
      </c>
      <c r="D368" s="2">
        <v>0</v>
      </c>
      <c r="E368" s="2">
        <v>1</v>
      </c>
      <c r="F368" s="2" t="s">
        <v>18</v>
      </c>
      <c r="G368" s="2">
        <v>17</v>
      </c>
      <c r="H368" s="2" t="b">
        <v>0</v>
      </c>
      <c r="I368" s="2">
        <v>0</v>
      </c>
      <c r="J368" s="2" t="s">
        <v>23</v>
      </c>
      <c r="K368" s="2">
        <v>1</v>
      </c>
      <c r="L368" s="2">
        <v>0.22</v>
      </c>
      <c r="M368" s="2">
        <v>0.21210000000000001</v>
      </c>
      <c r="N368" s="2">
        <v>0.37</v>
      </c>
      <c r="O368" s="2">
        <v>0.25369999999999998</v>
      </c>
      <c r="P368" s="2">
        <v>23</v>
      </c>
      <c r="Q368" s="2">
        <v>82</v>
      </c>
      <c r="R368" s="2">
        <v>105</v>
      </c>
    </row>
    <row r="369" spans="1:18" x14ac:dyDescent="0.3">
      <c r="A369" s="2">
        <v>367</v>
      </c>
      <c r="B369" s="4">
        <v>40559</v>
      </c>
      <c r="C369" s="2">
        <v>1</v>
      </c>
      <c r="D369" s="2">
        <v>0</v>
      </c>
      <c r="E369" s="2">
        <v>1</v>
      </c>
      <c r="F369" s="2" t="s">
        <v>18</v>
      </c>
      <c r="G369" s="2">
        <v>18</v>
      </c>
      <c r="H369" s="2" t="b">
        <v>0</v>
      </c>
      <c r="I369" s="2">
        <v>0</v>
      </c>
      <c r="J369" s="2" t="s">
        <v>23</v>
      </c>
      <c r="K369" s="2">
        <v>1</v>
      </c>
      <c r="L369" s="2">
        <v>0.2</v>
      </c>
      <c r="M369" s="2">
        <v>0.21210000000000001</v>
      </c>
      <c r="N369" s="2">
        <v>0.4</v>
      </c>
      <c r="O369" s="2">
        <v>0.16420000000000001</v>
      </c>
      <c r="P369" s="2">
        <v>11</v>
      </c>
      <c r="Q369" s="2">
        <v>56</v>
      </c>
      <c r="R369" s="2">
        <v>67</v>
      </c>
    </row>
    <row r="370" spans="1:18" x14ac:dyDescent="0.3">
      <c r="A370" s="2">
        <v>368</v>
      </c>
      <c r="B370" s="4">
        <v>40559</v>
      </c>
      <c r="C370" s="2">
        <v>1</v>
      </c>
      <c r="D370" s="2">
        <v>0</v>
      </c>
      <c r="E370" s="2">
        <v>1</v>
      </c>
      <c r="F370" s="2" t="s">
        <v>18</v>
      </c>
      <c r="G370" s="2">
        <v>19</v>
      </c>
      <c r="H370" s="2" t="b">
        <v>0</v>
      </c>
      <c r="I370" s="2">
        <v>0</v>
      </c>
      <c r="J370" s="2" t="s">
        <v>23</v>
      </c>
      <c r="K370" s="2">
        <v>1</v>
      </c>
      <c r="L370" s="2">
        <v>0.18</v>
      </c>
      <c r="M370" s="2">
        <v>0.19700000000000001</v>
      </c>
      <c r="N370" s="2">
        <v>0.47</v>
      </c>
      <c r="O370" s="2">
        <v>0.1343</v>
      </c>
      <c r="P370" s="2">
        <v>14</v>
      </c>
      <c r="Q370" s="2">
        <v>47</v>
      </c>
      <c r="R370" s="2">
        <v>61</v>
      </c>
    </row>
    <row r="371" spans="1:18" x14ac:dyDescent="0.3">
      <c r="A371" s="2">
        <v>369</v>
      </c>
      <c r="B371" s="4">
        <v>40559</v>
      </c>
      <c r="C371" s="2">
        <v>1</v>
      </c>
      <c r="D371" s="2">
        <v>0</v>
      </c>
      <c r="E371" s="2">
        <v>1</v>
      </c>
      <c r="F371" s="2" t="s">
        <v>18</v>
      </c>
      <c r="G371" s="2">
        <v>20</v>
      </c>
      <c r="H371" s="2" t="b">
        <v>0</v>
      </c>
      <c r="I371" s="2">
        <v>0</v>
      </c>
      <c r="J371" s="2" t="s">
        <v>23</v>
      </c>
      <c r="K371" s="2">
        <v>1</v>
      </c>
      <c r="L371" s="2">
        <v>0.18</v>
      </c>
      <c r="M371" s="2">
        <v>0.19700000000000001</v>
      </c>
      <c r="N371" s="2">
        <v>0.47</v>
      </c>
      <c r="O371" s="2">
        <v>0.16420000000000001</v>
      </c>
      <c r="P371" s="2">
        <v>7</v>
      </c>
      <c r="Q371" s="2">
        <v>50</v>
      </c>
      <c r="R371" s="2">
        <v>57</v>
      </c>
    </row>
    <row r="372" spans="1:18" x14ac:dyDescent="0.3">
      <c r="A372" s="2">
        <v>370</v>
      </c>
      <c r="B372" s="4">
        <v>40559</v>
      </c>
      <c r="C372" s="2">
        <v>1</v>
      </c>
      <c r="D372" s="2">
        <v>0</v>
      </c>
      <c r="E372" s="2">
        <v>1</v>
      </c>
      <c r="F372" s="2" t="s">
        <v>18</v>
      </c>
      <c r="G372" s="2">
        <v>21</v>
      </c>
      <c r="H372" s="2" t="b">
        <v>0</v>
      </c>
      <c r="I372" s="2">
        <v>0</v>
      </c>
      <c r="J372" s="2" t="s">
        <v>24</v>
      </c>
      <c r="K372" s="2">
        <v>1</v>
      </c>
      <c r="L372" s="2">
        <v>0.18</v>
      </c>
      <c r="M372" s="2">
        <v>0.19700000000000001</v>
      </c>
      <c r="N372" s="2">
        <v>0.51</v>
      </c>
      <c r="O372" s="2">
        <v>0.16420000000000001</v>
      </c>
      <c r="P372" s="2">
        <v>6</v>
      </c>
      <c r="Q372" s="2">
        <v>22</v>
      </c>
      <c r="R372" s="2">
        <v>28</v>
      </c>
    </row>
    <row r="373" spans="1:18" x14ac:dyDescent="0.3">
      <c r="A373" s="2">
        <v>371</v>
      </c>
      <c r="B373" s="4">
        <v>40559</v>
      </c>
      <c r="C373" s="2">
        <v>1</v>
      </c>
      <c r="D373" s="2">
        <v>0</v>
      </c>
      <c r="E373" s="2">
        <v>1</v>
      </c>
      <c r="F373" s="2" t="s">
        <v>18</v>
      </c>
      <c r="G373" s="2">
        <v>22</v>
      </c>
      <c r="H373" s="2" t="b">
        <v>0</v>
      </c>
      <c r="I373" s="2">
        <v>0</v>
      </c>
      <c r="J373" s="2" t="s">
        <v>24</v>
      </c>
      <c r="K373" s="2">
        <v>2</v>
      </c>
      <c r="L373" s="2">
        <v>0.2</v>
      </c>
      <c r="M373" s="2">
        <v>0.21210000000000001</v>
      </c>
      <c r="N373" s="2">
        <v>0.49</v>
      </c>
      <c r="O373" s="2">
        <v>0.1343</v>
      </c>
      <c r="P373" s="2">
        <v>2</v>
      </c>
      <c r="Q373" s="2">
        <v>19</v>
      </c>
      <c r="R373" s="2">
        <v>21</v>
      </c>
    </row>
    <row r="374" spans="1:18" x14ac:dyDescent="0.3">
      <c r="A374" s="2">
        <v>372</v>
      </c>
      <c r="B374" s="4">
        <v>40559</v>
      </c>
      <c r="C374" s="2">
        <v>1</v>
      </c>
      <c r="D374" s="2">
        <v>0</v>
      </c>
      <c r="E374" s="2">
        <v>1</v>
      </c>
      <c r="F374" s="2" t="s">
        <v>18</v>
      </c>
      <c r="G374" s="2">
        <v>23</v>
      </c>
      <c r="H374" s="2" t="b">
        <v>0</v>
      </c>
      <c r="I374" s="2">
        <v>0</v>
      </c>
      <c r="J374" s="2" t="s">
        <v>24</v>
      </c>
      <c r="K374" s="2">
        <v>2</v>
      </c>
      <c r="L374" s="2">
        <v>0.2</v>
      </c>
      <c r="M374" s="2">
        <v>0.2273</v>
      </c>
      <c r="N374" s="2">
        <v>0.4</v>
      </c>
      <c r="O374" s="2">
        <v>0.1045</v>
      </c>
      <c r="P374" s="2">
        <v>0</v>
      </c>
      <c r="Q374" s="2">
        <v>18</v>
      </c>
      <c r="R374" s="2">
        <v>18</v>
      </c>
    </row>
    <row r="375" spans="1:18" x14ac:dyDescent="0.3">
      <c r="A375" s="2">
        <v>373</v>
      </c>
      <c r="B375" s="4">
        <v>40560</v>
      </c>
      <c r="C375" s="2">
        <v>1</v>
      </c>
      <c r="D375" s="2">
        <v>0</v>
      </c>
      <c r="E375" s="2">
        <v>1</v>
      </c>
      <c r="F375" s="2" t="s">
        <v>18</v>
      </c>
      <c r="G375" s="2">
        <v>0</v>
      </c>
      <c r="H375" s="2" t="b">
        <v>1</v>
      </c>
      <c r="I375" s="2">
        <v>1</v>
      </c>
      <c r="J375" s="2" t="s">
        <v>24</v>
      </c>
      <c r="K375" s="2">
        <v>2</v>
      </c>
      <c r="L375" s="2">
        <v>0.2</v>
      </c>
      <c r="M375" s="2">
        <v>0.19700000000000001</v>
      </c>
      <c r="N375" s="2">
        <v>0.47</v>
      </c>
      <c r="O375" s="2">
        <v>0.22389999999999999</v>
      </c>
      <c r="P375" s="2">
        <v>1</v>
      </c>
      <c r="Q375" s="2">
        <v>16</v>
      </c>
      <c r="R375" s="2">
        <v>17</v>
      </c>
    </row>
    <row r="376" spans="1:18" x14ac:dyDescent="0.3">
      <c r="A376" s="2">
        <v>374</v>
      </c>
      <c r="B376" s="4">
        <v>40560</v>
      </c>
      <c r="C376" s="2">
        <v>1</v>
      </c>
      <c r="D376" s="2">
        <v>0</v>
      </c>
      <c r="E376" s="2">
        <v>1</v>
      </c>
      <c r="F376" s="2" t="s">
        <v>18</v>
      </c>
      <c r="G376" s="2">
        <v>1</v>
      </c>
      <c r="H376" s="2" t="b">
        <v>1</v>
      </c>
      <c r="I376" s="2">
        <v>1</v>
      </c>
      <c r="J376" s="2" t="s">
        <v>24</v>
      </c>
      <c r="K376" s="2">
        <v>2</v>
      </c>
      <c r="L376" s="2">
        <v>0.2</v>
      </c>
      <c r="M376" s="2">
        <v>0.19700000000000001</v>
      </c>
      <c r="N376" s="2">
        <v>0.44</v>
      </c>
      <c r="O376" s="2">
        <v>0.19400000000000001</v>
      </c>
      <c r="P376" s="2">
        <v>1</v>
      </c>
      <c r="Q376" s="2">
        <v>15</v>
      </c>
      <c r="R376" s="2">
        <v>16</v>
      </c>
    </row>
    <row r="377" spans="1:18" x14ac:dyDescent="0.3">
      <c r="A377" s="2">
        <v>375</v>
      </c>
      <c r="B377" s="4">
        <v>40560</v>
      </c>
      <c r="C377" s="2">
        <v>1</v>
      </c>
      <c r="D377" s="2">
        <v>0</v>
      </c>
      <c r="E377" s="2">
        <v>1</v>
      </c>
      <c r="F377" s="2" t="s">
        <v>18</v>
      </c>
      <c r="G377" s="2">
        <v>2</v>
      </c>
      <c r="H377" s="2" t="b">
        <v>1</v>
      </c>
      <c r="I377" s="2">
        <v>1</v>
      </c>
      <c r="J377" s="2" t="s">
        <v>24</v>
      </c>
      <c r="K377" s="2">
        <v>2</v>
      </c>
      <c r="L377" s="2">
        <v>0.18</v>
      </c>
      <c r="M377" s="2">
        <v>0.16669999999999999</v>
      </c>
      <c r="N377" s="2">
        <v>0.43</v>
      </c>
      <c r="O377" s="2">
        <v>0.25369999999999998</v>
      </c>
      <c r="P377" s="2">
        <v>0</v>
      </c>
      <c r="Q377" s="2">
        <v>8</v>
      </c>
      <c r="R377" s="2">
        <v>8</v>
      </c>
    </row>
    <row r="378" spans="1:18" x14ac:dyDescent="0.3">
      <c r="A378" s="2">
        <v>376</v>
      </c>
      <c r="B378" s="4">
        <v>40560</v>
      </c>
      <c r="C378" s="2">
        <v>1</v>
      </c>
      <c r="D378" s="2">
        <v>0</v>
      </c>
      <c r="E378" s="2">
        <v>1</v>
      </c>
      <c r="F378" s="2" t="s">
        <v>18</v>
      </c>
      <c r="G378" s="2">
        <v>3</v>
      </c>
      <c r="H378" s="2" t="b">
        <v>1</v>
      </c>
      <c r="I378" s="2">
        <v>1</v>
      </c>
      <c r="J378" s="2" t="s">
        <v>24</v>
      </c>
      <c r="K378" s="2">
        <v>2</v>
      </c>
      <c r="L378" s="2">
        <v>0.18</v>
      </c>
      <c r="M378" s="2">
        <v>0.18179999999999999</v>
      </c>
      <c r="N378" s="2">
        <v>0.43</v>
      </c>
      <c r="O378" s="2">
        <v>0.19400000000000001</v>
      </c>
      <c r="P378" s="2">
        <v>0</v>
      </c>
      <c r="Q378" s="2">
        <v>2</v>
      </c>
      <c r="R378" s="2">
        <v>2</v>
      </c>
    </row>
    <row r="379" spans="1:18" x14ac:dyDescent="0.3">
      <c r="A379" s="2">
        <v>377</v>
      </c>
      <c r="B379" s="4">
        <v>40560</v>
      </c>
      <c r="C379" s="2">
        <v>1</v>
      </c>
      <c r="D379" s="2">
        <v>0</v>
      </c>
      <c r="E379" s="2">
        <v>1</v>
      </c>
      <c r="F379" s="2" t="s">
        <v>18</v>
      </c>
      <c r="G379" s="2">
        <v>4</v>
      </c>
      <c r="H379" s="2" t="b">
        <v>1</v>
      </c>
      <c r="I379" s="2">
        <v>1</v>
      </c>
      <c r="J379" s="2" t="s">
        <v>24</v>
      </c>
      <c r="K379" s="2">
        <v>2</v>
      </c>
      <c r="L379" s="2">
        <v>0.18</v>
      </c>
      <c r="M379" s="2">
        <v>0.19700000000000001</v>
      </c>
      <c r="N379" s="2">
        <v>0.43</v>
      </c>
      <c r="O379" s="2">
        <v>0.1343</v>
      </c>
      <c r="P379" s="2">
        <v>1</v>
      </c>
      <c r="Q379" s="2">
        <v>2</v>
      </c>
      <c r="R379" s="2">
        <v>3</v>
      </c>
    </row>
    <row r="380" spans="1:18" x14ac:dyDescent="0.3">
      <c r="A380" s="2">
        <v>378</v>
      </c>
      <c r="B380" s="4">
        <v>40560</v>
      </c>
      <c r="C380" s="2">
        <v>1</v>
      </c>
      <c r="D380" s="2">
        <v>0</v>
      </c>
      <c r="E380" s="2">
        <v>1</v>
      </c>
      <c r="F380" s="2" t="s">
        <v>18</v>
      </c>
      <c r="G380" s="2">
        <v>5</v>
      </c>
      <c r="H380" s="2" t="b">
        <v>1</v>
      </c>
      <c r="I380" s="2">
        <v>1</v>
      </c>
      <c r="J380" s="2" t="s">
        <v>24</v>
      </c>
      <c r="K380" s="2">
        <v>2</v>
      </c>
      <c r="L380" s="2">
        <v>0.18</v>
      </c>
      <c r="M380" s="2">
        <v>0.19700000000000001</v>
      </c>
      <c r="N380" s="2">
        <v>0.43</v>
      </c>
      <c r="O380" s="2">
        <v>0.16420000000000001</v>
      </c>
      <c r="P380" s="2">
        <v>0</v>
      </c>
      <c r="Q380" s="2">
        <v>1</v>
      </c>
      <c r="R380" s="2">
        <v>1</v>
      </c>
    </row>
    <row r="381" spans="1:18" x14ac:dyDescent="0.3">
      <c r="A381" s="2">
        <v>379</v>
      </c>
      <c r="B381" s="4">
        <v>40560</v>
      </c>
      <c r="C381" s="2">
        <v>1</v>
      </c>
      <c r="D381" s="2">
        <v>0</v>
      </c>
      <c r="E381" s="2">
        <v>1</v>
      </c>
      <c r="F381" s="2" t="s">
        <v>18</v>
      </c>
      <c r="G381" s="2">
        <v>6</v>
      </c>
      <c r="H381" s="2" t="b">
        <v>1</v>
      </c>
      <c r="I381" s="2">
        <v>1</v>
      </c>
      <c r="J381" s="2" t="s">
        <v>24</v>
      </c>
      <c r="K381" s="2">
        <v>2</v>
      </c>
      <c r="L381" s="2">
        <v>0.18</v>
      </c>
      <c r="M381" s="2">
        <v>0.18179999999999999</v>
      </c>
      <c r="N381" s="2">
        <v>0.43</v>
      </c>
      <c r="O381" s="2">
        <v>0.19400000000000001</v>
      </c>
      <c r="P381" s="2">
        <v>0</v>
      </c>
      <c r="Q381" s="2">
        <v>5</v>
      </c>
      <c r="R381" s="2">
        <v>5</v>
      </c>
    </row>
    <row r="382" spans="1:18" x14ac:dyDescent="0.3">
      <c r="A382" s="2">
        <v>380</v>
      </c>
      <c r="B382" s="4">
        <v>40560</v>
      </c>
      <c r="C382" s="2">
        <v>1</v>
      </c>
      <c r="D382" s="2">
        <v>0</v>
      </c>
      <c r="E382" s="2">
        <v>1</v>
      </c>
      <c r="F382" s="2" t="s">
        <v>18</v>
      </c>
      <c r="G382" s="2">
        <v>7</v>
      </c>
      <c r="H382" s="2" t="b">
        <v>1</v>
      </c>
      <c r="I382" s="2">
        <v>1</v>
      </c>
      <c r="J382" s="2" t="s">
        <v>24</v>
      </c>
      <c r="K382" s="2">
        <v>2</v>
      </c>
      <c r="L382" s="2">
        <v>0.16</v>
      </c>
      <c r="M382" s="2">
        <v>0.18179999999999999</v>
      </c>
      <c r="N382" s="2">
        <v>0.5</v>
      </c>
      <c r="O382" s="2">
        <v>0.1343</v>
      </c>
      <c r="P382" s="2">
        <v>4</v>
      </c>
      <c r="Q382" s="2">
        <v>9</v>
      </c>
      <c r="R382" s="2">
        <v>13</v>
      </c>
    </row>
    <row r="383" spans="1:18" x14ac:dyDescent="0.3">
      <c r="A383" s="2">
        <v>381</v>
      </c>
      <c r="B383" s="4">
        <v>40560</v>
      </c>
      <c r="C383" s="2">
        <v>1</v>
      </c>
      <c r="D383" s="2">
        <v>0</v>
      </c>
      <c r="E383" s="2">
        <v>1</v>
      </c>
      <c r="F383" s="2" t="s">
        <v>18</v>
      </c>
      <c r="G383" s="2">
        <v>8</v>
      </c>
      <c r="H383" s="2" t="b">
        <v>1</v>
      </c>
      <c r="I383" s="2">
        <v>1</v>
      </c>
      <c r="J383" s="2" t="s">
        <v>24</v>
      </c>
      <c r="K383" s="2">
        <v>2</v>
      </c>
      <c r="L383" s="2">
        <v>0.16</v>
      </c>
      <c r="M383" s="2">
        <v>0.1515</v>
      </c>
      <c r="N383" s="2">
        <v>0.47</v>
      </c>
      <c r="O383" s="2">
        <v>0.22389999999999999</v>
      </c>
      <c r="P383" s="2">
        <v>3</v>
      </c>
      <c r="Q383" s="2">
        <v>30</v>
      </c>
      <c r="R383" s="2">
        <v>33</v>
      </c>
    </row>
    <row r="384" spans="1:18" x14ac:dyDescent="0.3">
      <c r="A384" s="2">
        <v>382</v>
      </c>
      <c r="B384" s="4">
        <v>40560</v>
      </c>
      <c r="C384" s="2">
        <v>1</v>
      </c>
      <c r="D384" s="2">
        <v>0</v>
      </c>
      <c r="E384" s="2">
        <v>1</v>
      </c>
      <c r="F384" s="2" t="s">
        <v>18</v>
      </c>
      <c r="G384" s="2">
        <v>9</v>
      </c>
      <c r="H384" s="2" t="b">
        <v>1</v>
      </c>
      <c r="I384" s="2">
        <v>1</v>
      </c>
      <c r="J384" s="2" t="s">
        <v>24</v>
      </c>
      <c r="K384" s="2">
        <v>2</v>
      </c>
      <c r="L384" s="2">
        <v>0.16</v>
      </c>
      <c r="M384" s="2">
        <v>0.1515</v>
      </c>
      <c r="N384" s="2">
        <v>0.47</v>
      </c>
      <c r="O384" s="2">
        <v>0.22389999999999999</v>
      </c>
      <c r="P384" s="2">
        <v>8</v>
      </c>
      <c r="Q384" s="2">
        <v>39</v>
      </c>
      <c r="R384" s="2">
        <v>47</v>
      </c>
    </row>
    <row r="385" spans="1:18" x14ac:dyDescent="0.3">
      <c r="A385" s="2">
        <v>383</v>
      </c>
      <c r="B385" s="4">
        <v>40560</v>
      </c>
      <c r="C385" s="2">
        <v>1</v>
      </c>
      <c r="D385" s="2">
        <v>0</v>
      </c>
      <c r="E385" s="2">
        <v>1</v>
      </c>
      <c r="F385" s="2" t="s">
        <v>18</v>
      </c>
      <c r="G385" s="2">
        <v>10</v>
      </c>
      <c r="H385" s="2" t="b">
        <v>1</v>
      </c>
      <c r="I385" s="2">
        <v>1</v>
      </c>
      <c r="J385" s="2" t="s">
        <v>24</v>
      </c>
      <c r="K385" s="2">
        <v>2</v>
      </c>
      <c r="L385" s="2">
        <v>0.16</v>
      </c>
      <c r="M385" s="2">
        <v>0.1515</v>
      </c>
      <c r="N385" s="2">
        <v>0.5</v>
      </c>
      <c r="O385" s="2">
        <v>0.25369999999999998</v>
      </c>
      <c r="P385" s="2">
        <v>7</v>
      </c>
      <c r="Q385" s="2">
        <v>50</v>
      </c>
      <c r="R385" s="2">
        <v>57</v>
      </c>
    </row>
    <row r="386" spans="1:18" x14ac:dyDescent="0.3">
      <c r="A386" s="2">
        <v>384</v>
      </c>
      <c r="B386" s="4">
        <v>40560</v>
      </c>
      <c r="C386" s="2">
        <v>1</v>
      </c>
      <c r="D386" s="2">
        <v>0</v>
      </c>
      <c r="E386" s="2">
        <v>1</v>
      </c>
      <c r="F386" s="2" t="s">
        <v>18</v>
      </c>
      <c r="G386" s="2">
        <v>11</v>
      </c>
      <c r="H386" s="2" t="b">
        <v>1</v>
      </c>
      <c r="I386" s="2">
        <v>1</v>
      </c>
      <c r="J386" s="2" t="s">
        <v>24</v>
      </c>
      <c r="K386" s="2">
        <v>2</v>
      </c>
      <c r="L386" s="2">
        <v>0.16</v>
      </c>
      <c r="M386" s="2">
        <v>0.1515</v>
      </c>
      <c r="N386" s="2">
        <v>0.55000000000000004</v>
      </c>
      <c r="O386" s="2">
        <v>0.19400000000000001</v>
      </c>
      <c r="P386" s="2">
        <v>9</v>
      </c>
      <c r="Q386" s="2">
        <v>55</v>
      </c>
      <c r="R386" s="2">
        <v>64</v>
      </c>
    </row>
    <row r="387" spans="1:18" x14ac:dyDescent="0.3">
      <c r="A387" s="2">
        <v>385</v>
      </c>
      <c r="B387" s="4">
        <v>40560</v>
      </c>
      <c r="C387" s="2">
        <v>1</v>
      </c>
      <c r="D387" s="2">
        <v>0</v>
      </c>
      <c r="E387" s="2">
        <v>1</v>
      </c>
      <c r="F387" s="2" t="s">
        <v>18</v>
      </c>
      <c r="G387" s="2">
        <v>12</v>
      </c>
      <c r="H387" s="2" t="b">
        <v>1</v>
      </c>
      <c r="I387" s="2">
        <v>1</v>
      </c>
      <c r="J387" s="2" t="s">
        <v>24</v>
      </c>
      <c r="K387" s="2">
        <v>2</v>
      </c>
      <c r="L387" s="2">
        <v>0.18</v>
      </c>
      <c r="M387" s="2">
        <v>0.19700000000000001</v>
      </c>
      <c r="N387" s="2">
        <v>0.47</v>
      </c>
      <c r="O387" s="2">
        <v>0.1343</v>
      </c>
      <c r="P387" s="2">
        <v>10</v>
      </c>
      <c r="Q387" s="2">
        <v>70</v>
      </c>
      <c r="R387" s="2">
        <v>80</v>
      </c>
    </row>
    <row r="388" spans="1:18" x14ac:dyDescent="0.3">
      <c r="A388" s="2">
        <v>386</v>
      </c>
      <c r="B388" s="4">
        <v>40560</v>
      </c>
      <c r="C388" s="2">
        <v>1</v>
      </c>
      <c r="D388" s="2">
        <v>0</v>
      </c>
      <c r="E388" s="2">
        <v>1</v>
      </c>
      <c r="F388" s="2" t="s">
        <v>18</v>
      </c>
      <c r="G388" s="2">
        <v>13</v>
      </c>
      <c r="H388" s="2" t="b">
        <v>1</v>
      </c>
      <c r="I388" s="2">
        <v>1</v>
      </c>
      <c r="J388" s="2" t="s">
        <v>24</v>
      </c>
      <c r="K388" s="2">
        <v>2</v>
      </c>
      <c r="L388" s="2">
        <v>0.18</v>
      </c>
      <c r="M388" s="2">
        <v>0.19700000000000001</v>
      </c>
      <c r="N388" s="2">
        <v>0.47</v>
      </c>
      <c r="O388" s="2">
        <v>0.1343</v>
      </c>
      <c r="P388" s="2">
        <v>13</v>
      </c>
      <c r="Q388" s="2">
        <v>80</v>
      </c>
      <c r="R388" s="2">
        <v>93</v>
      </c>
    </row>
    <row r="389" spans="1:18" x14ac:dyDescent="0.3">
      <c r="A389" s="2">
        <v>387</v>
      </c>
      <c r="B389" s="4">
        <v>40560</v>
      </c>
      <c r="C389" s="2">
        <v>1</v>
      </c>
      <c r="D389" s="2">
        <v>0</v>
      </c>
      <c r="E389" s="2">
        <v>1</v>
      </c>
      <c r="F389" s="2" t="s">
        <v>18</v>
      </c>
      <c r="G389" s="2">
        <v>14</v>
      </c>
      <c r="H389" s="2" t="b">
        <v>1</v>
      </c>
      <c r="I389" s="2">
        <v>1</v>
      </c>
      <c r="J389" s="2" t="s">
        <v>24</v>
      </c>
      <c r="K389" s="2">
        <v>2</v>
      </c>
      <c r="L389" s="2">
        <v>0.18</v>
      </c>
      <c r="M389" s="2">
        <v>0.21210000000000001</v>
      </c>
      <c r="N389" s="2">
        <v>0.43</v>
      </c>
      <c r="O389" s="2">
        <v>0.1045</v>
      </c>
      <c r="P389" s="2">
        <v>12</v>
      </c>
      <c r="Q389" s="2">
        <v>74</v>
      </c>
      <c r="R389" s="2">
        <v>86</v>
      </c>
    </row>
    <row r="390" spans="1:18" x14ac:dyDescent="0.3">
      <c r="A390" s="2">
        <v>388</v>
      </c>
      <c r="B390" s="4">
        <v>40560</v>
      </c>
      <c r="C390" s="2">
        <v>1</v>
      </c>
      <c r="D390" s="2">
        <v>0</v>
      </c>
      <c r="E390" s="2">
        <v>1</v>
      </c>
      <c r="F390" s="2" t="s">
        <v>18</v>
      </c>
      <c r="G390" s="2">
        <v>15</v>
      </c>
      <c r="H390" s="2" t="b">
        <v>1</v>
      </c>
      <c r="I390" s="2">
        <v>1</v>
      </c>
      <c r="J390" s="2" t="s">
        <v>24</v>
      </c>
      <c r="K390" s="2">
        <v>2</v>
      </c>
      <c r="L390" s="2">
        <v>0.2</v>
      </c>
      <c r="M390" s="2">
        <v>0.21210000000000001</v>
      </c>
      <c r="N390" s="2">
        <v>0.47</v>
      </c>
      <c r="O390" s="2">
        <v>0.16420000000000001</v>
      </c>
      <c r="P390" s="2">
        <v>21</v>
      </c>
      <c r="Q390" s="2">
        <v>72</v>
      </c>
      <c r="R390" s="2">
        <v>93</v>
      </c>
    </row>
    <row r="391" spans="1:18" x14ac:dyDescent="0.3">
      <c r="A391" s="2">
        <v>389</v>
      </c>
      <c r="B391" s="4">
        <v>40560</v>
      </c>
      <c r="C391" s="2">
        <v>1</v>
      </c>
      <c r="D391" s="2">
        <v>0</v>
      </c>
      <c r="E391" s="2">
        <v>1</v>
      </c>
      <c r="F391" s="2" t="s">
        <v>18</v>
      </c>
      <c r="G391" s="2">
        <v>16</v>
      </c>
      <c r="H391" s="2" t="b">
        <v>1</v>
      </c>
      <c r="I391" s="2">
        <v>1</v>
      </c>
      <c r="J391" s="2" t="s">
        <v>24</v>
      </c>
      <c r="K391" s="2">
        <v>2</v>
      </c>
      <c r="L391" s="2">
        <v>0.2</v>
      </c>
      <c r="M391" s="2">
        <v>0.21210000000000001</v>
      </c>
      <c r="N391" s="2">
        <v>0.47</v>
      </c>
      <c r="O391" s="2">
        <v>0.16420000000000001</v>
      </c>
      <c r="P391" s="2">
        <v>6</v>
      </c>
      <c r="Q391" s="2">
        <v>76</v>
      </c>
      <c r="R391" s="2">
        <v>82</v>
      </c>
    </row>
    <row r="392" spans="1:18" x14ac:dyDescent="0.3">
      <c r="A392" s="2">
        <v>390</v>
      </c>
      <c r="B392" s="4">
        <v>40560</v>
      </c>
      <c r="C392" s="2">
        <v>1</v>
      </c>
      <c r="D392" s="2">
        <v>0</v>
      </c>
      <c r="E392" s="2">
        <v>1</v>
      </c>
      <c r="F392" s="2" t="s">
        <v>18</v>
      </c>
      <c r="G392" s="2">
        <v>17</v>
      </c>
      <c r="H392" s="2" t="b">
        <v>1</v>
      </c>
      <c r="I392" s="2">
        <v>1</v>
      </c>
      <c r="J392" s="2" t="s">
        <v>24</v>
      </c>
      <c r="K392" s="2">
        <v>1</v>
      </c>
      <c r="L392" s="2">
        <v>0.2</v>
      </c>
      <c r="M392" s="2">
        <v>0.19700000000000001</v>
      </c>
      <c r="N392" s="2">
        <v>0.51</v>
      </c>
      <c r="O392" s="2">
        <v>0.19400000000000001</v>
      </c>
      <c r="P392" s="2">
        <v>4</v>
      </c>
      <c r="Q392" s="2">
        <v>67</v>
      </c>
      <c r="R392" s="2">
        <v>71</v>
      </c>
    </row>
    <row r="393" spans="1:18" x14ac:dyDescent="0.3">
      <c r="A393" s="2">
        <v>391</v>
      </c>
      <c r="B393" s="4">
        <v>40560</v>
      </c>
      <c r="C393" s="2">
        <v>1</v>
      </c>
      <c r="D393" s="2">
        <v>0</v>
      </c>
      <c r="E393" s="2">
        <v>1</v>
      </c>
      <c r="F393" s="2" t="s">
        <v>18</v>
      </c>
      <c r="G393" s="2">
        <v>18</v>
      </c>
      <c r="H393" s="2" t="b">
        <v>1</v>
      </c>
      <c r="I393" s="2">
        <v>1</v>
      </c>
      <c r="J393" s="2" t="s">
        <v>24</v>
      </c>
      <c r="K393" s="2">
        <v>2</v>
      </c>
      <c r="L393" s="2">
        <v>0.18</v>
      </c>
      <c r="M393" s="2">
        <v>0.16669999999999999</v>
      </c>
      <c r="N393" s="2">
        <v>0.55000000000000004</v>
      </c>
      <c r="O393" s="2">
        <v>0.25369999999999998</v>
      </c>
      <c r="P393" s="2">
        <v>7</v>
      </c>
      <c r="Q393" s="2">
        <v>85</v>
      </c>
      <c r="R393" s="2">
        <v>92</v>
      </c>
    </row>
    <row r="394" spans="1:18" x14ac:dyDescent="0.3">
      <c r="A394" s="2">
        <v>392</v>
      </c>
      <c r="B394" s="4">
        <v>40560</v>
      </c>
      <c r="C394" s="2">
        <v>1</v>
      </c>
      <c r="D394" s="2">
        <v>0</v>
      </c>
      <c r="E394" s="2">
        <v>1</v>
      </c>
      <c r="F394" s="2" t="s">
        <v>18</v>
      </c>
      <c r="G394" s="2">
        <v>19</v>
      </c>
      <c r="H394" s="2" t="b">
        <v>1</v>
      </c>
      <c r="I394" s="2">
        <v>1</v>
      </c>
      <c r="J394" s="2" t="s">
        <v>25</v>
      </c>
      <c r="K394" s="2">
        <v>3</v>
      </c>
      <c r="L394" s="2">
        <v>0.18</v>
      </c>
      <c r="M394" s="2">
        <v>0.18179999999999999</v>
      </c>
      <c r="N394" s="2">
        <v>0.59</v>
      </c>
      <c r="O394" s="2">
        <v>0.19400000000000001</v>
      </c>
      <c r="P394" s="2">
        <v>2</v>
      </c>
      <c r="Q394" s="2">
        <v>58</v>
      </c>
      <c r="R394" s="2">
        <v>60</v>
      </c>
    </row>
    <row r="395" spans="1:18" x14ac:dyDescent="0.3">
      <c r="A395" s="2">
        <v>393</v>
      </c>
      <c r="B395" s="4">
        <v>40560</v>
      </c>
      <c r="C395" s="2">
        <v>1</v>
      </c>
      <c r="D395" s="2">
        <v>0</v>
      </c>
      <c r="E395" s="2">
        <v>1</v>
      </c>
      <c r="F395" s="2" t="s">
        <v>18</v>
      </c>
      <c r="G395" s="2">
        <v>20</v>
      </c>
      <c r="H395" s="2" t="b">
        <v>1</v>
      </c>
      <c r="I395" s="2">
        <v>1</v>
      </c>
      <c r="J395" s="2" t="s">
        <v>25</v>
      </c>
      <c r="K395" s="2">
        <v>3</v>
      </c>
      <c r="L395" s="2">
        <v>0.16</v>
      </c>
      <c r="M395" s="2">
        <v>0.1515</v>
      </c>
      <c r="N395" s="2">
        <v>0.8</v>
      </c>
      <c r="O395" s="2">
        <v>0.19400000000000001</v>
      </c>
      <c r="P395" s="2">
        <v>4</v>
      </c>
      <c r="Q395" s="2">
        <v>29</v>
      </c>
      <c r="R395" s="2">
        <v>33</v>
      </c>
    </row>
    <row r="396" spans="1:18" x14ac:dyDescent="0.3">
      <c r="A396" s="2">
        <v>394</v>
      </c>
      <c r="B396" s="4">
        <v>40560</v>
      </c>
      <c r="C396" s="2">
        <v>1</v>
      </c>
      <c r="D396" s="2">
        <v>0</v>
      </c>
      <c r="E396" s="2">
        <v>1</v>
      </c>
      <c r="F396" s="2" t="s">
        <v>18</v>
      </c>
      <c r="G396" s="2">
        <v>21</v>
      </c>
      <c r="H396" s="2" t="b">
        <v>1</v>
      </c>
      <c r="I396" s="2">
        <v>1</v>
      </c>
      <c r="J396" s="2" t="s">
        <v>25</v>
      </c>
      <c r="K396" s="2">
        <v>3</v>
      </c>
      <c r="L396" s="2">
        <v>0.16</v>
      </c>
      <c r="M396" s="2">
        <v>0.1515</v>
      </c>
      <c r="N396" s="2">
        <v>0.8</v>
      </c>
      <c r="O396" s="2">
        <v>0.19400000000000001</v>
      </c>
      <c r="P396" s="2">
        <v>3</v>
      </c>
      <c r="Q396" s="2">
        <v>24</v>
      </c>
      <c r="R396" s="2">
        <v>27</v>
      </c>
    </row>
    <row r="397" spans="1:18" x14ac:dyDescent="0.3">
      <c r="A397" s="2">
        <v>395</v>
      </c>
      <c r="B397" s="4">
        <v>40560</v>
      </c>
      <c r="C397" s="2">
        <v>1</v>
      </c>
      <c r="D397" s="2">
        <v>0</v>
      </c>
      <c r="E397" s="2">
        <v>1</v>
      </c>
      <c r="F397" s="2" t="s">
        <v>18</v>
      </c>
      <c r="G397" s="2">
        <v>22</v>
      </c>
      <c r="H397" s="2" t="b">
        <v>1</v>
      </c>
      <c r="I397" s="2">
        <v>1</v>
      </c>
      <c r="J397" s="2" t="s">
        <v>25</v>
      </c>
      <c r="K397" s="2">
        <v>3</v>
      </c>
      <c r="L397" s="2">
        <v>0.14000000000000001</v>
      </c>
      <c r="M397" s="2">
        <v>0.1212</v>
      </c>
      <c r="N397" s="2">
        <v>0.93</v>
      </c>
      <c r="O397" s="2">
        <v>0.25369999999999998</v>
      </c>
      <c r="P397" s="2">
        <v>0</v>
      </c>
      <c r="Q397" s="2">
        <v>13</v>
      </c>
      <c r="R397" s="2">
        <v>13</v>
      </c>
    </row>
    <row r="398" spans="1:18" x14ac:dyDescent="0.3">
      <c r="A398" s="2">
        <v>396</v>
      </c>
      <c r="B398" s="4">
        <v>40560</v>
      </c>
      <c r="C398" s="2">
        <v>1</v>
      </c>
      <c r="D398" s="2">
        <v>0</v>
      </c>
      <c r="E398" s="2">
        <v>1</v>
      </c>
      <c r="F398" s="2" t="s">
        <v>18</v>
      </c>
      <c r="G398" s="2">
        <v>23</v>
      </c>
      <c r="H398" s="2" t="b">
        <v>1</v>
      </c>
      <c r="I398" s="2">
        <v>1</v>
      </c>
      <c r="J398" s="2" t="s">
        <v>25</v>
      </c>
      <c r="K398" s="2">
        <v>3</v>
      </c>
      <c r="L398" s="2">
        <v>0.16</v>
      </c>
      <c r="M398" s="2">
        <v>0.13639999999999999</v>
      </c>
      <c r="N398" s="2">
        <v>0.86</v>
      </c>
      <c r="O398" s="2">
        <v>0.28360000000000002</v>
      </c>
      <c r="P398" s="2">
        <v>1</v>
      </c>
      <c r="Q398" s="2">
        <v>3</v>
      </c>
      <c r="R398" s="2">
        <v>4</v>
      </c>
    </row>
    <row r="399" spans="1:18" x14ac:dyDescent="0.3">
      <c r="A399" s="2">
        <v>397</v>
      </c>
      <c r="B399" s="4">
        <v>40561</v>
      </c>
      <c r="C399" s="2">
        <v>1</v>
      </c>
      <c r="D399" s="2">
        <v>0</v>
      </c>
      <c r="E399" s="2">
        <v>1</v>
      </c>
      <c r="F399" s="2" t="s">
        <v>18</v>
      </c>
      <c r="G399" s="2">
        <v>12</v>
      </c>
      <c r="H399" s="2" t="b">
        <v>0</v>
      </c>
      <c r="I399" s="2">
        <v>2</v>
      </c>
      <c r="J399" s="2" t="s">
        <v>25</v>
      </c>
      <c r="K399" s="2">
        <v>2</v>
      </c>
      <c r="L399" s="2">
        <v>0.2</v>
      </c>
      <c r="M399" s="2">
        <v>0.18179999999999999</v>
      </c>
      <c r="N399" s="2">
        <v>0.86</v>
      </c>
      <c r="O399" s="2">
        <v>0.32840000000000003</v>
      </c>
      <c r="P399" s="2">
        <v>0</v>
      </c>
      <c r="Q399" s="2">
        <v>3</v>
      </c>
      <c r="R399" s="2">
        <v>3</v>
      </c>
    </row>
    <row r="400" spans="1:18" x14ac:dyDescent="0.3">
      <c r="A400" s="2">
        <v>398</v>
      </c>
      <c r="B400" s="4">
        <v>40561</v>
      </c>
      <c r="C400" s="2">
        <v>1</v>
      </c>
      <c r="D400" s="2">
        <v>0</v>
      </c>
      <c r="E400" s="2">
        <v>1</v>
      </c>
      <c r="F400" s="2" t="s">
        <v>18</v>
      </c>
      <c r="G400" s="2">
        <v>13</v>
      </c>
      <c r="H400" s="2" t="b">
        <v>0</v>
      </c>
      <c r="I400" s="2">
        <v>2</v>
      </c>
      <c r="J400" s="2" t="s">
        <v>25</v>
      </c>
      <c r="K400" s="2">
        <v>2</v>
      </c>
      <c r="L400" s="2">
        <v>0.2</v>
      </c>
      <c r="M400" s="2">
        <v>0.19700000000000001</v>
      </c>
      <c r="N400" s="2">
        <v>0.86</v>
      </c>
      <c r="O400" s="2">
        <v>0.22389999999999999</v>
      </c>
      <c r="P400" s="2">
        <v>0</v>
      </c>
      <c r="Q400" s="2">
        <v>22</v>
      </c>
      <c r="R400" s="2">
        <v>22</v>
      </c>
    </row>
    <row r="401" spans="1:18" x14ac:dyDescent="0.3">
      <c r="A401" s="2">
        <v>399</v>
      </c>
      <c r="B401" s="4">
        <v>40561</v>
      </c>
      <c r="C401" s="2">
        <v>1</v>
      </c>
      <c r="D401" s="2">
        <v>0</v>
      </c>
      <c r="E401" s="2">
        <v>1</v>
      </c>
      <c r="F401" s="2" t="s">
        <v>18</v>
      </c>
      <c r="G401" s="2">
        <v>14</v>
      </c>
      <c r="H401" s="2" t="b">
        <v>0</v>
      </c>
      <c r="I401" s="2">
        <v>2</v>
      </c>
      <c r="J401" s="2" t="s">
        <v>25</v>
      </c>
      <c r="K401" s="2">
        <v>2</v>
      </c>
      <c r="L401" s="2">
        <v>0.22</v>
      </c>
      <c r="M401" s="2">
        <v>0.2273</v>
      </c>
      <c r="N401" s="2">
        <v>0.8</v>
      </c>
      <c r="O401" s="2">
        <v>0.16420000000000001</v>
      </c>
      <c r="P401" s="2">
        <v>2</v>
      </c>
      <c r="Q401" s="2">
        <v>26</v>
      </c>
      <c r="R401" s="2">
        <v>28</v>
      </c>
    </row>
    <row r="402" spans="1:18" x14ac:dyDescent="0.3">
      <c r="A402" s="2">
        <v>400</v>
      </c>
      <c r="B402" s="4">
        <v>40561</v>
      </c>
      <c r="C402" s="2">
        <v>1</v>
      </c>
      <c r="D402" s="2">
        <v>0</v>
      </c>
      <c r="E402" s="2">
        <v>1</v>
      </c>
      <c r="F402" s="2" t="s">
        <v>18</v>
      </c>
      <c r="G402" s="2">
        <v>15</v>
      </c>
      <c r="H402" s="2" t="b">
        <v>0</v>
      </c>
      <c r="I402" s="2">
        <v>2</v>
      </c>
      <c r="J402" s="2" t="s">
        <v>25</v>
      </c>
      <c r="K402" s="2">
        <v>2</v>
      </c>
      <c r="L402" s="2">
        <v>0.22</v>
      </c>
      <c r="M402" s="2">
        <v>0.2273</v>
      </c>
      <c r="N402" s="2">
        <v>0.87</v>
      </c>
      <c r="O402" s="2">
        <v>0.16420000000000001</v>
      </c>
      <c r="P402" s="2">
        <v>3</v>
      </c>
      <c r="Q402" s="2">
        <v>32</v>
      </c>
      <c r="R402" s="2">
        <v>35</v>
      </c>
    </row>
    <row r="403" spans="1:18" x14ac:dyDescent="0.3">
      <c r="A403" s="2">
        <v>401</v>
      </c>
      <c r="B403" s="4">
        <v>40561</v>
      </c>
      <c r="C403" s="2">
        <v>1</v>
      </c>
      <c r="D403" s="2">
        <v>0</v>
      </c>
      <c r="E403" s="2">
        <v>1</v>
      </c>
      <c r="F403" s="2" t="s">
        <v>18</v>
      </c>
      <c r="G403" s="2">
        <v>16</v>
      </c>
      <c r="H403" s="2" t="b">
        <v>0</v>
      </c>
      <c r="I403" s="2">
        <v>2</v>
      </c>
      <c r="J403" s="2" t="s">
        <v>25</v>
      </c>
      <c r="K403" s="2">
        <v>2</v>
      </c>
      <c r="L403" s="2">
        <v>0.22</v>
      </c>
      <c r="M403" s="2">
        <v>0.2273</v>
      </c>
      <c r="N403" s="2">
        <v>0.87</v>
      </c>
      <c r="O403" s="2">
        <v>0.19400000000000001</v>
      </c>
      <c r="P403" s="2">
        <v>0</v>
      </c>
      <c r="Q403" s="2">
        <v>61</v>
      </c>
      <c r="R403" s="2">
        <v>61</v>
      </c>
    </row>
    <row r="404" spans="1:18" x14ac:dyDescent="0.3">
      <c r="A404" s="2">
        <v>402</v>
      </c>
      <c r="B404" s="4">
        <v>40561</v>
      </c>
      <c r="C404" s="2">
        <v>1</v>
      </c>
      <c r="D404" s="2">
        <v>0</v>
      </c>
      <c r="E404" s="2">
        <v>1</v>
      </c>
      <c r="F404" s="2" t="s">
        <v>18</v>
      </c>
      <c r="G404" s="2">
        <v>17</v>
      </c>
      <c r="H404" s="2" t="b">
        <v>0</v>
      </c>
      <c r="I404" s="2">
        <v>2</v>
      </c>
      <c r="J404" s="2" t="s">
        <v>25</v>
      </c>
      <c r="K404" s="2">
        <v>2</v>
      </c>
      <c r="L404" s="2">
        <v>0.22</v>
      </c>
      <c r="M404" s="2">
        <v>0.2273</v>
      </c>
      <c r="N404" s="2">
        <v>0.82</v>
      </c>
      <c r="O404" s="2">
        <v>0.19400000000000001</v>
      </c>
      <c r="P404" s="2">
        <v>1</v>
      </c>
      <c r="Q404" s="2">
        <v>124</v>
      </c>
      <c r="R404" s="2">
        <v>125</v>
      </c>
    </row>
    <row r="405" spans="1:18" x14ac:dyDescent="0.3">
      <c r="A405" s="2">
        <v>403</v>
      </c>
      <c r="B405" s="4">
        <v>40561</v>
      </c>
      <c r="C405" s="2">
        <v>1</v>
      </c>
      <c r="D405" s="2">
        <v>0</v>
      </c>
      <c r="E405" s="2">
        <v>1</v>
      </c>
      <c r="F405" s="2" t="s">
        <v>18</v>
      </c>
      <c r="G405" s="2">
        <v>18</v>
      </c>
      <c r="H405" s="2" t="b">
        <v>0</v>
      </c>
      <c r="I405" s="2">
        <v>2</v>
      </c>
      <c r="J405" s="2" t="s">
        <v>25</v>
      </c>
      <c r="K405" s="2">
        <v>2</v>
      </c>
      <c r="L405" s="2">
        <v>0.22</v>
      </c>
      <c r="M405" s="2">
        <v>0.2273</v>
      </c>
      <c r="N405" s="2">
        <v>0.8</v>
      </c>
      <c r="O405" s="2">
        <v>0.16420000000000001</v>
      </c>
      <c r="P405" s="2">
        <v>1</v>
      </c>
      <c r="Q405" s="2">
        <v>132</v>
      </c>
      <c r="R405" s="2">
        <v>133</v>
      </c>
    </row>
    <row r="406" spans="1:18" x14ac:dyDescent="0.3">
      <c r="A406" s="2">
        <v>404</v>
      </c>
      <c r="B406" s="4">
        <v>40561</v>
      </c>
      <c r="C406" s="2">
        <v>1</v>
      </c>
      <c r="D406" s="2">
        <v>0</v>
      </c>
      <c r="E406" s="2">
        <v>1</v>
      </c>
      <c r="F406" s="2" t="s">
        <v>18</v>
      </c>
      <c r="G406" s="2">
        <v>19</v>
      </c>
      <c r="H406" s="2" t="b">
        <v>0</v>
      </c>
      <c r="I406" s="2">
        <v>2</v>
      </c>
      <c r="J406" s="2" t="s">
        <v>25</v>
      </c>
      <c r="K406" s="2">
        <v>2</v>
      </c>
      <c r="L406" s="2">
        <v>0.22</v>
      </c>
      <c r="M406" s="2">
        <v>0.2273</v>
      </c>
      <c r="N406" s="2">
        <v>0.8</v>
      </c>
      <c r="O406" s="2">
        <v>0.1343</v>
      </c>
      <c r="P406" s="2">
        <v>1</v>
      </c>
      <c r="Q406" s="2">
        <v>98</v>
      </c>
      <c r="R406" s="2">
        <v>99</v>
      </c>
    </row>
    <row r="407" spans="1:18" x14ac:dyDescent="0.3">
      <c r="A407" s="2">
        <v>405</v>
      </c>
      <c r="B407" s="4">
        <v>40561</v>
      </c>
      <c r="C407" s="2">
        <v>1</v>
      </c>
      <c r="D407" s="2">
        <v>0</v>
      </c>
      <c r="E407" s="2">
        <v>1</v>
      </c>
      <c r="F407" s="2" t="s">
        <v>18</v>
      </c>
      <c r="G407" s="2">
        <v>20</v>
      </c>
      <c r="H407" s="2" t="b">
        <v>0</v>
      </c>
      <c r="I407" s="2">
        <v>2</v>
      </c>
      <c r="J407" s="2" t="s">
        <v>25</v>
      </c>
      <c r="K407" s="2">
        <v>2</v>
      </c>
      <c r="L407" s="2">
        <v>0.22</v>
      </c>
      <c r="M407" s="2">
        <v>0.2727</v>
      </c>
      <c r="N407" s="2">
        <v>0.87</v>
      </c>
      <c r="O407" s="2">
        <v>0</v>
      </c>
      <c r="P407" s="2">
        <v>0</v>
      </c>
      <c r="Q407" s="2">
        <v>83</v>
      </c>
      <c r="R407" s="2">
        <v>83</v>
      </c>
    </row>
    <row r="408" spans="1:18" x14ac:dyDescent="0.3">
      <c r="A408" s="2">
        <v>406</v>
      </c>
      <c r="B408" s="4">
        <v>40561</v>
      </c>
      <c r="C408" s="2">
        <v>1</v>
      </c>
      <c r="D408" s="2">
        <v>0</v>
      </c>
      <c r="E408" s="2">
        <v>1</v>
      </c>
      <c r="F408" s="2" t="s">
        <v>18</v>
      </c>
      <c r="G408" s="2">
        <v>21</v>
      </c>
      <c r="H408" s="2" t="b">
        <v>0</v>
      </c>
      <c r="I408" s="2">
        <v>2</v>
      </c>
      <c r="J408" s="2" t="s">
        <v>25</v>
      </c>
      <c r="K408" s="2">
        <v>2</v>
      </c>
      <c r="L408" s="2">
        <v>0.22</v>
      </c>
      <c r="M408" s="2">
        <v>0.2424</v>
      </c>
      <c r="N408" s="2">
        <v>0.93</v>
      </c>
      <c r="O408" s="2">
        <v>0.1045</v>
      </c>
      <c r="P408" s="2">
        <v>0</v>
      </c>
      <c r="Q408" s="2">
        <v>41</v>
      </c>
      <c r="R408" s="2">
        <v>41</v>
      </c>
    </row>
    <row r="409" spans="1:18" x14ac:dyDescent="0.3">
      <c r="A409" s="2">
        <v>407</v>
      </c>
      <c r="B409" s="4">
        <v>40561</v>
      </c>
      <c r="C409" s="2">
        <v>1</v>
      </c>
      <c r="D409" s="2">
        <v>0</v>
      </c>
      <c r="E409" s="2">
        <v>1</v>
      </c>
      <c r="F409" s="2" t="s">
        <v>18</v>
      </c>
      <c r="G409" s="2">
        <v>22</v>
      </c>
      <c r="H409" s="2" t="b">
        <v>0</v>
      </c>
      <c r="I409" s="2">
        <v>2</v>
      </c>
      <c r="J409" s="2" t="s">
        <v>25</v>
      </c>
      <c r="K409" s="2">
        <v>2</v>
      </c>
      <c r="L409" s="2">
        <v>0.22</v>
      </c>
      <c r="M409" s="2">
        <v>0.2576</v>
      </c>
      <c r="N409" s="2">
        <v>0.93</v>
      </c>
      <c r="O409" s="2">
        <v>8.9599999999999999E-2</v>
      </c>
      <c r="P409" s="2">
        <v>0</v>
      </c>
      <c r="Q409" s="2">
        <v>33</v>
      </c>
      <c r="R409" s="2">
        <v>33</v>
      </c>
    </row>
    <row r="410" spans="1:18" x14ac:dyDescent="0.3">
      <c r="A410" s="2">
        <v>408</v>
      </c>
      <c r="B410" s="4">
        <v>40561</v>
      </c>
      <c r="C410" s="2">
        <v>1</v>
      </c>
      <c r="D410" s="2">
        <v>0</v>
      </c>
      <c r="E410" s="2">
        <v>1</v>
      </c>
      <c r="F410" s="2" t="s">
        <v>18</v>
      </c>
      <c r="G410" s="2">
        <v>23</v>
      </c>
      <c r="H410" s="2" t="b">
        <v>0</v>
      </c>
      <c r="I410" s="2">
        <v>2</v>
      </c>
      <c r="J410" s="2" t="s">
        <v>25</v>
      </c>
      <c r="K410" s="2">
        <v>2</v>
      </c>
      <c r="L410" s="2">
        <v>0.22</v>
      </c>
      <c r="M410" s="2">
        <v>0.2727</v>
      </c>
      <c r="N410" s="2">
        <v>0.93</v>
      </c>
      <c r="O410" s="2">
        <v>0</v>
      </c>
      <c r="P410" s="2">
        <v>1</v>
      </c>
      <c r="Q410" s="2">
        <v>19</v>
      </c>
      <c r="R410" s="2">
        <v>20</v>
      </c>
    </row>
    <row r="411" spans="1:18" x14ac:dyDescent="0.3">
      <c r="A411" s="2">
        <v>409</v>
      </c>
      <c r="B411" s="4">
        <v>40562</v>
      </c>
      <c r="C411" s="2">
        <v>1</v>
      </c>
      <c r="D411" s="2">
        <v>0</v>
      </c>
      <c r="E411" s="2">
        <v>1</v>
      </c>
      <c r="F411" s="2" t="s">
        <v>18</v>
      </c>
      <c r="G411" s="2">
        <v>0</v>
      </c>
      <c r="H411" s="2" t="b">
        <v>0</v>
      </c>
      <c r="I411" s="2">
        <v>3</v>
      </c>
      <c r="J411" s="2" t="s">
        <v>25</v>
      </c>
      <c r="K411" s="2">
        <v>2</v>
      </c>
      <c r="L411" s="2">
        <v>0.22</v>
      </c>
      <c r="M411" s="2">
        <v>0.2727</v>
      </c>
      <c r="N411" s="2">
        <v>0.93</v>
      </c>
      <c r="O411" s="2">
        <v>0</v>
      </c>
      <c r="P411" s="2">
        <v>0</v>
      </c>
      <c r="Q411" s="2">
        <v>3</v>
      </c>
      <c r="R411" s="2">
        <v>3</v>
      </c>
    </row>
    <row r="412" spans="1:18" x14ac:dyDescent="0.3">
      <c r="A412" s="2">
        <v>410</v>
      </c>
      <c r="B412" s="4">
        <v>40562</v>
      </c>
      <c r="C412" s="2">
        <v>1</v>
      </c>
      <c r="D412" s="2">
        <v>0</v>
      </c>
      <c r="E412" s="2">
        <v>1</v>
      </c>
      <c r="F412" s="2" t="s">
        <v>18</v>
      </c>
      <c r="G412" s="2">
        <v>1</v>
      </c>
      <c r="H412" s="2" t="b">
        <v>0</v>
      </c>
      <c r="I412" s="2">
        <v>3</v>
      </c>
      <c r="J412" s="2" t="s">
        <v>25</v>
      </c>
      <c r="K412" s="2">
        <v>3</v>
      </c>
      <c r="L412" s="2">
        <v>0.22</v>
      </c>
      <c r="M412" s="2">
        <v>0.2273</v>
      </c>
      <c r="N412" s="2">
        <v>0.93</v>
      </c>
      <c r="O412" s="2">
        <v>0.1343</v>
      </c>
      <c r="P412" s="2">
        <v>1</v>
      </c>
      <c r="Q412" s="2">
        <v>6</v>
      </c>
      <c r="R412" s="2">
        <v>7</v>
      </c>
    </row>
    <row r="413" spans="1:18" x14ac:dyDescent="0.3">
      <c r="A413" s="2">
        <v>411</v>
      </c>
      <c r="B413" s="4">
        <v>40562</v>
      </c>
      <c r="C413" s="2">
        <v>1</v>
      </c>
      <c r="D413" s="2">
        <v>0</v>
      </c>
      <c r="E413" s="2">
        <v>1</v>
      </c>
      <c r="F413" s="2" t="s">
        <v>18</v>
      </c>
      <c r="G413" s="2">
        <v>2</v>
      </c>
      <c r="H413" s="2" t="b">
        <v>0</v>
      </c>
      <c r="I413" s="2">
        <v>3</v>
      </c>
      <c r="J413" s="2" t="s">
        <v>25</v>
      </c>
      <c r="K413" s="2">
        <v>3</v>
      </c>
      <c r="L413" s="2">
        <v>0.22</v>
      </c>
      <c r="M413" s="2">
        <v>0.2273</v>
      </c>
      <c r="N413" s="2">
        <v>0.93</v>
      </c>
      <c r="O413" s="2">
        <v>0.1343</v>
      </c>
      <c r="P413" s="2">
        <v>0</v>
      </c>
      <c r="Q413" s="2">
        <v>3</v>
      </c>
      <c r="R413" s="2">
        <v>3</v>
      </c>
    </row>
    <row r="414" spans="1:18" x14ac:dyDescent="0.3">
      <c r="A414" s="2">
        <v>412</v>
      </c>
      <c r="B414" s="4">
        <v>40562</v>
      </c>
      <c r="C414" s="2">
        <v>1</v>
      </c>
      <c r="D414" s="2">
        <v>0</v>
      </c>
      <c r="E414" s="2">
        <v>1</v>
      </c>
      <c r="F414" s="2" t="s">
        <v>18</v>
      </c>
      <c r="G414" s="2">
        <v>4</v>
      </c>
      <c r="H414" s="2" t="b">
        <v>0</v>
      </c>
      <c r="I414" s="2">
        <v>3</v>
      </c>
      <c r="J414" s="2" t="s">
        <v>25</v>
      </c>
      <c r="K414" s="2">
        <v>3</v>
      </c>
      <c r="L414" s="2">
        <v>0.22</v>
      </c>
      <c r="M414" s="2">
        <v>0.2273</v>
      </c>
      <c r="N414" s="2">
        <v>0.93</v>
      </c>
      <c r="O414" s="2">
        <v>0.1343</v>
      </c>
      <c r="P414" s="2">
        <v>1</v>
      </c>
      <c r="Q414" s="2">
        <v>1</v>
      </c>
      <c r="R414" s="2">
        <v>2</v>
      </c>
    </row>
    <row r="415" spans="1:18" x14ac:dyDescent="0.3">
      <c r="A415" s="2">
        <v>413</v>
      </c>
      <c r="B415" s="4">
        <v>40562</v>
      </c>
      <c r="C415" s="2">
        <v>1</v>
      </c>
      <c r="D415" s="2">
        <v>0</v>
      </c>
      <c r="E415" s="2">
        <v>1</v>
      </c>
      <c r="F415" s="2" t="s">
        <v>18</v>
      </c>
      <c r="G415" s="2">
        <v>5</v>
      </c>
      <c r="H415" s="2" t="b">
        <v>0</v>
      </c>
      <c r="I415" s="2">
        <v>3</v>
      </c>
      <c r="J415" s="2" t="s">
        <v>25</v>
      </c>
      <c r="K415" s="2">
        <v>2</v>
      </c>
      <c r="L415" s="2">
        <v>0.22</v>
      </c>
      <c r="M415" s="2">
        <v>0.2576</v>
      </c>
      <c r="N415" s="2">
        <v>0.93</v>
      </c>
      <c r="O415" s="2">
        <v>8.9599999999999999E-2</v>
      </c>
      <c r="P415" s="2">
        <v>0</v>
      </c>
      <c r="Q415" s="2">
        <v>7</v>
      </c>
      <c r="R415" s="2">
        <v>7</v>
      </c>
    </row>
    <row r="416" spans="1:18" x14ac:dyDescent="0.3">
      <c r="A416" s="2">
        <v>414</v>
      </c>
      <c r="B416" s="4">
        <v>40562</v>
      </c>
      <c r="C416" s="2">
        <v>1</v>
      </c>
      <c r="D416" s="2">
        <v>0</v>
      </c>
      <c r="E416" s="2">
        <v>1</v>
      </c>
      <c r="F416" s="2" t="s">
        <v>18</v>
      </c>
      <c r="G416" s="2">
        <v>6</v>
      </c>
      <c r="H416" s="2" t="b">
        <v>0</v>
      </c>
      <c r="I416" s="2">
        <v>3</v>
      </c>
      <c r="J416" s="2" t="s">
        <v>25</v>
      </c>
      <c r="K416" s="2">
        <v>2</v>
      </c>
      <c r="L416" s="2">
        <v>0.22</v>
      </c>
      <c r="M416" s="2">
        <v>0.2576</v>
      </c>
      <c r="N416" s="2">
        <v>0.93</v>
      </c>
      <c r="O416" s="2">
        <v>8.9599999999999999E-2</v>
      </c>
      <c r="P416" s="2">
        <v>0</v>
      </c>
      <c r="Q416" s="2">
        <v>32</v>
      </c>
      <c r="R416" s="2">
        <v>32</v>
      </c>
    </row>
    <row r="417" spans="1:18" x14ac:dyDescent="0.3">
      <c r="A417" s="2">
        <v>415</v>
      </c>
      <c r="B417" s="4">
        <v>40562</v>
      </c>
      <c r="C417" s="2">
        <v>1</v>
      </c>
      <c r="D417" s="2">
        <v>0</v>
      </c>
      <c r="E417" s="2">
        <v>1</v>
      </c>
      <c r="F417" s="2" t="s">
        <v>18</v>
      </c>
      <c r="G417" s="2">
        <v>7</v>
      </c>
      <c r="H417" s="2" t="b">
        <v>0</v>
      </c>
      <c r="I417" s="2">
        <v>3</v>
      </c>
      <c r="J417" s="2" t="s">
        <v>26</v>
      </c>
      <c r="K417" s="2">
        <v>2</v>
      </c>
      <c r="L417" s="2">
        <v>0.24</v>
      </c>
      <c r="M417" s="2">
        <v>0.2576</v>
      </c>
      <c r="N417" s="2">
        <v>0.92</v>
      </c>
      <c r="O417" s="2">
        <v>0.1045</v>
      </c>
      <c r="P417" s="2">
        <v>1</v>
      </c>
      <c r="Q417" s="2">
        <v>89</v>
      </c>
      <c r="R417" s="2">
        <v>90</v>
      </c>
    </row>
    <row r="418" spans="1:18" x14ac:dyDescent="0.3">
      <c r="A418" s="2">
        <v>416</v>
      </c>
      <c r="B418" s="4">
        <v>40562</v>
      </c>
      <c r="C418" s="2">
        <v>1</v>
      </c>
      <c r="D418" s="2">
        <v>0</v>
      </c>
      <c r="E418" s="2">
        <v>1</v>
      </c>
      <c r="F418" s="2" t="s">
        <v>18</v>
      </c>
      <c r="G418" s="2">
        <v>8</v>
      </c>
      <c r="H418" s="2" t="b">
        <v>0</v>
      </c>
      <c r="I418" s="2">
        <v>3</v>
      </c>
      <c r="J418" s="2" t="s">
        <v>26</v>
      </c>
      <c r="K418" s="2">
        <v>2</v>
      </c>
      <c r="L418" s="2">
        <v>0.24</v>
      </c>
      <c r="M418" s="2">
        <v>0.2576</v>
      </c>
      <c r="N418" s="2">
        <v>0.93</v>
      </c>
      <c r="O418" s="2">
        <v>0.1045</v>
      </c>
      <c r="P418" s="2">
        <v>1</v>
      </c>
      <c r="Q418" s="2">
        <v>196</v>
      </c>
      <c r="R418" s="2">
        <v>197</v>
      </c>
    </row>
    <row r="419" spans="1:18" x14ac:dyDescent="0.3">
      <c r="A419" s="2">
        <v>417</v>
      </c>
      <c r="B419" s="4">
        <v>40562</v>
      </c>
      <c r="C419" s="2">
        <v>1</v>
      </c>
      <c r="D419" s="2">
        <v>0</v>
      </c>
      <c r="E419" s="2">
        <v>1</v>
      </c>
      <c r="F419" s="2" t="s">
        <v>18</v>
      </c>
      <c r="G419" s="2">
        <v>9</v>
      </c>
      <c r="H419" s="2" t="b">
        <v>0</v>
      </c>
      <c r="I419" s="2">
        <v>3</v>
      </c>
      <c r="J419" s="2" t="s">
        <v>26</v>
      </c>
      <c r="K419" s="2">
        <v>2</v>
      </c>
      <c r="L419" s="2">
        <v>0.24</v>
      </c>
      <c r="M419" s="2">
        <v>0.2576</v>
      </c>
      <c r="N419" s="2">
        <v>0.93</v>
      </c>
      <c r="O419" s="2">
        <v>0.1045</v>
      </c>
      <c r="P419" s="2">
        <v>2</v>
      </c>
      <c r="Q419" s="2">
        <v>107</v>
      </c>
      <c r="R419" s="2">
        <v>109</v>
      </c>
    </row>
    <row r="420" spans="1:18" x14ac:dyDescent="0.3">
      <c r="A420" s="2">
        <v>418</v>
      </c>
      <c r="B420" s="4">
        <v>40562</v>
      </c>
      <c r="C420" s="2">
        <v>1</v>
      </c>
      <c r="D420" s="2">
        <v>0</v>
      </c>
      <c r="E420" s="2">
        <v>1</v>
      </c>
      <c r="F420" s="2" t="s">
        <v>18</v>
      </c>
      <c r="G420" s="2">
        <v>10</v>
      </c>
      <c r="H420" s="2" t="b">
        <v>0</v>
      </c>
      <c r="I420" s="2">
        <v>3</v>
      </c>
      <c r="J420" s="2" t="s">
        <v>26</v>
      </c>
      <c r="K420" s="2">
        <v>2</v>
      </c>
      <c r="L420" s="2">
        <v>0.26</v>
      </c>
      <c r="M420" s="2">
        <v>0.2727</v>
      </c>
      <c r="N420" s="2">
        <v>0.93</v>
      </c>
      <c r="O420" s="2">
        <v>0.1343</v>
      </c>
      <c r="P420" s="2">
        <v>1</v>
      </c>
      <c r="Q420" s="2">
        <v>46</v>
      </c>
      <c r="R420" s="2">
        <v>47</v>
      </c>
    </row>
    <row r="421" spans="1:18" x14ac:dyDescent="0.3">
      <c r="A421" s="2">
        <v>419</v>
      </c>
      <c r="B421" s="4">
        <v>40562</v>
      </c>
      <c r="C421" s="2">
        <v>1</v>
      </c>
      <c r="D421" s="2">
        <v>0</v>
      </c>
      <c r="E421" s="2">
        <v>1</v>
      </c>
      <c r="F421" s="2" t="s">
        <v>18</v>
      </c>
      <c r="G421" s="2">
        <v>11</v>
      </c>
      <c r="H421" s="2" t="b">
        <v>0</v>
      </c>
      <c r="I421" s="2">
        <v>3</v>
      </c>
      <c r="J421" s="2" t="s">
        <v>26</v>
      </c>
      <c r="K421" s="2">
        <v>2</v>
      </c>
      <c r="L421" s="2">
        <v>0.28000000000000003</v>
      </c>
      <c r="M421" s="2">
        <v>0.30299999999999999</v>
      </c>
      <c r="N421" s="2">
        <v>0.87</v>
      </c>
      <c r="O421" s="2">
        <v>8.9599999999999999E-2</v>
      </c>
      <c r="P421" s="2">
        <v>5</v>
      </c>
      <c r="Q421" s="2">
        <v>47</v>
      </c>
      <c r="R421" s="2">
        <v>52</v>
      </c>
    </row>
    <row r="422" spans="1:18" x14ac:dyDescent="0.3">
      <c r="A422" s="2">
        <v>420</v>
      </c>
      <c r="B422" s="4">
        <v>40562</v>
      </c>
      <c r="C422" s="2">
        <v>1</v>
      </c>
      <c r="D422" s="2">
        <v>0</v>
      </c>
      <c r="E422" s="2">
        <v>1</v>
      </c>
      <c r="F422" s="2" t="s">
        <v>18</v>
      </c>
      <c r="G422" s="2">
        <v>12</v>
      </c>
      <c r="H422" s="2" t="b">
        <v>0</v>
      </c>
      <c r="I422" s="2">
        <v>3</v>
      </c>
      <c r="J422" s="2" t="s">
        <v>26</v>
      </c>
      <c r="K422" s="2">
        <v>2</v>
      </c>
      <c r="L422" s="2">
        <v>0.3</v>
      </c>
      <c r="M422" s="2">
        <v>0.31819999999999998</v>
      </c>
      <c r="N422" s="2">
        <v>0.81</v>
      </c>
      <c r="O422" s="2">
        <v>8.9599999999999999E-2</v>
      </c>
      <c r="P422" s="2">
        <v>5</v>
      </c>
      <c r="Q422" s="2">
        <v>65</v>
      </c>
      <c r="R422" s="2">
        <v>70</v>
      </c>
    </row>
    <row r="423" spans="1:18" x14ac:dyDescent="0.3">
      <c r="A423" s="2">
        <v>421</v>
      </c>
      <c r="B423" s="4">
        <v>40562</v>
      </c>
      <c r="C423" s="2">
        <v>1</v>
      </c>
      <c r="D423" s="2">
        <v>0</v>
      </c>
      <c r="E423" s="2">
        <v>1</v>
      </c>
      <c r="F423" s="2" t="s">
        <v>18</v>
      </c>
      <c r="G423" s="2">
        <v>13</v>
      </c>
      <c r="H423" s="2" t="b">
        <v>0</v>
      </c>
      <c r="I423" s="2">
        <v>3</v>
      </c>
      <c r="J423" s="2" t="s">
        <v>26</v>
      </c>
      <c r="K423" s="2">
        <v>1</v>
      </c>
      <c r="L423" s="2">
        <v>0.4</v>
      </c>
      <c r="M423" s="2">
        <v>0.40910000000000002</v>
      </c>
      <c r="N423" s="2">
        <v>0.62</v>
      </c>
      <c r="O423" s="2">
        <v>0.28360000000000002</v>
      </c>
      <c r="P423" s="2">
        <v>11</v>
      </c>
      <c r="Q423" s="2">
        <v>67</v>
      </c>
      <c r="R423" s="2">
        <v>78</v>
      </c>
    </row>
    <row r="424" spans="1:18" x14ac:dyDescent="0.3">
      <c r="A424" s="2">
        <v>422</v>
      </c>
      <c r="B424" s="4">
        <v>40562</v>
      </c>
      <c r="C424" s="2">
        <v>1</v>
      </c>
      <c r="D424" s="2">
        <v>0</v>
      </c>
      <c r="E424" s="2">
        <v>1</v>
      </c>
      <c r="F424" s="2" t="s">
        <v>18</v>
      </c>
      <c r="G424" s="2">
        <v>14</v>
      </c>
      <c r="H424" s="2" t="b">
        <v>0</v>
      </c>
      <c r="I424" s="2">
        <v>3</v>
      </c>
      <c r="J424" s="2" t="s">
        <v>26</v>
      </c>
      <c r="K424" s="2">
        <v>1</v>
      </c>
      <c r="L424" s="2">
        <v>0.4</v>
      </c>
      <c r="M424" s="2">
        <v>0.40910000000000002</v>
      </c>
      <c r="N424" s="2">
        <v>0.57999999999999996</v>
      </c>
      <c r="O424" s="2">
        <v>0.25369999999999998</v>
      </c>
      <c r="P424" s="2">
        <v>7</v>
      </c>
      <c r="Q424" s="2">
        <v>68</v>
      </c>
      <c r="R424" s="2">
        <v>75</v>
      </c>
    </row>
    <row r="425" spans="1:18" x14ac:dyDescent="0.3">
      <c r="A425" s="2">
        <v>423</v>
      </c>
      <c r="B425" s="4">
        <v>40562</v>
      </c>
      <c r="C425" s="2">
        <v>1</v>
      </c>
      <c r="D425" s="2">
        <v>0</v>
      </c>
      <c r="E425" s="2">
        <v>1</v>
      </c>
      <c r="F425" s="2" t="s">
        <v>18</v>
      </c>
      <c r="G425" s="2">
        <v>15</v>
      </c>
      <c r="H425" s="2" t="b">
        <v>0</v>
      </c>
      <c r="I425" s="2">
        <v>3</v>
      </c>
      <c r="J425" s="2" t="s">
        <v>26</v>
      </c>
      <c r="K425" s="2">
        <v>1</v>
      </c>
      <c r="L425" s="2">
        <v>0.4</v>
      </c>
      <c r="M425" s="2">
        <v>0.40910000000000002</v>
      </c>
      <c r="N425" s="2">
        <v>0.54</v>
      </c>
      <c r="O425" s="2">
        <v>0.28360000000000002</v>
      </c>
      <c r="P425" s="2">
        <v>4</v>
      </c>
      <c r="Q425" s="2">
        <v>78</v>
      </c>
      <c r="R425" s="2">
        <v>82</v>
      </c>
    </row>
    <row r="426" spans="1:18" x14ac:dyDescent="0.3">
      <c r="A426" s="2">
        <v>424</v>
      </c>
      <c r="B426" s="4">
        <v>40562</v>
      </c>
      <c r="C426" s="2">
        <v>1</v>
      </c>
      <c r="D426" s="2">
        <v>0</v>
      </c>
      <c r="E426" s="2">
        <v>1</v>
      </c>
      <c r="F426" s="2" t="s">
        <v>18</v>
      </c>
      <c r="G426" s="2">
        <v>16</v>
      </c>
      <c r="H426" s="2" t="b">
        <v>0</v>
      </c>
      <c r="I426" s="2">
        <v>3</v>
      </c>
      <c r="J426" s="2" t="s">
        <v>26</v>
      </c>
      <c r="K426" s="2">
        <v>1</v>
      </c>
      <c r="L426" s="2">
        <v>0.38</v>
      </c>
      <c r="M426" s="2">
        <v>0.39389999999999997</v>
      </c>
      <c r="N426" s="2">
        <v>0.57999999999999996</v>
      </c>
      <c r="O426" s="2">
        <v>0.3881</v>
      </c>
      <c r="P426" s="2">
        <v>10</v>
      </c>
      <c r="Q426" s="2">
        <v>94</v>
      </c>
      <c r="R426" s="2">
        <v>104</v>
      </c>
    </row>
    <row r="427" spans="1:18" x14ac:dyDescent="0.3">
      <c r="A427" s="2">
        <v>425</v>
      </c>
      <c r="B427" s="4">
        <v>40562</v>
      </c>
      <c r="C427" s="2">
        <v>1</v>
      </c>
      <c r="D427" s="2">
        <v>0</v>
      </c>
      <c r="E427" s="2">
        <v>1</v>
      </c>
      <c r="F427" s="2" t="s">
        <v>18</v>
      </c>
      <c r="G427" s="2">
        <v>17</v>
      </c>
      <c r="H427" s="2" t="b">
        <v>0</v>
      </c>
      <c r="I427" s="2">
        <v>3</v>
      </c>
      <c r="J427" s="2" t="s">
        <v>26</v>
      </c>
      <c r="K427" s="2">
        <v>1</v>
      </c>
      <c r="L427" s="2">
        <v>0.36</v>
      </c>
      <c r="M427" s="2">
        <v>0.33329999999999999</v>
      </c>
      <c r="N427" s="2">
        <v>0.56999999999999995</v>
      </c>
      <c r="O427" s="2">
        <v>0.32840000000000003</v>
      </c>
      <c r="P427" s="2">
        <v>7</v>
      </c>
      <c r="Q427" s="2">
        <v>190</v>
      </c>
      <c r="R427" s="2">
        <v>197</v>
      </c>
    </row>
    <row r="428" spans="1:18" x14ac:dyDescent="0.3">
      <c r="A428" s="2">
        <v>426</v>
      </c>
      <c r="B428" s="4">
        <v>40562</v>
      </c>
      <c r="C428" s="2">
        <v>1</v>
      </c>
      <c r="D428" s="2">
        <v>0</v>
      </c>
      <c r="E428" s="2">
        <v>1</v>
      </c>
      <c r="F428" s="2" t="s">
        <v>18</v>
      </c>
      <c r="G428" s="2">
        <v>18</v>
      </c>
      <c r="H428" s="2" t="b">
        <v>0</v>
      </c>
      <c r="I428" s="2">
        <v>3</v>
      </c>
      <c r="J428" s="2" t="s">
        <v>26</v>
      </c>
      <c r="K428" s="2">
        <v>1</v>
      </c>
      <c r="L428" s="2">
        <v>0.34</v>
      </c>
      <c r="M428" s="2">
        <v>0.31819999999999998</v>
      </c>
      <c r="N428" s="2">
        <v>0.61</v>
      </c>
      <c r="O428" s="2">
        <v>0.28360000000000002</v>
      </c>
      <c r="P428" s="2">
        <v>5</v>
      </c>
      <c r="Q428" s="2">
        <v>156</v>
      </c>
      <c r="R428" s="2">
        <v>161</v>
      </c>
    </row>
    <row r="429" spans="1:18" x14ac:dyDescent="0.3">
      <c r="A429" s="2">
        <v>427</v>
      </c>
      <c r="B429" s="4">
        <v>40562</v>
      </c>
      <c r="C429" s="2">
        <v>1</v>
      </c>
      <c r="D429" s="2">
        <v>0</v>
      </c>
      <c r="E429" s="2">
        <v>1</v>
      </c>
      <c r="F429" s="2" t="s">
        <v>18</v>
      </c>
      <c r="G429" s="2">
        <v>19</v>
      </c>
      <c r="H429" s="2" t="b">
        <v>0</v>
      </c>
      <c r="I429" s="2">
        <v>3</v>
      </c>
      <c r="J429" s="2" t="s">
        <v>26</v>
      </c>
      <c r="K429" s="2">
        <v>1</v>
      </c>
      <c r="L429" s="2">
        <v>0.32</v>
      </c>
      <c r="M429" s="2">
        <v>0.28789999999999999</v>
      </c>
      <c r="N429" s="2">
        <v>0.56999999999999995</v>
      </c>
      <c r="O429" s="2">
        <v>0.41789999999999999</v>
      </c>
      <c r="P429" s="2">
        <v>4</v>
      </c>
      <c r="Q429" s="2">
        <v>108</v>
      </c>
      <c r="R429" s="2">
        <v>112</v>
      </c>
    </row>
    <row r="430" spans="1:18" x14ac:dyDescent="0.3">
      <c r="A430" s="2">
        <v>428</v>
      </c>
      <c r="B430" s="4">
        <v>40562</v>
      </c>
      <c r="C430" s="2">
        <v>1</v>
      </c>
      <c r="D430" s="2">
        <v>0</v>
      </c>
      <c r="E430" s="2">
        <v>1</v>
      </c>
      <c r="F430" s="2" t="s">
        <v>18</v>
      </c>
      <c r="G430" s="2">
        <v>20</v>
      </c>
      <c r="H430" s="2" t="b">
        <v>0</v>
      </c>
      <c r="I430" s="2">
        <v>3</v>
      </c>
      <c r="J430" s="2" t="s">
        <v>26</v>
      </c>
      <c r="K430" s="2">
        <v>1</v>
      </c>
      <c r="L430" s="2">
        <v>0.32</v>
      </c>
      <c r="M430" s="2">
        <v>0.30299999999999999</v>
      </c>
      <c r="N430" s="2">
        <v>0.49</v>
      </c>
      <c r="O430" s="2">
        <v>0.29849999999999999</v>
      </c>
      <c r="P430" s="2">
        <v>2</v>
      </c>
      <c r="Q430" s="2">
        <v>74</v>
      </c>
      <c r="R430" s="2">
        <v>76</v>
      </c>
    </row>
    <row r="431" spans="1:18" x14ac:dyDescent="0.3">
      <c r="A431" s="2">
        <v>429</v>
      </c>
      <c r="B431" s="4">
        <v>40562</v>
      </c>
      <c r="C431" s="2">
        <v>1</v>
      </c>
      <c r="D431" s="2">
        <v>0</v>
      </c>
      <c r="E431" s="2">
        <v>1</v>
      </c>
      <c r="F431" s="2" t="s">
        <v>18</v>
      </c>
      <c r="G431" s="2">
        <v>21</v>
      </c>
      <c r="H431" s="2" t="b">
        <v>0</v>
      </c>
      <c r="I431" s="2">
        <v>3</v>
      </c>
      <c r="J431" s="2" t="s">
        <v>26</v>
      </c>
      <c r="K431" s="2">
        <v>1</v>
      </c>
      <c r="L431" s="2">
        <v>0.32</v>
      </c>
      <c r="M431" s="2">
        <v>0.28789999999999999</v>
      </c>
      <c r="N431" s="2">
        <v>0.49</v>
      </c>
      <c r="O431" s="2">
        <v>0.41789999999999999</v>
      </c>
      <c r="P431" s="2">
        <v>4</v>
      </c>
      <c r="Q431" s="2">
        <v>55</v>
      </c>
      <c r="R431" s="2">
        <v>59</v>
      </c>
    </row>
    <row r="432" spans="1:18" x14ac:dyDescent="0.3">
      <c r="A432" s="2">
        <v>430</v>
      </c>
      <c r="B432" s="4">
        <v>40562</v>
      </c>
      <c r="C432" s="2">
        <v>1</v>
      </c>
      <c r="D432" s="2">
        <v>0</v>
      </c>
      <c r="E432" s="2">
        <v>1</v>
      </c>
      <c r="F432" s="2" t="s">
        <v>18</v>
      </c>
      <c r="G432" s="2">
        <v>22</v>
      </c>
      <c r="H432" s="2" t="b">
        <v>0</v>
      </c>
      <c r="I432" s="2">
        <v>3</v>
      </c>
      <c r="J432" s="2" t="s">
        <v>26</v>
      </c>
      <c r="K432" s="2">
        <v>1</v>
      </c>
      <c r="L432" s="2">
        <v>0.3</v>
      </c>
      <c r="M432" s="2">
        <v>0.30299999999999999</v>
      </c>
      <c r="N432" s="2">
        <v>0.52</v>
      </c>
      <c r="O432" s="2">
        <v>0.16420000000000001</v>
      </c>
      <c r="P432" s="2">
        <v>6</v>
      </c>
      <c r="Q432" s="2">
        <v>53</v>
      </c>
      <c r="R432" s="2">
        <v>59</v>
      </c>
    </row>
    <row r="433" spans="1:18" x14ac:dyDescent="0.3">
      <c r="A433" s="2">
        <v>431</v>
      </c>
      <c r="B433" s="4">
        <v>40562</v>
      </c>
      <c r="C433" s="2">
        <v>1</v>
      </c>
      <c r="D433" s="2">
        <v>0</v>
      </c>
      <c r="E433" s="2">
        <v>1</v>
      </c>
      <c r="F433" s="2" t="s">
        <v>18</v>
      </c>
      <c r="G433" s="2">
        <v>23</v>
      </c>
      <c r="H433" s="2" t="b">
        <v>0</v>
      </c>
      <c r="I433" s="2">
        <v>3</v>
      </c>
      <c r="J433" s="2" t="s">
        <v>26</v>
      </c>
      <c r="K433" s="2">
        <v>1</v>
      </c>
      <c r="L433" s="2">
        <v>0.3</v>
      </c>
      <c r="M433" s="2">
        <v>0.2727</v>
      </c>
      <c r="N433" s="2">
        <v>0.52</v>
      </c>
      <c r="O433" s="2">
        <v>0.4627</v>
      </c>
      <c r="P433" s="2">
        <v>1</v>
      </c>
      <c r="Q433" s="2">
        <v>27</v>
      </c>
      <c r="R433" s="2">
        <v>28</v>
      </c>
    </row>
    <row r="434" spans="1:18" x14ac:dyDescent="0.3">
      <c r="A434" s="2">
        <v>432</v>
      </c>
      <c r="B434" s="4">
        <v>40563</v>
      </c>
      <c r="C434" s="2">
        <v>1</v>
      </c>
      <c r="D434" s="2">
        <v>0</v>
      </c>
      <c r="E434" s="2">
        <v>1</v>
      </c>
      <c r="F434" s="2" t="s">
        <v>18</v>
      </c>
      <c r="G434" s="2">
        <v>0</v>
      </c>
      <c r="H434" s="2" t="b">
        <v>0</v>
      </c>
      <c r="I434" s="2">
        <v>4</v>
      </c>
      <c r="J434" s="2" t="s">
        <v>26</v>
      </c>
      <c r="K434" s="2">
        <v>1</v>
      </c>
      <c r="L434" s="2">
        <v>0.26</v>
      </c>
      <c r="M434" s="2">
        <v>0.2273</v>
      </c>
      <c r="N434" s="2">
        <v>0.56000000000000005</v>
      </c>
      <c r="O434" s="2">
        <v>0.3881</v>
      </c>
      <c r="P434" s="2">
        <v>5</v>
      </c>
      <c r="Q434" s="2">
        <v>8</v>
      </c>
      <c r="R434" s="2">
        <v>13</v>
      </c>
    </row>
    <row r="435" spans="1:18" x14ac:dyDescent="0.3">
      <c r="A435" s="2">
        <v>433</v>
      </c>
      <c r="B435" s="4">
        <v>40563</v>
      </c>
      <c r="C435" s="2">
        <v>1</v>
      </c>
      <c r="D435" s="2">
        <v>0</v>
      </c>
      <c r="E435" s="2">
        <v>1</v>
      </c>
      <c r="F435" s="2" t="s">
        <v>18</v>
      </c>
      <c r="G435" s="2">
        <v>1</v>
      </c>
      <c r="H435" s="2" t="b">
        <v>0</v>
      </c>
      <c r="I435" s="2">
        <v>4</v>
      </c>
      <c r="J435" s="2" t="s">
        <v>26</v>
      </c>
      <c r="K435" s="2">
        <v>1</v>
      </c>
      <c r="L435" s="2">
        <v>0.26</v>
      </c>
      <c r="M435" s="2">
        <v>0.2727</v>
      </c>
      <c r="N435" s="2">
        <v>0.56000000000000005</v>
      </c>
      <c r="O435" s="2">
        <v>0</v>
      </c>
      <c r="P435" s="2">
        <v>2</v>
      </c>
      <c r="Q435" s="2">
        <v>3</v>
      </c>
      <c r="R435" s="2">
        <v>5</v>
      </c>
    </row>
    <row r="436" spans="1:18" x14ac:dyDescent="0.3">
      <c r="A436" s="2">
        <v>434</v>
      </c>
      <c r="B436" s="4">
        <v>40563</v>
      </c>
      <c r="C436" s="2">
        <v>1</v>
      </c>
      <c r="D436" s="2">
        <v>0</v>
      </c>
      <c r="E436" s="2">
        <v>1</v>
      </c>
      <c r="F436" s="2" t="s">
        <v>18</v>
      </c>
      <c r="G436" s="2">
        <v>2</v>
      </c>
      <c r="H436" s="2" t="b">
        <v>0</v>
      </c>
      <c r="I436" s="2">
        <v>4</v>
      </c>
      <c r="J436" s="2" t="s">
        <v>26</v>
      </c>
      <c r="K436" s="2">
        <v>1</v>
      </c>
      <c r="L436" s="2">
        <v>0.26</v>
      </c>
      <c r="M436" s="2">
        <v>0.2727</v>
      </c>
      <c r="N436" s="2">
        <v>0.56000000000000005</v>
      </c>
      <c r="O436" s="2">
        <v>0</v>
      </c>
      <c r="P436" s="2">
        <v>0</v>
      </c>
      <c r="Q436" s="2">
        <v>2</v>
      </c>
      <c r="R436" s="2">
        <v>2</v>
      </c>
    </row>
    <row r="437" spans="1:18" x14ac:dyDescent="0.3">
      <c r="A437" s="2">
        <v>435</v>
      </c>
      <c r="B437" s="4">
        <v>40563</v>
      </c>
      <c r="C437" s="2">
        <v>1</v>
      </c>
      <c r="D437" s="2">
        <v>0</v>
      </c>
      <c r="E437" s="2">
        <v>1</v>
      </c>
      <c r="F437" s="2" t="s">
        <v>18</v>
      </c>
      <c r="G437" s="2">
        <v>3</v>
      </c>
      <c r="H437" s="2" t="b">
        <v>0</v>
      </c>
      <c r="I437" s="2">
        <v>4</v>
      </c>
      <c r="J437" s="2" t="s">
        <v>26</v>
      </c>
      <c r="K437" s="2">
        <v>1</v>
      </c>
      <c r="L437" s="2">
        <v>0.26</v>
      </c>
      <c r="M437" s="2">
        <v>0.2576</v>
      </c>
      <c r="N437" s="2">
        <v>0.56000000000000005</v>
      </c>
      <c r="O437" s="2">
        <v>0.16420000000000001</v>
      </c>
      <c r="P437" s="2">
        <v>0</v>
      </c>
      <c r="Q437" s="2">
        <v>1</v>
      </c>
      <c r="R437" s="2">
        <v>1</v>
      </c>
    </row>
    <row r="438" spans="1:18" x14ac:dyDescent="0.3">
      <c r="A438" s="2">
        <v>436</v>
      </c>
      <c r="B438" s="4">
        <v>40563</v>
      </c>
      <c r="C438" s="2">
        <v>1</v>
      </c>
      <c r="D438" s="2">
        <v>0</v>
      </c>
      <c r="E438" s="2">
        <v>1</v>
      </c>
      <c r="F438" s="2" t="s">
        <v>18</v>
      </c>
      <c r="G438" s="2">
        <v>4</v>
      </c>
      <c r="H438" s="2" t="b">
        <v>0</v>
      </c>
      <c r="I438" s="2">
        <v>4</v>
      </c>
      <c r="J438" s="2" t="s">
        <v>26</v>
      </c>
      <c r="K438" s="2">
        <v>1</v>
      </c>
      <c r="L438" s="2">
        <v>0.26</v>
      </c>
      <c r="M438" s="2">
        <v>0.2576</v>
      </c>
      <c r="N438" s="2">
        <v>0.56000000000000005</v>
      </c>
      <c r="O438" s="2">
        <v>0.16420000000000001</v>
      </c>
      <c r="P438" s="2">
        <v>0</v>
      </c>
      <c r="Q438" s="2">
        <v>1</v>
      </c>
      <c r="R438" s="2">
        <v>1</v>
      </c>
    </row>
    <row r="439" spans="1:18" x14ac:dyDescent="0.3">
      <c r="A439" s="2">
        <v>437</v>
      </c>
      <c r="B439" s="4">
        <v>40563</v>
      </c>
      <c r="C439" s="2">
        <v>1</v>
      </c>
      <c r="D439" s="2">
        <v>0</v>
      </c>
      <c r="E439" s="2">
        <v>1</v>
      </c>
      <c r="F439" s="2" t="s">
        <v>18</v>
      </c>
      <c r="G439" s="2">
        <v>5</v>
      </c>
      <c r="H439" s="2" t="b">
        <v>0</v>
      </c>
      <c r="I439" s="2">
        <v>4</v>
      </c>
      <c r="J439" s="2" t="s">
        <v>26</v>
      </c>
      <c r="K439" s="2">
        <v>1</v>
      </c>
      <c r="L439" s="2">
        <v>0.24</v>
      </c>
      <c r="M439" s="2">
        <v>0.2273</v>
      </c>
      <c r="N439" s="2">
        <v>0.6</v>
      </c>
      <c r="O439" s="2">
        <v>0.22389999999999999</v>
      </c>
      <c r="P439" s="2">
        <v>0</v>
      </c>
      <c r="Q439" s="2">
        <v>6</v>
      </c>
      <c r="R439" s="2">
        <v>6</v>
      </c>
    </row>
    <row r="440" spans="1:18" x14ac:dyDescent="0.3">
      <c r="A440" s="2">
        <v>438</v>
      </c>
      <c r="B440" s="4">
        <v>40563</v>
      </c>
      <c r="C440" s="2">
        <v>1</v>
      </c>
      <c r="D440" s="2">
        <v>0</v>
      </c>
      <c r="E440" s="2">
        <v>1</v>
      </c>
      <c r="F440" s="2" t="s">
        <v>18</v>
      </c>
      <c r="G440" s="2">
        <v>6</v>
      </c>
      <c r="H440" s="2" t="b">
        <v>0</v>
      </c>
      <c r="I440" s="2">
        <v>4</v>
      </c>
      <c r="J440" s="2" t="s">
        <v>27</v>
      </c>
      <c r="K440" s="2">
        <v>1</v>
      </c>
      <c r="L440" s="2">
        <v>0.22</v>
      </c>
      <c r="M440" s="2">
        <v>0.21210000000000001</v>
      </c>
      <c r="N440" s="2">
        <v>0.6</v>
      </c>
      <c r="O440" s="2">
        <v>0.22389999999999999</v>
      </c>
      <c r="P440" s="2">
        <v>0</v>
      </c>
      <c r="Q440" s="2">
        <v>35</v>
      </c>
      <c r="R440" s="2">
        <v>35</v>
      </c>
    </row>
    <row r="441" spans="1:18" x14ac:dyDescent="0.3">
      <c r="A441" s="2">
        <v>439</v>
      </c>
      <c r="B441" s="4">
        <v>40563</v>
      </c>
      <c r="C441" s="2">
        <v>1</v>
      </c>
      <c r="D441" s="2">
        <v>0</v>
      </c>
      <c r="E441" s="2">
        <v>1</v>
      </c>
      <c r="F441" s="2" t="s">
        <v>18</v>
      </c>
      <c r="G441" s="2">
        <v>7</v>
      </c>
      <c r="H441" s="2" t="b">
        <v>0</v>
      </c>
      <c r="I441" s="2">
        <v>4</v>
      </c>
      <c r="J441" s="2" t="s">
        <v>27</v>
      </c>
      <c r="K441" s="2">
        <v>1</v>
      </c>
      <c r="L441" s="2">
        <v>0.22</v>
      </c>
      <c r="M441" s="2">
        <v>0.21210000000000001</v>
      </c>
      <c r="N441" s="2">
        <v>0.55000000000000004</v>
      </c>
      <c r="O441" s="2">
        <v>0.22389999999999999</v>
      </c>
      <c r="P441" s="2">
        <v>1</v>
      </c>
      <c r="Q441" s="2">
        <v>100</v>
      </c>
      <c r="R441" s="2">
        <v>101</v>
      </c>
    </row>
    <row r="442" spans="1:18" x14ac:dyDescent="0.3">
      <c r="A442" s="2">
        <v>440</v>
      </c>
      <c r="B442" s="4">
        <v>40563</v>
      </c>
      <c r="C442" s="2">
        <v>1</v>
      </c>
      <c r="D442" s="2">
        <v>0</v>
      </c>
      <c r="E442" s="2">
        <v>1</v>
      </c>
      <c r="F442" s="2" t="s">
        <v>18</v>
      </c>
      <c r="G442" s="2">
        <v>8</v>
      </c>
      <c r="H442" s="2" t="b">
        <v>0</v>
      </c>
      <c r="I442" s="2">
        <v>4</v>
      </c>
      <c r="J442" s="2" t="s">
        <v>27</v>
      </c>
      <c r="K442" s="2">
        <v>1</v>
      </c>
      <c r="L442" s="2">
        <v>0.22</v>
      </c>
      <c r="M442" s="2">
        <v>0.21210000000000001</v>
      </c>
      <c r="N442" s="2">
        <v>0.55000000000000004</v>
      </c>
      <c r="O442" s="2">
        <v>0.28360000000000002</v>
      </c>
      <c r="P442" s="2">
        <v>2</v>
      </c>
      <c r="Q442" s="2">
        <v>247</v>
      </c>
      <c r="R442" s="2">
        <v>249</v>
      </c>
    </row>
    <row r="443" spans="1:18" x14ac:dyDescent="0.3">
      <c r="A443" s="2">
        <v>441</v>
      </c>
      <c r="B443" s="4">
        <v>40563</v>
      </c>
      <c r="C443" s="2">
        <v>1</v>
      </c>
      <c r="D443" s="2">
        <v>0</v>
      </c>
      <c r="E443" s="2">
        <v>1</v>
      </c>
      <c r="F443" s="2" t="s">
        <v>18</v>
      </c>
      <c r="G443" s="2">
        <v>9</v>
      </c>
      <c r="H443" s="2" t="b">
        <v>0</v>
      </c>
      <c r="I443" s="2">
        <v>4</v>
      </c>
      <c r="J443" s="2" t="s">
        <v>27</v>
      </c>
      <c r="K443" s="2">
        <v>2</v>
      </c>
      <c r="L443" s="2">
        <v>0.24</v>
      </c>
      <c r="M443" s="2">
        <v>0.2273</v>
      </c>
      <c r="N443" s="2">
        <v>0.52</v>
      </c>
      <c r="O443" s="2">
        <v>0.22389999999999999</v>
      </c>
      <c r="P443" s="2">
        <v>3</v>
      </c>
      <c r="Q443" s="2">
        <v>140</v>
      </c>
      <c r="R443" s="2">
        <v>143</v>
      </c>
    </row>
    <row r="444" spans="1:18" x14ac:dyDescent="0.3">
      <c r="A444" s="2">
        <v>442</v>
      </c>
      <c r="B444" s="4">
        <v>40563</v>
      </c>
      <c r="C444" s="2">
        <v>1</v>
      </c>
      <c r="D444" s="2">
        <v>0</v>
      </c>
      <c r="E444" s="2">
        <v>1</v>
      </c>
      <c r="F444" s="2" t="s">
        <v>18</v>
      </c>
      <c r="G444" s="2">
        <v>10</v>
      </c>
      <c r="H444" s="2" t="b">
        <v>0</v>
      </c>
      <c r="I444" s="2">
        <v>4</v>
      </c>
      <c r="J444" s="2" t="s">
        <v>27</v>
      </c>
      <c r="K444" s="2">
        <v>1</v>
      </c>
      <c r="L444" s="2">
        <v>0.26</v>
      </c>
      <c r="M444" s="2">
        <v>0.2273</v>
      </c>
      <c r="N444" s="2">
        <v>0.48</v>
      </c>
      <c r="O444" s="2">
        <v>0.29849999999999999</v>
      </c>
      <c r="P444" s="2">
        <v>1</v>
      </c>
      <c r="Q444" s="2">
        <v>56</v>
      </c>
      <c r="R444" s="2">
        <v>57</v>
      </c>
    </row>
    <row r="445" spans="1:18" x14ac:dyDescent="0.3">
      <c r="A445" s="2">
        <v>443</v>
      </c>
      <c r="B445" s="4">
        <v>40563</v>
      </c>
      <c r="C445" s="2">
        <v>1</v>
      </c>
      <c r="D445" s="2">
        <v>0</v>
      </c>
      <c r="E445" s="2">
        <v>1</v>
      </c>
      <c r="F445" s="2" t="s">
        <v>18</v>
      </c>
      <c r="G445" s="2">
        <v>11</v>
      </c>
      <c r="H445" s="2" t="b">
        <v>0</v>
      </c>
      <c r="I445" s="2">
        <v>4</v>
      </c>
      <c r="J445" s="2" t="s">
        <v>27</v>
      </c>
      <c r="K445" s="2">
        <v>2</v>
      </c>
      <c r="L445" s="2">
        <v>0.28000000000000003</v>
      </c>
      <c r="M445" s="2">
        <v>0.2727</v>
      </c>
      <c r="N445" s="2">
        <v>0.45</v>
      </c>
      <c r="O445" s="2">
        <v>0.16420000000000001</v>
      </c>
      <c r="P445" s="2">
        <v>5</v>
      </c>
      <c r="Q445" s="2">
        <v>63</v>
      </c>
      <c r="R445" s="2">
        <v>68</v>
      </c>
    </row>
    <row r="446" spans="1:18" x14ac:dyDescent="0.3">
      <c r="A446" s="2">
        <v>444</v>
      </c>
      <c r="B446" s="4">
        <v>40563</v>
      </c>
      <c r="C446" s="2">
        <v>1</v>
      </c>
      <c r="D446" s="2">
        <v>0</v>
      </c>
      <c r="E446" s="2">
        <v>1</v>
      </c>
      <c r="F446" s="2" t="s">
        <v>18</v>
      </c>
      <c r="G446" s="2">
        <v>12</v>
      </c>
      <c r="H446" s="2" t="b">
        <v>0</v>
      </c>
      <c r="I446" s="2">
        <v>4</v>
      </c>
      <c r="J446" s="2" t="s">
        <v>27</v>
      </c>
      <c r="K446" s="2">
        <v>2</v>
      </c>
      <c r="L446" s="2">
        <v>0.3</v>
      </c>
      <c r="M446" s="2">
        <v>0.33329999999999999</v>
      </c>
      <c r="N446" s="2">
        <v>0.42</v>
      </c>
      <c r="O446" s="2">
        <v>0</v>
      </c>
      <c r="P446" s="2">
        <v>7</v>
      </c>
      <c r="Q446" s="2">
        <v>77</v>
      </c>
      <c r="R446" s="2">
        <v>84</v>
      </c>
    </row>
    <row r="447" spans="1:18" x14ac:dyDescent="0.3">
      <c r="A447" s="2">
        <v>445</v>
      </c>
      <c r="B447" s="4">
        <v>40563</v>
      </c>
      <c r="C447" s="2">
        <v>1</v>
      </c>
      <c r="D447" s="2">
        <v>0</v>
      </c>
      <c r="E447" s="2">
        <v>1</v>
      </c>
      <c r="F447" s="2" t="s">
        <v>18</v>
      </c>
      <c r="G447" s="2">
        <v>13</v>
      </c>
      <c r="H447" s="2" t="b">
        <v>0</v>
      </c>
      <c r="I447" s="2">
        <v>4</v>
      </c>
      <c r="J447" s="2" t="s">
        <v>27</v>
      </c>
      <c r="K447" s="2">
        <v>2</v>
      </c>
      <c r="L447" s="2">
        <v>0.28000000000000003</v>
      </c>
      <c r="M447" s="2">
        <v>0.28789999999999999</v>
      </c>
      <c r="N447" s="2">
        <v>0.45</v>
      </c>
      <c r="O447" s="2">
        <v>0.1045</v>
      </c>
      <c r="P447" s="2">
        <v>12</v>
      </c>
      <c r="Q447" s="2">
        <v>86</v>
      </c>
      <c r="R447" s="2">
        <v>98</v>
      </c>
    </row>
    <row r="448" spans="1:18" x14ac:dyDescent="0.3">
      <c r="A448" s="2">
        <v>446</v>
      </c>
      <c r="B448" s="4">
        <v>40563</v>
      </c>
      <c r="C448" s="2">
        <v>1</v>
      </c>
      <c r="D448" s="2">
        <v>0</v>
      </c>
      <c r="E448" s="2">
        <v>1</v>
      </c>
      <c r="F448" s="2" t="s">
        <v>18</v>
      </c>
      <c r="G448" s="2">
        <v>14</v>
      </c>
      <c r="H448" s="2" t="b">
        <v>0</v>
      </c>
      <c r="I448" s="2">
        <v>4</v>
      </c>
      <c r="J448" s="2" t="s">
        <v>27</v>
      </c>
      <c r="K448" s="2">
        <v>2</v>
      </c>
      <c r="L448" s="2">
        <v>0.3</v>
      </c>
      <c r="M448" s="2">
        <v>0.30299999999999999</v>
      </c>
      <c r="N448" s="2">
        <v>0.45</v>
      </c>
      <c r="O448" s="2">
        <v>0.1343</v>
      </c>
      <c r="P448" s="2">
        <v>6</v>
      </c>
      <c r="Q448" s="2">
        <v>75</v>
      </c>
      <c r="R448" s="2">
        <v>81</v>
      </c>
    </row>
    <row r="449" spans="1:18" x14ac:dyDescent="0.3">
      <c r="A449" s="2">
        <v>447</v>
      </c>
      <c r="B449" s="4">
        <v>40563</v>
      </c>
      <c r="C449" s="2">
        <v>1</v>
      </c>
      <c r="D449" s="2">
        <v>0</v>
      </c>
      <c r="E449" s="2">
        <v>1</v>
      </c>
      <c r="F449" s="2" t="s">
        <v>18</v>
      </c>
      <c r="G449" s="2">
        <v>15</v>
      </c>
      <c r="H449" s="2" t="b">
        <v>0</v>
      </c>
      <c r="I449" s="2">
        <v>4</v>
      </c>
      <c r="J449" s="2" t="s">
        <v>27</v>
      </c>
      <c r="K449" s="2">
        <v>2</v>
      </c>
      <c r="L449" s="2">
        <v>0.32</v>
      </c>
      <c r="M449" s="2">
        <v>0.31819999999999998</v>
      </c>
      <c r="N449" s="2">
        <v>0.45</v>
      </c>
      <c r="O449" s="2">
        <v>0.19400000000000001</v>
      </c>
      <c r="P449" s="2">
        <v>8</v>
      </c>
      <c r="Q449" s="2">
        <v>62</v>
      </c>
      <c r="R449" s="2">
        <v>70</v>
      </c>
    </row>
    <row r="450" spans="1:18" x14ac:dyDescent="0.3">
      <c r="A450" s="2">
        <v>448</v>
      </c>
      <c r="B450" s="4">
        <v>40563</v>
      </c>
      <c r="C450" s="2">
        <v>1</v>
      </c>
      <c r="D450" s="2">
        <v>0</v>
      </c>
      <c r="E450" s="2">
        <v>1</v>
      </c>
      <c r="F450" s="2" t="s">
        <v>18</v>
      </c>
      <c r="G450" s="2">
        <v>16</v>
      </c>
      <c r="H450" s="2" t="b">
        <v>0</v>
      </c>
      <c r="I450" s="2">
        <v>4</v>
      </c>
      <c r="J450" s="2" t="s">
        <v>27</v>
      </c>
      <c r="K450" s="2">
        <v>2</v>
      </c>
      <c r="L450" s="2">
        <v>0.3</v>
      </c>
      <c r="M450" s="2">
        <v>0.30299999999999999</v>
      </c>
      <c r="N450" s="2">
        <v>0.49</v>
      </c>
      <c r="O450" s="2">
        <v>0.1343</v>
      </c>
      <c r="P450" s="2">
        <v>8</v>
      </c>
      <c r="Q450" s="2">
        <v>83</v>
      </c>
      <c r="R450" s="2">
        <v>91</v>
      </c>
    </row>
    <row r="451" spans="1:18" x14ac:dyDescent="0.3">
      <c r="A451" s="2">
        <v>449</v>
      </c>
      <c r="B451" s="4">
        <v>40563</v>
      </c>
      <c r="C451" s="2">
        <v>1</v>
      </c>
      <c r="D451" s="2">
        <v>0</v>
      </c>
      <c r="E451" s="2">
        <v>1</v>
      </c>
      <c r="F451" s="2" t="s">
        <v>18</v>
      </c>
      <c r="G451" s="2">
        <v>17</v>
      </c>
      <c r="H451" s="2" t="b">
        <v>0</v>
      </c>
      <c r="I451" s="2">
        <v>4</v>
      </c>
      <c r="J451" s="2" t="s">
        <v>27</v>
      </c>
      <c r="K451" s="2">
        <v>2</v>
      </c>
      <c r="L451" s="2">
        <v>0.3</v>
      </c>
      <c r="M451" s="2">
        <v>0.31819999999999998</v>
      </c>
      <c r="N451" s="2">
        <v>0.49</v>
      </c>
      <c r="O451" s="2">
        <v>0.1045</v>
      </c>
      <c r="P451" s="2">
        <v>8</v>
      </c>
      <c r="Q451" s="2">
        <v>207</v>
      </c>
      <c r="R451" s="2">
        <v>215</v>
      </c>
    </row>
    <row r="452" spans="1:18" x14ac:dyDescent="0.3">
      <c r="A452" s="2">
        <v>450</v>
      </c>
      <c r="B452" s="4">
        <v>40563</v>
      </c>
      <c r="C452" s="2">
        <v>1</v>
      </c>
      <c r="D452" s="2">
        <v>0</v>
      </c>
      <c r="E452" s="2">
        <v>1</v>
      </c>
      <c r="F452" s="2" t="s">
        <v>18</v>
      </c>
      <c r="G452" s="2">
        <v>18</v>
      </c>
      <c r="H452" s="2" t="b">
        <v>0</v>
      </c>
      <c r="I452" s="2">
        <v>4</v>
      </c>
      <c r="J452" s="2" t="s">
        <v>27</v>
      </c>
      <c r="K452" s="2">
        <v>2</v>
      </c>
      <c r="L452" s="2">
        <v>0.26</v>
      </c>
      <c r="M452" s="2">
        <v>0.2576</v>
      </c>
      <c r="N452" s="2">
        <v>0.56000000000000005</v>
      </c>
      <c r="O452" s="2">
        <v>0.19400000000000001</v>
      </c>
      <c r="P452" s="2">
        <v>1</v>
      </c>
      <c r="Q452" s="2">
        <v>184</v>
      </c>
      <c r="R452" s="2">
        <v>185</v>
      </c>
    </row>
    <row r="453" spans="1:18" x14ac:dyDescent="0.3">
      <c r="A453" s="2">
        <v>451</v>
      </c>
      <c r="B453" s="4">
        <v>40563</v>
      </c>
      <c r="C453" s="2">
        <v>1</v>
      </c>
      <c r="D453" s="2">
        <v>0</v>
      </c>
      <c r="E453" s="2">
        <v>1</v>
      </c>
      <c r="F453" s="2" t="s">
        <v>18</v>
      </c>
      <c r="G453" s="2">
        <v>19</v>
      </c>
      <c r="H453" s="2" t="b">
        <v>0</v>
      </c>
      <c r="I453" s="2">
        <v>4</v>
      </c>
      <c r="J453" s="2" t="s">
        <v>27</v>
      </c>
      <c r="K453" s="2">
        <v>1</v>
      </c>
      <c r="L453" s="2">
        <v>0.26</v>
      </c>
      <c r="M453" s="2">
        <v>0.2273</v>
      </c>
      <c r="N453" s="2">
        <v>0.56000000000000005</v>
      </c>
      <c r="O453" s="2">
        <v>0.32840000000000003</v>
      </c>
      <c r="P453" s="2">
        <v>6</v>
      </c>
      <c r="Q453" s="2">
        <v>146</v>
      </c>
      <c r="R453" s="2">
        <v>152</v>
      </c>
    </row>
    <row r="454" spans="1:18" x14ac:dyDescent="0.3">
      <c r="A454" s="2">
        <v>452</v>
      </c>
      <c r="B454" s="4">
        <v>40563</v>
      </c>
      <c r="C454" s="2">
        <v>1</v>
      </c>
      <c r="D454" s="2">
        <v>0</v>
      </c>
      <c r="E454" s="2">
        <v>1</v>
      </c>
      <c r="F454" s="2" t="s">
        <v>18</v>
      </c>
      <c r="G454" s="2">
        <v>20</v>
      </c>
      <c r="H454" s="2" t="b">
        <v>0</v>
      </c>
      <c r="I454" s="2">
        <v>4</v>
      </c>
      <c r="J454" s="2" t="s">
        <v>27</v>
      </c>
      <c r="K454" s="2">
        <v>2</v>
      </c>
      <c r="L454" s="2">
        <v>0.26</v>
      </c>
      <c r="M454" s="2">
        <v>0.2424</v>
      </c>
      <c r="N454" s="2">
        <v>0.6</v>
      </c>
      <c r="O454" s="2">
        <v>0.28360000000000002</v>
      </c>
      <c r="P454" s="2">
        <v>2</v>
      </c>
      <c r="Q454" s="2">
        <v>124</v>
      </c>
      <c r="R454" s="2">
        <v>126</v>
      </c>
    </row>
    <row r="455" spans="1:18" x14ac:dyDescent="0.3">
      <c r="A455" s="2">
        <v>453</v>
      </c>
      <c r="B455" s="4">
        <v>40563</v>
      </c>
      <c r="C455" s="2">
        <v>1</v>
      </c>
      <c r="D455" s="2">
        <v>0</v>
      </c>
      <c r="E455" s="2">
        <v>1</v>
      </c>
      <c r="F455" s="2" t="s">
        <v>18</v>
      </c>
      <c r="G455" s="2">
        <v>21</v>
      </c>
      <c r="H455" s="2" t="b">
        <v>0</v>
      </c>
      <c r="I455" s="2">
        <v>4</v>
      </c>
      <c r="J455" s="2" t="s">
        <v>27</v>
      </c>
      <c r="K455" s="2">
        <v>2</v>
      </c>
      <c r="L455" s="2">
        <v>0.24</v>
      </c>
      <c r="M455" s="2">
        <v>0.2273</v>
      </c>
      <c r="N455" s="2">
        <v>0.6</v>
      </c>
      <c r="O455" s="2">
        <v>0.25369999999999998</v>
      </c>
      <c r="P455" s="2">
        <v>3</v>
      </c>
      <c r="Q455" s="2">
        <v>54</v>
      </c>
      <c r="R455" s="2">
        <v>57</v>
      </c>
    </row>
    <row r="456" spans="1:18" x14ac:dyDescent="0.3">
      <c r="A456" s="2">
        <v>454</v>
      </c>
      <c r="B456" s="4">
        <v>40563</v>
      </c>
      <c r="C456" s="2">
        <v>1</v>
      </c>
      <c r="D456" s="2">
        <v>0</v>
      </c>
      <c r="E456" s="2">
        <v>1</v>
      </c>
      <c r="F456" s="2" t="s">
        <v>18</v>
      </c>
      <c r="G456" s="2">
        <v>22</v>
      </c>
      <c r="H456" s="2" t="b">
        <v>0</v>
      </c>
      <c r="I456" s="2">
        <v>4</v>
      </c>
      <c r="J456" s="2" t="s">
        <v>27</v>
      </c>
      <c r="K456" s="2">
        <v>2</v>
      </c>
      <c r="L456" s="2">
        <v>0.24</v>
      </c>
      <c r="M456" s="2">
        <v>0.21210000000000001</v>
      </c>
      <c r="N456" s="2">
        <v>0.65</v>
      </c>
      <c r="O456" s="2">
        <v>0.28360000000000002</v>
      </c>
      <c r="P456" s="2">
        <v>0</v>
      </c>
      <c r="Q456" s="2">
        <v>56</v>
      </c>
      <c r="R456" s="2">
        <v>56</v>
      </c>
    </row>
    <row r="457" spans="1:18" x14ac:dyDescent="0.3">
      <c r="A457" s="2">
        <v>455</v>
      </c>
      <c r="B457" s="4">
        <v>40563</v>
      </c>
      <c r="C457" s="2">
        <v>1</v>
      </c>
      <c r="D457" s="2">
        <v>0</v>
      </c>
      <c r="E457" s="2">
        <v>1</v>
      </c>
      <c r="F457" s="2" t="s">
        <v>18</v>
      </c>
      <c r="G457" s="2">
        <v>23</v>
      </c>
      <c r="H457" s="2" t="b">
        <v>0</v>
      </c>
      <c r="I457" s="2">
        <v>4</v>
      </c>
      <c r="J457" s="2" t="s">
        <v>27</v>
      </c>
      <c r="K457" s="2">
        <v>2</v>
      </c>
      <c r="L457" s="2">
        <v>0.24</v>
      </c>
      <c r="M457" s="2">
        <v>0.21210000000000001</v>
      </c>
      <c r="N457" s="2">
        <v>0.65</v>
      </c>
      <c r="O457" s="2">
        <v>0.32840000000000003</v>
      </c>
      <c r="P457" s="2">
        <v>3</v>
      </c>
      <c r="Q457" s="2">
        <v>28</v>
      </c>
      <c r="R457" s="2">
        <v>31</v>
      </c>
    </row>
    <row r="458" spans="1:18" x14ac:dyDescent="0.3">
      <c r="A458" s="2">
        <v>456</v>
      </c>
      <c r="B458" s="4">
        <v>40564</v>
      </c>
      <c r="C458" s="2">
        <v>1</v>
      </c>
      <c r="D458" s="2">
        <v>0</v>
      </c>
      <c r="E458" s="2">
        <v>1</v>
      </c>
      <c r="F458" s="2" t="s">
        <v>18</v>
      </c>
      <c r="G458" s="2">
        <v>0</v>
      </c>
      <c r="H458" s="2" t="b">
        <v>0</v>
      </c>
      <c r="I458" s="2">
        <v>5</v>
      </c>
      <c r="J458" s="2" t="s">
        <v>27</v>
      </c>
      <c r="K458" s="2">
        <v>2</v>
      </c>
      <c r="L458" s="2">
        <v>0.24</v>
      </c>
      <c r="M458" s="2">
        <v>0.2273</v>
      </c>
      <c r="N458" s="2">
        <v>0.7</v>
      </c>
      <c r="O458" s="2">
        <v>0.25369999999999998</v>
      </c>
      <c r="P458" s="2">
        <v>1</v>
      </c>
      <c r="Q458" s="2">
        <v>20</v>
      </c>
      <c r="R458" s="2">
        <v>21</v>
      </c>
    </row>
    <row r="459" spans="1:18" x14ac:dyDescent="0.3">
      <c r="A459" s="2">
        <v>457</v>
      </c>
      <c r="B459" s="4">
        <v>40564</v>
      </c>
      <c r="C459" s="2">
        <v>1</v>
      </c>
      <c r="D459" s="2">
        <v>0</v>
      </c>
      <c r="E459" s="2">
        <v>1</v>
      </c>
      <c r="F459" s="2" t="s">
        <v>18</v>
      </c>
      <c r="G459" s="2">
        <v>1</v>
      </c>
      <c r="H459" s="2" t="b">
        <v>0</v>
      </c>
      <c r="I459" s="2">
        <v>5</v>
      </c>
      <c r="J459" s="2" t="s">
        <v>27</v>
      </c>
      <c r="K459" s="2">
        <v>2</v>
      </c>
      <c r="L459" s="2">
        <v>0.24</v>
      </c>
      <c r="M459" s="2">
        <v>0.2273</v>
      </c>
      <c r="N459" s="2">
        <v>0.7</v>
      </c>
      <c r="O459" s="2">
        <v>0.25369999999999998</v>
      </c>
      <c r="P459" s="2">
        <v>0</v>
      </c>
      <c r="Q459" s="2">
        <v>6</v>
      </c>
      <c r="R459" s="2">
        <v>6</v>
      </c>
    </row>
    <row r="460" spans="1:18" x14ac:dyDescent="0.3">
      <c r="A460" s="2">
        <v>458</v>
      </c>
      <c r="B460" s="4">
        <v>40564</v>
      </c>
      <c r="C460" s="2">
        <v>1</v>
      </c>
      <c r="D460" s="2">
        <v>0</v>
      </c>
      <c r="E460" s="2">
        <v>1</v>
      </c>
      <c r="F460" s="2" t="s">
        <v>18</v>
      </c>
      <c r="G460" s="2">
        <v>2</v>
      </c>
      <c r="H460" s="2" t="b">
        <v>0</v>
      </c>
      <c r="I460" s="2">
        <v>5</v>
      </c>
      <c r="J460" s="2" t="s">
        <v>27</v>
      </c>
      <c r="K460" s="2">
        <v>3</v>
      </c>
      <c r="L460" s="2">
        <v>0.24</v>
      </c>
      <c r="M460" s="2">
        <v>0.2424</v>
      </c>
      <c r="N460" s="2">
        <v>0.75</v>
      </c>
      <c r="O460" s="2">
        <v>0.16420000000000001</v>
      </c>
      <c r="P460" s="2">
        <v>0</v>
      </c>
      <c r="Q460" s="2">
        <v>2</v>
      </c>
      <c r="R460" s="2">
        <v>2</v>
      </c>
    </row>
    <row r="461" spans="1:18" x14ac:dyDescent="0.3">
      <c r="A461" s="2">
        <v>459</v>
      </c>
      <c r="B461" s="4">
        <v>40564</v>
      </c>
      <c r="C461" s="2">
        <v>1</v>
      </c>
      <c r="D461" s="2">
        <v>0</v>
      </c>
      <c r="E461" s="2">
        <v>1</v>
      </c>
      <c r="F461" s="2" t="s">
        <v>18</v>
      </c>
      <c r="G461" s="2">
        <v>3</v>
      </c>
      <c r="H461" s="2" t="b">
        <v>0</v>
      </c>
      <c r="I461" s="2">
        <v>5</v>
      </c>
      <c r="J461" s="2" t="s">
        <v>27</v>
      </c>
      <c r="K461" s="2">
        <v>3</v>
      </c>
      <c r="L461" s="2">
        <v>0.22</v>
      </c>
      <c r="M461" s="2">
        <v>0.21210000000000001</v>
      </c>
      <c r="N461" s="2">
        <v>0.8</v>
      </c>
      <c r="O461" s="2">
        <v>0.29849999999999999</v>
      </c>
      <c r="P461" s="2">
        <v>0</v>
      </c>
      <c r="Q461" s="2">
        <v>1</v>
      </c>
      <c r="R461" s="2">
        <v>1</v>
      </c>
    </row>
    <row r="462" spans="1:18" x14ac:dyDescent="0.3">
      <c r="A462" s="2">
        <v>460</v>
      </c>
      <c r="B462" s="4">
        <v>40564</v>
      </c>
      <c r="C462" s="2">
        <v>1</v>
      </c>
      <c r="D462" s="2">
        <v>0</v>
      </c>
      <c r="E462" s="2">
        <v>1</v>
      </c>
      <c r="F462" s="2" t="s">
        <v>18</v>
      </c>
      <c r="G462" s="2">
        <v>4</v>
      </c>
      <c r="H462" s="2" t="b">
        <v>0</v>
      </c>
      <c r="I462" s="2">
        <v>5</v>
      </c>
      <c r="J462" s="2" t="s">
        <v>27</v>
      </c>
      <c r="K462" s="2">
        <v>2</v>
      </c>
      <c r="L462" s="2">
        <v>0.22</v>
      </c>
      <c r="M462" s="2">
        <v>0.2576</v>
      </c>
      <c r="N462" s="2">
        <v>0.87</v>
      </c>
      <c r="O462" s="2">
        <v>8.9599999999999999E-2</v>
      </c>
      <c r="P462" s="2">
        <v>0</v>
      </c>
      <c r="Q462" s="2">
        <v>1</v>
      </c>
      <c r="R462" s="2">
        <v>1</v>
      </c>
    </row>
    <row r="463" spans="1:18" x14ac:dyDescent="0.3">
      <c r="A463" s="2">
        <v>461</v>
      </c>
      <c r="B463" s="4">
        <v>40564</v>
      </c>
      <c r="C463" s="2">
        <v>1</v>
      </c>
      <c r="D463" s="2">
        <v>0</v>
      </c>
      <c r="E463" s="2">
        <v>1</v>
      </c>
      <c r="F463" s="2" t="s">
        <v>18</v>
      </c>
      <c r="G463" s="2">
        <v>5</v>
      </c>
      <c r="H463" s="2" t="b">
        <v>0</v>
      </c>
      <c r="I463" s="2">
        <v>5</v>
      </c>
      <c r="J463" s="2" t="s">
        <v>28</v>
      </c>
      <c r="K463" s="2">
        <v>1</v>
      </c>
      <c r="L463" s="2">
        <v>0.24</v>
      </c>
      <c r="M463" s="2">
        <v>0.19700000000000001</v>
      </c>
      <c r="N463" s="2">
        <v>0.6</v>
      </c>
      <c r="O463" s="2">
        <v>0.41789999999999999</v>
      </c>
      <c r="P463" s="2">
        <v>1</v>
      </c>
      <c r="Q463" s="2">
        <v>4</v>
      </c>
      <c r="R463" s="2">
        <v>5</v>
      </c>
    </row>
    <row r="464" spans="1:18" x14ac:dyDescent="0.3">
      <c r="A464" s="2">
        <v>462</v>
      </c>
      <c r="B464" s="4">
        <v>40564</v>
      </c>
      <c r="C464" s="2">
        <v>1</v>
      </c>
      <c r="D464" s="2">
        <v>0</v>
      </c>
      <c r="E464" s="2">
        <v>1</v>
      </c>
      <c r="F464" s="2" t="s">
        <v>18</v>
      </c>
      <c r="G464" s="2">
        <v>6</v>
      </c>
      <c r="H464" s="2" t="b">
        <v>0</v>
      </c>
      <c r="I464" s="2">
        <v>5</v>
      </c>
      <c r="J464" s="2" t="s">
        <v>28</v>
      </c>
      <c r="K464" s="2">
        <v>1</v>
      </c>
      <c r="L464" s="2">
        <v>0.22</v>
      </c>
      <c r="M464" s="2">
        <v>0.21210000000000001</v>
      </c>
      <c r="N464" s="2">
        <v>0.55000000000000004</v>
      </c>
      <c r="O464" s="2">
        <v>0.25369999999999998</v>
      </c>
      <c r="P464" s="2">
        <v>0</v>
      </c>
      <c r="Q464" s="2">
        <v>27</v>
      </c>
      <c r="R464" s="2">
        <v>27</v>
      </c>
    </row>
    <row r="465" spans="1:18" x14ac:dyDescent="0.3">
      <c r="A465" s="2">
        <v>463</v>
      </c>
      <c r="B465" s="4">
        <v>40564</v>
      </c>
      <c r="C465" s="2">
        <v>1</v>
      </c>
      <c r="D465" s="2">
        <v>0</v>
      </c>
      <c r="E465" s="2">
        <v>1</v>
      </c>
      <c r="F465" s="2" t="s">
        <v>18</v>
      </c>
      <c r="G465" s="2">
        <v>7</v>
      </c>
      <c r="H465" s="2" t="b">
        <v>0</v>
      </c>
      <c r="I465" s="2">
        <v>5</v>
      </c>
      <c r="J465" s="2" t="s">
        <v>28</v>
      </c>
      <c r="K465" s="2">
        <v>1</v>
      </c>
      <c r="L465" s="2">
        <v>0.2</v>
      </c>
      <c r="M465" s="2">
        <v>0.18179999999999999</v>
      </c>
      <c r="N465" s="2">
        <v>0.51</v>
      </c>
      <c r="O465" s="2">
        <v>0.28360000000000002</v>
      </c>
      <c r="P465" s="2">
        <v>2</v>
      </c>
      <c r="Q465" s="2">
        <v>66</v>
      </c>
      <c r="R465" s="2">
        <v>68</v>
      </c>
    </row>
    <row r="466" spans="1:18" x14ac:dyDescent="0.3">
      <c r="A466" s="2">
        <v>464</v>
      </c>
      <c r="B466" s="4">
        <v>40564</v>
      </c>
      <c r="C466" s="2">
        <v>1</v>
      </c>
      <c r="D466" s="2">
        <v>0</v>
      </c>
      <c r="E466" s="2">
        <v>1</v>
      </c>
      <c r="F466" s="2" t="s">
        <v>18</v>
      </c>
      <c r="G466" s="2">
        <v>8</v>
      </c>
      <c r="H466" s="2" t="b">
        <v>0</v>
      </c>
      <c r="I466" s="2">
        <v>5</v>
      </c>
      <c r="J466" s="2" t="s">
        <v>28</v>
      </c>
      <c r="K466" s="2">
        <v>1</v>
      </c>
      <c r="L466" s="2">
        <v>0.2</v>
      </c>
      <c r="M466" s="2">
        <v>0.18179999999999999</v>
      </c>
      <c r="N466" s="2">
        <v>0.47</v>
      </c>
      <c r="O466" s="2">
        <v>0.32840000000000003</v>
      </c>
      <c r="P466" s="2">
        <v>7</v>
      </c>
      <c r="Q466" s="2">
        <v>210</v>
      </c>
      <c r="R466" s="2">
        <v>217</v>
      </c>
    </row>
    <row r="467" spans="1:18" x14ac:dyDescent="0.3">
      <c r="A467" s="2">
        <v>465</v>
      </c>
      <c r="B467" s="4">
        <v>40564</v>
      </c>
      <c r="C467" s="2">
        <v>1</v>
      </c>
      <c r="D467" s="2">
        <v>0</v>
      </c>
      <c r="E467" s="2">
        <v>1</v>
      </c>
      <c r="F467" s="2" t="s">
        <v>18</v>
      </c>
      <c r="G467" s="2">
        <v>9</v>
      </c>
      <c r="H467" s="2" t="b">
        <v>0</v>
      </c>
      <c r="I467" s="2">
        <v>5</v>
      </c>
      <c r="J467" s="2" t="s">
        <v>28</v>
      </c>
      <c r="K467" s="2">
        <v>1</v>
      </c>
      <c r="L467" s="2">
        <v>0.2</v>
      </c>
      <c r="M467" s="2">
        <v>0.18179999999999999</v>
      </c>
      <c r="N467" s="2">
        <v>0.51</v>
      </c>
      <c r="O467" s="2">
        <v>0.35820000000000002</v>
      </c>
      <c r="P467" s="2">
        <v>7</v>
      </c>
      <c r="Q467" s="2">
        <v>159</v>
      </c>
      <c r="R467" s="2">
        <v>166</v>
      </c>
    </row>
    <row r="468" spans="1:18" x14ac:dyDescent="0.3">
      <c r="A468" s="2">
        <v>466</v>
      </c>
      <c r="B468" s="4">
        <v>40564</v>
      </c>
      <c r="C468" s="2">
        <v>1</v>
      </c>
      <c r="D468" s="2">
        <v>0</v>
      </c>
      <c r="E468" s="2">
        <v>1</v>
      </c>
      <c r="F468" s="2" t="s">
        <v>18</v>
      </c>
      <c r="G468" s="2">
        <v>10</v>
      </c>
      <c r="H468" s="2" t="b">
        <v>0</v>
      </c>
      <c r="I468" s="2">
        <v>5</v>
      </c>
      <c r="J468" s="2" t="s">
        <v>28</v>
      </c>
      <c r="K468" s="2">
        <v>1</v>
      </c>
      <c r="L468" s="2">
        <v>0.2</v>
      </c>
      <c r="M468" s="2">
        <v>0.16669999999999999</v>
      </c>
      <c r="N468" s="2">
        <v>0.47</v>
      </c>
      <c r="O468" s="2">
        <v>0.4627</v>
      </c>
      <c r="P468" s="2">
        <v>6</v>
      </c>
      <c r="Q468" s="2">
        <v>57</v>
      </c>
      <c r="R468" s="2">
        <v>63</v>
      </c>
    </row>
    <row r="469" spans="1:18" x14ac:dyDescent="0.3">
      <c r="A469" s="2">
        <v>467</v>
      </c>
      <c r="B469" s="4">
        <v>40564</v>
      </c>
      <c r="C469" s="2">
        <v>1</v>
      </c>
      <c r="D469" s="2">
        <v>0</v>
      </c>
      <c r="E469" s="2">
        <v>1</v>
      </c>
      <c r="F469" s="2" t="s">
        <v>18</v>
      </c>
      <c r="G469" s="2">
        <v>11</v>
      </c>
      <c r="H469" s="2" t="b">
        <v>0</v>
      </c>
      <c r="I469" s="2">
        <v>5</v>
      </c>
      <c r="J469" s="2" t="s">
        <v>28</v>
      </c>
      <c r="K469" s="2">
        <v>1</v>
      </c>
      <c r="L469" s="2">
        <v>0.22</v>
      </c>
      <c r="M469" s="2">
        <v>0.18179999999999999</v>
      </c>
      <c r="N469" s="2">
        <v>0.41</v>
      </c>
      <c r="O469" s="2">
        <v>0.4627</v>
      </c>
      <c r="P469" s="2">
        <v>6</v>
      </c>
      <c r="Q469" s="2">
        <v>53</v>
      </c>
      <c r="R469" s="2">
        <v>59</v>
      </c>
    </row>
    <row r="470" spans="1:18" x14ac:dyDescent="0.3">
      <c r="A470" s="2">
        <v>468</v>
      </c>
      <c r="B470" s="4">
        <v>40564</v>
      </c>
      <c r="C470" s="2">
        <v>1</v>
      </c>
      <c r="D470" s="2">
        <v>0</v>
      </c>
      <c r="E470" s="2">
        <v>1</v>
      </c>
      <c r="F470" s="2" t="s">
        <v>18</v>
      </c>
      <c r="G470" s="2">
        <v>12</v>
      </c>
      <c r="H470" s="2" t="b">
        <v>0</v>
      </c>
      <c r="I470" s="2">
        <v>5</v>
      </c>
      <c r="J470" s="2" t="s">
        <v>28</v>
      </c>
      <c r="K470" s="2">
        <v>1</v>
      </c>
      <c r="L470" s="2">
        <v>0.22</v>
      </c>
      <c r="M470" s="2">
        <v>0.18179999999999999</v>
      </c>
      <c r="N470" s="2">
        <v>0.27</v>
      </c>
      <c r="O470" s="2">
        <v>0.58209999999999995</v>
      </c>
      <c r="P470" s="2">
        <v>11</v>
      </c>
      <c r="Q470" s="2">
        <v>67</v>
      </c>
      <c r="R470" s="2">
        <v>78</v>
      </c>
    </row>
    <row r="471" spans="1:18" x14ac:dyDescent="0.3">
      <c r="A471" s="2">
        <v>469</v>
      </c>
      <c r="B471" s="4">
        <v>40564</v>
      </c>
      <c r="C471" s="2">
        <v>1</v>
      </c>
      <c r="D471" s="2">
        <v>0</v>
      </c>
      <c r="E471" s="2">
        <v>1</v>
      </c>
      <c r="F471" s="2" t="s">
        <v>18</v>
      </c>
      <c r="G471" s="2">
        <v>13</v>
      </c>
      <c r="H471" s="2" t="b">
        <v>0</v>
      </c>
      <c r="I471" s="2">
        <v>5</v>
      </c>
      <c r="J471" s="2" t="s">
        <v>28</v>
      </c>
      <c r="K471" s="2">
        <v>1</v>
      </c>
      <c r="L471" s="2">
        <v>0.2</v>
      </c>
      <c r="M471" s="2">
        <v>0.1515</v>
      </c>
      <c r="N471" s="2">
        <v>0.21</v>
      </c>
      <c r="O471" s="2">
        <v>0.58209999999999995</v>
      </c>
      <c r="P471" s="2">
        <v>8</v>
      </c>
      <c r="Q471" s="2">
        <v>65</v>
      </c>
      <c r="R471" s="2">
        <v>73</v>
      </c>
    </row>
    <row r="472" spans="1:18" x14ac:dyDescent="0.3">
      <c r="A472" s="2">
        <v>470</v>
      </c>
      <c r="B472" s="4">
        <v>40564</v>
      </c>
      <c r="C472" s="2">
        <v>1</v>
      </c>
      <c r="D472" s="2">
        <v>0</v>
      </c>
      <c r="E472" s="2">
        <v>1</v>
      </c>
      <c r="F472" s="2" t="s">
        <v>18</v>
      </c>
      <c r="G472" s="2">
        <v>14</v>
      </c>
      <c r="H472" s="2" t="b">
        <v>0</v>
      </c>
      <c r="I472" s="2">
        <v>5</v>
      </c>
      <c r="J472" s="2" t="s">
        <v>28</v>
      </c>
      <c r="K472" s="2">
        <v>1</v>
      </c>
      <c r="L472" s="2">
        <v>0.2</v>
      </c>
      <c r="M472" s="2">
        <v>0.1515</v>
      </c>
      <c r="N472" s="2">
        <v>0.25</v>
      </c>
      <c r="O472" s="2">
        <v>0.52239999999999998</v>
      </c>
      <c r="P472" s="2">
        <v>6</v>
      </c>
      <c r="Q472" s="2">
        <v>56</v>
      </c>
      <c r="R472" s="2">
        <v>62</v>
      </c>
    </row>
    <row r="473" spans="1:18" x14ac:dyDescent="0.3">
      <c r="A473" s="2">
        <v>471</v>
      </c>
      <c r="B473" s="4">
        <v>40564</v>
      </c>
      <c r="C473" s="2">
        <v>1</v>
      </c>
      <c r="D473" s="2">
        <v>0</v>
      </c>
      <c r="E473" s="2">
        <v>1</v>
      </c>
      <c r="F473" s="2" t="s">
        <v>18</v>
      </c>
      <c r="G473" s="2">
        <v>15</v>
      </c>
      <c r="H473" s="2" t="b">
        <v>0</v>
      </c>
      <c r="I473" s="2">
        <v>5</v>
      </c>
      <c r="J473" s="2" t="s">
        <v>28</v>
      </c>
      <c r="K473" s="2">
        <v>1</v>
      </c>
      <c r="L473" s="2">
        <v>0.16</v>
      </c>
      <c r="M473" s="2">
        <v>0.1212</v>
      </c>
      <c r="N473" s="2">
        <v>0.26</v>
      </c>
      <c r="O473" s="2">
        <v>0.44779999999999998</v>
      </c>
      <c r="P473" s="2">
        <v>4</v>
      </c>
      <c r="Q473" s="2">
        <v>61</v>
      </c>
      <c r="R473" s="2">
        <v>65</v>
      </c>
    </row>
    <row r="474" spans="1:18" x14ac:dyDescent="0.3">
      <c r="A474" s="2">
        <v>472</v>
      </c>
      <c r="B474" s="4">
        <v>40564</v>
      </c>
      <c r="C474" s="2">
        <v>1</v>
      </c>
      <c r="D474" s="2">
        <v>0</v>
      </c>
      <c r="E474" s="2">
        <v>1</v>
      </c>
      <c r="F474" s="2" t="s">
        <v>18</v>
      </c>
      <c r="G474" s="2">
        <v>16</v>
      </c>
      <c r="H474" s="2" t="b">
        <v>0</v>
      </c>
      <c r="I474" s="2">
        <v>5</v>
      </c>
      <c r="J474" s="2" t="s">
        <v>28</v>
      </c>
      <c r="K474" s="2">
        <v>1</v>
      </c>
      <c r="L474" s="2">
        <v>0.16</v>
      </c>
      <c r="M474" s="2">
        <v>0.13639999999999999</v>
      </c>
      <c r="N474" s="2">
        <v>0.26</v>
      </c>
      <c r="O474" s="2">
        <v>0.35820000000000002</v>
      </c>
      <c r="P474" s="2">
        <v>0</v>
      </c>
      <c r="Q474" s="2">
        <v>97</v>
      </c>
      <c r="R474" s="2">
        <v>97</v>
      </c>
    </row>
    <row r="475" spans="1:18" x14ac:dyDescent="0.3">
      <c r="A475" s="2">
        <v>473</v>
      </c>
      <c r="B475" s="4">
        <v>40564</v>
      </c>
      <c r="C475" s="2">
        <v>1</v>
      </c>
      <c r="D475" s="2">
        <v>0</v>
      </c>
      <c r="E475" s="2">
        <v>1</v>
      </c>
      <c r="F475" s="2" t="s">
        <v>18</v>
      </c>
      <c r="G475" s="2">
        <v>17</v>
      </c>
      <c r="H475" s="2" t="b">
        <v>0</v>
      </c>
      <c r="I475" s="2">
        <v>5</v>
      </c>
      <c r="J475" s="2" t="s">
        <v>28</v>
      </c>
      <c r="K475" s="2">
        <v>1</v>
      </c>
      <c r="L475" s="2">
        <v>0.14000000000000001</v>
      </c>
      <c r="M475" s="2">
        <v>0.1212</v>
      </c>
      <c r="N475" s="2">
        <v>0.28000000000000003</v>
      </c>
      <c r="O475" s="2">
        <v>0.35820000000000002</v>
      </c>
      <c r="P475" s="2">
        <v>10</v>
      </c>
      <c r="Q475" s="2">
        <v>151</v>
      </c>
      <c r="R475" s="2">
        <v>161</v>
      </c>
    </row>
    <row r="476" spans="1:18" x14ac:dyDescent="0.3">
      <c r="A476" s="2">
        <v>474</v>
      </c>
      <c r="B476" s="4">
        <v>40564</v>
      </c>
      <c r="C476" s="2">
        <v>1</v>
      </c>
      <c r="D476" s="2">
        <v>0</v>
      </c>
      <c r="E476" s="2">
        <v>1</v>
      </c>
      <c r="F476" s="2" t="s">
        <v>18</v>
      </c>
      <c r="G476" s="2">
        <v>18</v>
      </c>
      <c r="H476" s="2" t="b">
        <v>0</v>
      </c>
      <c r="I476" s="2">
        <v>5</v>
      </c>
      <c r="J476" s="2" t="s">
        <v>28</v>
      </c>
      <c r="K476" s="2">
        <v>1</v>
      </c>
      <c r="L476" s="2">
        <v>0.12</v>
      </c>
      <c r="M476" s="2">
        <v>0.1212</v>
      </c>
      <c r="N476" s="2">
        <v>0.3</v>
      </c>
      <c r="O476" s="2">
        <v>0.25369999999999998</v>
      </c>
      <c r="P476" s="2">
        <v>1</v>
      </c>
      <c r="Q476" s="2">
        <v>119</v>
      </c>
      <c r="R476" s="2">
        <v>120</v>
      </c>
    </row>
    <row r="477" spans="1:18" x14ac:dyDescent="0.3">
      <c r="A477" s="2">
        <v>475</v>
      </c>
      <c r="B477" s="4">
        <v>40564</v>
      </c>
      <c r="C477" s="2">
        <v>1</v>
      </c>
      <c r="D477" s="2">
        <v>0</v>
      </c>
      <c r="E477" s="2">
        <v>1</v>
      </c>
      <c r="F477" s="2" t="s">
        <v>18</v>
      </c>
      <c r="G477" s="2">
        <v>19</v>
      </c>
      <c r="H477" s="2" t="b">
        <v>0</v>
      </c>
      <c r="I477" s="2">
        <v>5</v>
      </c>
      <c r="J477" s="2" t="s">
        <v>28</v>
      </c>
      <c r="K477" s="2">
        <v>1</v>
      </c>
      <c r="L477" s="2">
        <v>0.12</v>
      </c>
      <c r="M477" s="2">
        <v>0.1061</v>
      </c>
      <c r="N477" s="2">
        <v>0.3</v>
      </c>
      <c r="O477" s="2">
        <v>0.32840000000000003</v>
      </c>
      <c r="P477" s="2">
        <v>3</v>
      </c>
      <c r="Q477" s="2">
        <v>93</v>
      </c>
      <c r="R477" s="2">
        <v>96</v>
      </c>
    </row>
    <row r="478" spans="1:18" x14ac:dyDescent="0.3">
      <c r="A478" s="2">
        <v>476</v>
      </c>
      <c r="B478" s="4">
        <v>40564</v>
      </c>
      <c r="C478" s="2">
        <v>1</v>
      </c>
      <c r="D478" s="2">
        <v>0</v>
      </c>
      <c r="E478" s="2">
        <v>1</v>
      </c>
      <c r="F478" s="2" t="s">
        <v>18</v>
      </c>
      <c r="G478" s="2">
        <v>20</v>
      </c>
      <c r="H478" s="2" t="b">
        <v>0</v>
      </c>
      <c r="I478" s="2">
        <v>5</v>
      </c>
      <c r="J478" s="2" t="s">
        <v>28</v>
      </c>
      <c r="K478" s="2">
        <v>1</v>
      </c>
      <c r="L478" s="2">
        <v>0.1</v>
      </c>
      <c r="M478" s="2">
        <v>7.5800000000000006E-2</v>
      </c>
      <c r="N478" s="2">
        <v>0.33</v>
      </c>
      <c r="O478" s="2">
        <v>0.41789999999999999</v>
      </c>
      <c r="P478" s="2">
        <v>1</v>
      </c>
      <c r="Q478" s="2">
        <v>52</v>
      </c>
      <c r="R478" s="2">
        <v>53</v>
      </c>
    </row>
    <row r="479" spans="1:18" x14ac:dyDescent="0.3">
      <c r="A479" s="2">
        <v>477</v>
      </c>
      <c r="B479" s="4">
        <v>40564</v>
      </c>
      <c r="C479" s="2">
        <v>1</v>
      </c>
      <c r="D479" s="2">
        <v>0</v>
      </c>
      <c r="E479" s="2">
        <v>1</v>
      </c>
      <c r="F479" s="2" t="s">
        <v>18</v>
      </c>
      <c r="G479" s="2">
        <v>21</v>
      </c>
      <c r="H479" s="2" t="b">
        <v>0</v>
      </c>
      <c r="I479" s="2">
        <v>5</v>
      </c>
      <c r="J479" s="2" t="s">
        <v>28</v>
      </c>
      <c r="K479" s="2">
        <v>1</v>
      </c>
      <c r="L479" s="2">
        <v>0.08</v>
      </c>
      <c r="M479" s="2">
        <v>7.5800000000000006E-2</v>
      </c>
      <c r="N479" s="2">
        <v>0.38</v>
      </c>
      <c r="O479" s="2">
        <v>0.28360000000000002</v>
      </c>
      <c r="P479" s="2">
        <v>0</v>
      </c>
      <c r="Q479" s="2">
        <v>41</v>
      </c>
      <c r="R479" s="2">
        <v>41</v>
      </c>
    </row>
    <row r="480" spans="1:18" x14ac:dyDescent="0.3">
      <c r="A480" s="2">
        <v>478</v>
      </c>
      <c r="B480" s="4">
        <v>40564</v>
      </c>
      <c r="C480" s="2">
        <v>1</v>
      </c>
      <c r="D480" s="2">
        <v>0</v>
      </c>
      <c r="E480" s="2">
        <v>1</v>
      </c>
      <c r="F480" s="2" t="s">
        <v>18</v>
      </c>
      <c r="G480" s="2">
        <v>22</v>
      </c>
      <c r="H480" s="2" t="b">
        <v>0</v>
      </c>
      <c r="I480" s="2">
        <v>5</v>
      </c>
      <c r="J480" s="2" t="s">
        <v>28</v>
      </c>
      <c r="K480" s="2">
        <v>1</v>
      </c>
      <c r="L480" s="2">
        <v>0.06</v>
      </c>
      <c r="M480" s="2">
        <v>3.0300000000000001E-2</v>
      </c>
      <c r="N480" s="2">
        <v>0.41</v>
      </c>
      <c r="O480" s="2">
        <v>0.3881</v>
      </c>
      <c r="P480" s="2">
        <v>1</v>
      </c>
      <c r="Q480" s="2">
        <v>33</v>
      </c>
      <c r="R480" s="2">
        <v>34</v>
      </c>
    </row>
    <row r="481" spans="1:18" x14ac:dyDescent="0.3">
      <c r="A481" s="2">
        <v>479</v>
      </c>
      <c r="B481" s="4">
        <v>40564</v>
      </c>
      <c r="C481" s="2">
        <v>1</v>
      </c>
      <c r="D481" s="2">
        <v>0</v>
      </c>
      <c r="E481" s="2">
        <v>1</v>
      </c>
      <c r="F481" s="2" t="s">
        <v>18</v>
      </c>
      <c r="G481" s="2">
        <v>23</v>
      </c>
      <c r="H481" s="2" t="b">
        <v>0</v>
      </c>
      <c r="I481" s="2">
        <v>5</v>
      </c>
      <c r="J481" s="2" t="s">
        <v>28</v>
      </c>
      <c r="K481" s="2">
        <v>1</v>
      </c>
      <c r="L481" s="2">
        <v>0.06</v>
      </c>
      <c r="M481" s="2">
        <v>4.5499999999999999E-2</v>
      </c>
      <c r="N481" s="2">
        <v>0.38</v>
      </c>
      <c r="O481" s="2">
        <v>0.32840000000000003</v>
      </c>
      <c r="P481" s="2">
        <v>0</v>
      </c>
      <c r="Q481" s="2">
        <v>27</v>
      </c>
      <c r="R481" s="2">
        <v>27</v>
      </c>
    </row>
    <row r="482" spans="1:18" x14ac:dyDescent="0.3">
      <c r="A482" s="2">
        <v>480</v>
      </c>
      <c r="B482" s="4">
        <v>40565</v>
      </c>
      <c r="C482" s="2">
        <v>1</v>
      </c>
      <c r="D482" s="2">
        <v>0</v>
      </c>
      <c r="E482" s="2">
        <v>1</v>
      </c>
      <c r="F482" s="2" t="s">
        <v>18</v>
      </c>
      <c r="G482" s="2">
        <v>0</v>
      </c>
      <c r="H482" s="2" t="b">
        <v>0</v>
      </c>
      <c r="I482" s="2">
        <v>6</v>
      </c>
      <c r="J482" s="2" t="s">
        <v>28</v>
      </c>
      <c r="K482" s="2">
        <v>1</v>
      </c>
      <c r="L482" s="2">
        <v>0.04</v>
      </c>
      <c r="M482" s="2">
        <v>3.0300000000000001E-2</v>
      </c>
      <c r="N482" s="2">
        <v>0.45</v>
      </c>
      <c r="O482" s="2">
        <v>0.25369999999999998</v>
      </c>
      <c r="P482" s="2">
        <v>0</v>
      </c>
      <c r="Q482" s="2">
        <v>13</v>
      </c>
      <c r="R482" s="2">
        <v>13</v>
      </c>
    </row>
    <row r="483" spans="1:18" x14ac:dyDescent="0.3">
      <c r="A483" s="2">
        <v>481</v>
      </c>
      <c r="B483" s="4">
        <v>40565</v>
      </c>
      <c r="C483" s="2">
        <v>1</v>
      </c>
      <c r="D483" s="2">
        <v>0</v>
      </c>
      <c r="E483" s="2">
        <v>1</v>
      </c>
      <c r="F483" s="2" t="s">
        <v>18</v>
      </c>
      <c r="G483" s="2">
        <v>1</v>
      </c>
      <c r="H483" s="2" t="b">
        <v>0</v>
      </c>
      <c r="I483" s="2">
        <v>6</v>
      </c>
      <c r="J483" s="2" t="s">
        <v>28</v>
      </c>
      <c r="K483" s="2">
        <v>2</v>
      </c>
      <c r="L483" s="2">
        <v>0.04</v>
      </c>
      <c r="M483" s="2">
        <v>0</v>
      </c>
      <c r="N483" s="2">
        <v>0.41</v>
      </c>
      <c r="O483" s="2">
        <v>0.3881</v>
      </c>
      <c r="P483" s="2">
        <v>3</v>
      </c>
      <c r="Q483" s="2">
        <v>9</v>
      </c>
      <c r="R483" s="2">
        <v>12</v>
      </c>
    </row>
    <row r="484" spans="1:18" x14ac:dyDescent="0.3">
      <c r="A484" s="2">
        <v>482</v>
      </c>
      <c r="B484" s="4">
        <v>40565</v>
      </c>
      <c r="C484" s="2">
        <v>1</v>
      </c>
      <c r="D484" s="2">
        <v>0</v>
      </c>
      <c r="E484" s="2">
        <v>1</v>
      </c>
      <c r="F484" s="2" t="s">
        <v>18</v>
      </c>
      <c r="G484" s="2">
        <v>2</v>
      </c>
      <c r="H484" s="2" t="b">
        <v>0</v>
      </c>
      <c r="I484" s="2">
        <v>6</v>
      </c>
      <c r="J484" s="2" t="s">
        <v>28</v>
      </c>
      <c r="K484" s="2">
        <v>2</v>
      </c>
      <c r="L484" s="2">
        <v>0.04</v>
      </c>
      <c r="M484" s="2">
        <v>3.0300000000000001E-2</v>
      </c>
      <c r="N484" s="2">
        <v>0.41</v>
      </c>
      <c r="O484" s="2">
        <v>0.25369999999999998</v>
      </c>
      <c r="P484" s="2">
        <v>0</v>
      </c>
      <c r="Q484" s="2">
        <v>11</v>
      </c>
      <c r="R484" s="2">
        <v>11</v>
      </c>
    </row>
    <row r="485" spans="1:18" x14ac:dyDescent="0.3">
      <c r="A485" s="2">
        <v>483</v>
      </c>
      <c r="B485" s="4">
        <v>40565</v>
      </c>
      <c r="C485" s="2">
        <v>1</v>
      </c>
      <c r="D485" s="2">
        <v>0</v>
      </c>
      <c r="E485" s="2">
        <v>1</v>
      </c>
      <c r="F485" s="2" t="s">
        <v>18</v>
      </c>
      <c r="G485" s="2">
        <v>3</v>
      </c>
      <c r="H485" s="2" t="b">
        <v>0</v>
      </c>
      <c r="I485" s="2">
        <v>6</v>
      </c>
      <c r="J485" s="2" t="s">
        <v>28</v>
      </c>
      <c r="K485" s="2">
        <v>2</v>
      </c>
      <c r="L485" s="2">
        <v>0.04</v>
      </c>
      <c r="M485" s="2">
        <v>3.0300000000000001E-2</v>
      </c>
      <c r="N485" s="2">
        <v>0.41</v>
      </c>
      <c r="O485" s="2">
        <v>0.28360000000000002</v>
      </c>
      <c r="P485" s="2">
        <v>1</v>
      </c>
      <c r="Q485" s="2">
        <v>6</v>
      </c>
      <c r="R485" s="2">
        <v>7</v>
      </c>
    </row>
    <row r="486" spans="1:18" x14ac:dyDescent="0.3">
      <c r="A486" s="2">
        <v>484</v>
      </c>
      <c r="B486" s="4">
        <v>40565</v>
      </c>
      <c r="C486" s="2">
        <v>1</v>
      </c>
      <c r="D486" s="2">
        <v>0</v>
      </c>
      <c r="E486" s="2">
        <v>1</v>
      </c>
      <c r="F486" s="2" t="s">
        <v>18</v>
      </c>
      <c r="G486" s="2">
        <v>4</v>
      </c>
      <c r="H486" s="2" t="b">
        <v>0</v>
      </c>
      <c r="I486" s="2">
        <v>6</v>
      </c>
      <c r="J486" s="2" t="s">
        <v>19</v>
      </c>
      <c r="K486" s="2">
        <v>2</v>
      </c>
      <c r="L486" s="2">
        <v>0.02</v>
      </c>
      <c r="M486" s="2">
        <v>1.52E-2</v>
      </c>
      <c r="N486" s="2">
        <v>0.48</v>
      </c>
      <c r="O486" s="2">
        <v>0.29849999999999999</v>
      </c>
      <c r="P486" s="2">
        <v>0</v>
      </c>
      <c r="Q486" s="2">
        <v>3</v>
      </c>
      <c r="R486" s="2">
        <v>3</v>
      </c>
    </row>
    <row r="487" spans="1:18" x14ac:dyDescent="0.3">
      <c r="A487" s="2">
        <v>485</v>
      </c>
      <c r="B487" s="4">
        <v>40565</v>
      </c>
      <c r="C487" s="2">
        <v>1</v>
      </c>
      <c r="D487" s="2">
        <v>0</v>
      </c>
      <c r="E487" s="2">
        <v>1</v>
      </c>
      <c r="F487" s="2" t="s">
        <v>18</v>
      </c>
      <c r="G487" s="2">
        <v>6</v>
      </c>
      <c r="H487" s="2" t="b">
        <v>0</v>
      </c>
      <c r="I487" s="2">
        <v>6</v>
      </c>
      <c r="J487" s="2" t="s">
        <v>19</v>
      </c>
      <c r="K487" s="2">
        <v>2</v>
      </c>
      <c r="L487" s="2">
        <v>0.02</v>
      </c>
      <c r="M487" s="2">
        <v>3.0300000000000001E-2</v>
      </c>
      <c r="N487" s="2">
        <v>0.44</v>
      </c>
      <c r="O487" s="2">
        <v>0.22389999999999999</v>
      </c>
      <c r="P487" s="2">
        <v>0</v>
      </c>
      <c r="Q487" s="2">
        <v>2</v>
      </c>
      <c r="R487" s="2">
        <v>2</v>
      </c>
    </row>
    <row r="488" spans="1:18" x14ac:dyDescent="0.3">
      <c r="A488" s="2">
        <v>486</v>
      </c>
      <c r="B488" s="4">
        <v>40565</v>
      </c>
      <c r="C488" s="2">
        <v>1</v>
      </c>
      <c r="D488" s="2">
        <v>0</v>
      </c>
      <c r="E488" s="2">
        <v>1</v>
      </c>
      <c r="F488" s="2" t="s">
        <v>18</v>
      </c>
      <c r="G488" s="2">
        <v>7</v>
      </c>
      <c r="H488" s="2" t="b">
        <v>0</v>
      </c>
      <c r="I488" s="2">
        <v>6</v>
      </c>
      <c r="J488" s="2" t="s">
        <v>19</v>
      </c>
      <c r="K488" s="2">
        <v>1</v>
      </c>
      <c r="L488" s="2">
        <v>0.02</v>
      </c>
      <c r="M488" s="2">
        <v>1.52E-2</v>
      </c>
      <c r="N488" s="2">
        <v>0.44</v>
      </c>
      <c r="O488" s="2">
        <v>0.28360000000000002</v>
      </c>
      <c r="P488" s="2">
        <v>0</v>
      </c>
      <c r="Q488" s="2">
        <v>8</v>
      </c>
      <c r="R488" s="2">
        <v>8</v>
      </c>
    </row>
    <row r="489" spans="1:18" x14ac:dyDescent="0.3">
      <c r="A489" s="2">
        <v>487</v>
      </c>
      <c r="B489" s="4">
        <v>40565</v>
      </c>
      <c r="C489" s="2">
        <v>1</v>
      </c>
      <c r="D489" s="2">
        <v>0</v>
      </c>
      <c r="E489" s="2">
        <v>1</v>
      </c>
      <c r="F489" s="2" t="s">
        <v>18</v>
      </c>
      <c r="G489" s="2">
        <v>8</v>
      </c>
      <c r="H489" s="2" t="b">
        <v>0</v>
      </c>
      <c r="I489" s="2">
        <v>6</v>
      </c>
      <c r="J489" s="2" t="s">
        <v>19</v>
      </c>
      <c r="K489" s="2">
        <v>1</v>
      </c>
      <c r="L489" s="2">
        <v>0.02</v>
      </c>
      <c r="M489" s="2">
        <v>0</v>
      </c>
      <c r="N489" s="2">
        <v>0.44</v>
      </c>
      <c r="O489" s="2">
        <v>0.32840000000000003</v>
      </c>
      <c r="P489" s="2">
        <v>1</v>
      </c>
      <c r="Q489" s="2">
        <v>26</v>
      </c>
      <c r="R489" s="2">
        <v>27</v>
      </c>
    </row>
    <row r="490" spans="1:18" x14ac:dyDescent="0.3">
      <c r="A490" s="2">
        <v>488</v>
      </c>
      <c r="B490" s="4">
        <v>40565</v>
      </c>
      <c r="C490" s="2">
        <v>1</v>
      </c>
      <c r="D490" s="2">
        <v>0</v>
      </c>
      <c r="E490" s="2">
        <v>1</v>
      </c>
      <c r="F490" s="2" t="s">
        <v>18</v>
      </c>
      <c r="G490" s="2">
        <v>9</v>
      </c>
      <c r="H490" s="2" t="b">
        <v>0</v>
      </c>
      <c r="I490" s="2">
        <v>6</v>
      </c>
      <c r="J490" s="2" t="s">
        <v>19</v>
      </c>
      <c r="K490" s="2">
        <v>1</v>
      </c>
      <c r="L490" s="2">
        <v>0.04</v>
      </c>
      <c r="M490" s="2">
        <v>3.0300000000000001E-2</v>
      </c>
      <c r="N490" s="2">
        <v>0.41</v>
      </c>
      <c r="O490" s="2">
        <v>0.25369999999999998</v>
      </c>
      <c r="P490" s="2">
        <v>3</v>
      </c>
      <c r="Q490" s="2">
        <v>37</v>
      </c>
      <c r="R490" s="2">
        <v>40</v>
      </c>
    </row>
    <row r="491" spans="1:18" x14ac:dyDescent="0.3">
      <c r="A491" s="2">
        <v>489</v>
      </c>
      <c r="B491" s="4">
        <v>40565</v>
      </c>
      <c r="C491" s="2">
        <v>1</v>
      </c>
      <c r="D491" s="2">
        <v>0</v>
      </c>
      <c r="E491" s="2">
        <v>1</v>
      </c>
      <c r="F491" s="2" t="s">
        <v>18</v>
      </c>
      <c r="G491" s="2">
        <v>10</v>
      </c>
      <c r="H491" s="2" t="b">
        <v>0</v>
      </c>
      <c r="I491" s="2">
        <v>6</v>
      </c>
      <c r="J491" s="2" t="s">
        <v>19</v>
      </c>
      <c r="K491" s="2">
        <v>2</v>
      </c>
      <c r="L491" s="2">
        <v>0.04</v>
      </c>
      <c r="M491" s="2">
        <v>6.0600000000000001E-2</v>
      </c>
      <c r="N491" s="2">
        <v>0.41</v>
      </c>
      <c r="O491" s="2">
        <v>0.16420000000000001</v>
      </c>
      <c r="P491" s="2">
        <v>3</v>
      </c>
      <c r="Q491" s="2">
        <v>50</v>
      </c>
      <c r="R491" s="2">
        <v>53</v>
      </c>
    </row>
    <row r="492" spans="1:18" x14ac:dyDescent="0.3">
      <c r="A492" s="2">
        <v>490</v>
      </c>
      <c r="B492" s="4">
        <v>40565</v>
      </c>
      <c r="C492" s="2">
        <v>1</v>
      </c>
      <c r="D492" s="2">
        <v>0</v>
      </c>
      <c r="E492" s="2">
        <v>1</v>
      </c>
      <c r="F492" s="2" t="s">
        <v>18</v>
      </c>
      <c r="G492" s="2">
        <v>11</v>
      </c>
      <c r="H492" s="2" t="b">
        <v>0</v>
      </c>
      <c r="I492" s="2">
        <v>6</v>
      </c>
      <c r="J492" s="2" t="s">
        <v>19</v>
      </c>
      <c r="K492" s="2">
        <v>2</v>
      </c>
      <c r="L492" s="2">
        <v>0.06</v>
      </c>
      <c r="M492" s="2">
        <v>7.5800000000000006E-2</v>
      </c>
      <c r="N492" s="2">
        <v>0.38</v>
      </c>
      <c r="O492" s="2">
        <v>0.1343</v>
      </c>
      <c r="P492" s="2">
        <v>4</v>
      </c>
      <c r="Q492" s="2">
        <v>59</v>
      </c>
      <c r="R492" s="2">
        <v>63</v>
      </c>
    </row>
    <row r="493" spans="1:18" x14ac:dyDescent="0.3">
      <c r="A493" s="2">
        <v>491</v>
      </c>
      <c r="B493" s="4">
        <v>40565</v>
      </c>
      <c r="C493" s="2">
        <v>1</v>
      </c>
      <c r="D493" s="2">
        <v>0</v>
      </c>
      <c r="E493" s="2">
        <v>1</v>
      </c>
      <c r="F493" s="2" t="s">
        <v>18</v>
      </c>
      <c r="G493" s="2">
        <v>12</v>
      </c>
      <c r="H493" s="2" t="b">
        <v>0</v>
      </c>
      <c r="I493" s="2">
        <v>6</v>
      </c>
      <c r="J493" s="2" t="s">
        <v>19</v>
      </c>
      <c r="K493" s="2">
        <v>2</v>
      </c>
      <c r="L493" s="2">
        <v>0.06</v>
      </c>
      <c r="M493" s="2">
        <v>0.1061</v>
      </c>
      <c r="N493" s="2">
        <v>0.38</v>
      </c>
      <c r="O493" s="2">
        <v>0.1045</v>
      </c>
      <c r="P493" s="2">
        <v>10</v>
      </c>
      <c r="Q493" s="2">
        <v>60</v>
      </c>
      <c r="R493" s="2">
        <v>70</v>
      </c>
    </row>
    <row r="494" spans="1:18" x14ac:dyDescent="0.3">
      <c r="A494" s="2">
        <v>492</v>
      </c>
      <c r="B494" s="4">
        <v>40565</v>
      </c>
      <c r="C494" s="2">
        <v>1</v>
      </c>
      <c r="D494" s="2">
        <v>0</v>
      </c>
      <c r="E494" s="2">
        <v>1</v>
      </c>
      <c r="F494" s="2" t="s">
        <v>18</v>
      </c>
      <c r="G494" s="2">
        <v>13</v>
      </c>
      <c r="H494" s="2" t="b">
        <v>0</v>
      </c>
      <c r="I494" s="2">
        <v>6</v>
      </c>
      <c r="J494" s="2" t="s">
        <v>19</v>
      </c>
      <c r="K494" s="2">
        <v>1</v>
      </c>
      <c r="L494" s="2">
        <v>0.08</v>
      </c>
      <c r="M494" s="2">
        <v>0.16669999999999999</v>
      </c>
      <c r="N494" s="2">
        <v>0.35</v>
      </c>
      <c r="O494" s="2">
        <v>0</v>
      </c>
      <c r="P494" s="2">
        <v>12</v>
      </c>
      <c r="Q494" s="2">
        <v>72</v>
      </c>
      <c r="R494" s="2">
        <v>84</v>
      </c>
    </row>
    <row r="495" spans="1:18" x14ac:dyDescent="0.3">
      <c r="A495" s="2">
        <v>493</v>
      </c>
      <c r="B495" s="4">
        <v>40565</v>
      </c>
      <c r="C495" s="2">
        <v>1</v>
      </c>
      <c r="D495" s="2">
        <v>0</v>
      </c>
      <c r="E495" s="2">
        <v>1</v>
      </c>
      <c r="F495" s="2" t="s">
        <v>18</v>
      </c>
      <c r="G495" s="2">
        <v>14</v>
      </c>
      <c r="H495" s="2" t="b">
        <v>0</v>
      </c>
      <c r="I495" s="2">
        <v>6</v>
      </c>
      <c r="J495" s="2" t="s">
        <v>19</v>
      </c>
      <c r="K495" s="2">
        <v>1</v>
      </c>
      <c r="L495" s="2">
        <v>0.1</v>
      </c>
      <c r="M495" s="2">
        <v>0.13639999999999999</v>
      </c>
      <c r="N495" s="2">
        <v>0.33</v>
      </c>
      <c r="O495" s="2">
        <v>0.1045</v>
      </c>
      <c r="P495" s="2">
        <v>11</v>
      </c>
      <c r="Q495" s="2">
        <v>64</v>
      </c>
      <c r="R495" s="2">
        <v>75</v>
      </c>
    </row>
    <row r="496" spans="1:18" x14ac:dyDescent="0.3">
      <c r="A496" s="2">
        <v>494</v>
      </c>
      <c r="B496" s="4">
        <v>40565</v>
      </c>
      <c r="C496" s="2">
        <v>1</v>
      </c>
      <c r="D496" s="2">
        <v>0</v>
      </c>
      <c r="E496" s="2">
        <v>1</v>
      </c>
      <c r="F496" s="2" t="s">
        <v>18</v>
      </c>
      <c r="G496" s="2">
        <v>15</v>
      </c>
      <c r="H496" s="2" t="b">
        <v>0</v>
      </c>
      <c r="I496" s="2">
        <v>6</v>
      </c>
      <c r="J496" s="2" t="s">
        <v>19</v>
      </c>
      <c r="K496" s="2">
        <v>1</v>
      </c>
      <c r="L496" s="2">
        <v>0.12</v>
      </c>
      <c r="M496" s="2">
        <v>0.1515</v>
      </c>
      <c r="N496" s="2">
        <v>0.28000000000000003</v>
      </c>
      <c r="O496" s="2">
        <v>0</v>
      </c>
      <c r="P496" s="2">
        <v>10</v>
      </c>
      <c r="Q496" s="2">
        <v>93</v>
      </c>
      <c r="R496" s="2">
        <v>103</v>
      </c>
    </row>
    <row r="497" spans="1:18" x14ac:dyDescent="0.3">
      <c r="A497" s="2">
        <v>495</v>
      </c>
      <c r="B497" s="4">
        <v>40565</v>
      </c>
      <c r="C497" s="2">
        <v>1</v>
      </c>
      <c r="D497" s="2">
        <v>0</v>
      </c>
      <c r="E497" s="2">
        <v>1</v>
      </c>
      <c r="F497" s="2" t="s">
        <v>18</v>
      </c>
      <c r="G497" s="2">
        <v>16</v>
      </c>
      <c r="H497" s="2" t="b">
        <v>0</v>
      </c>
      <c r="I497" s="2">
        <v>6</v>
      </c>
      <c r="J497" s="2" t="s">
        <v>19</v>
      </c>
      <c r="K497" s="2">
        <v>1</v>
      </c>
      <c r="L497" s="2">
        <v>0.12</v>
      </c>
      <c r="M497" s="2">
        <v>0.13639999999999999</v>
      </c>
      <c r="N497" s="2">
        <v>0.28000000000000003</v>
      </c>
      <c r="O497" s="2">
        <v>0.19400000000000001</v>
      </c>
      <c r="P497" s="2">
        <v>11</v>
      </c>
      <c r="Q497" s="2">
        <v>72</v>
      </c>
      <c r="R497" s="2">
        <v>83</v>
      </c>
    </row>
    <row r="498" spans="1:18" x14ac:dyDescent="0.3">
      <c r="A498" s="2">
        <v>496</v>
      </c>
      <c r="B498" s="4">
        <v>40565</v>
      </c>
      <c r="C498" s="2">
        <v>1</v>
      </c>
      <c r="D498" s="2">
        <v>0</v>
      </c>
      <c r="E498" s="2">
        <v>1</v>
      </c>
      <c r="F498" s="2" t="s">
        <v>18</v>
      </c>
      <c r="G498" s="2">
        <v>17</v>
      </c>
      <c r="H498" s="2" t="b">
        <v>0</v>
      </c>
      <c r="I498" s="2">
        <v>6</v>
      </c>
      <c r="J498" s="2" t="s">
        <v>19</v>
      </c>
      <c r="K498" s="2">
        <v>1</v>
      </c>
      <c r="L498" s="2">
        <v>0.12</v>
      </c>
      <c r="M498" s="2">
        <v>0.19700000000000001</v>
      </c>
      <c r="N498" s="2">
        <v>0.28000000000000003</v>
      </c>
      <c r="O498" s="2">
        <v>0</v>
      </c>
      <c r="P498" s="2">
        <v>8</v>
      </c>
      <c r="Q498" s="2">
        <v>59</v>
      </c>
      <c r="R498" s="2">
        <v>67</v>
      </c>
    </row>
    <row r="499" spans="1:18" x14ac:dyDescent="0.3">
      <c r="A499" s="2">
        <v>497</v>
      </c>
      <c r="B499" s="4">
        <v>40565</v>
      </c>
      <c r="C499" s="2">
        <v>1</v>
      </c>
      <c r="D499" s="2">
        <v>0</v>
      </c>
      <c r="E499" s="2">
        <v>1</v>
      </c>
      <c r="F499" s="2" t="s">
        <v>18</v>
      </c>
      <c r="G499" s="2">
        <v>18</v>
      </c>
      <c r="H499" s="2" t="b">
        <v>0</v>
      </c>
      <c r="I499" s="2">
        <v>6</v>
      </c>
      <c r="J499" s="2" t="s">
        <v>19</v>
      </c>
      <c r="K499" s="2">
        <v>1</v>
      </c>
      <c r="L499" s="2">
        <v>0.08</v>
      </c>
      <c r="M499" s="2">
        <v>9.0899999999999995E-2</v>
      </c>
      <c r="N499" s="2">
        <v>0.35</v>
      </c>
      <c r="O499" s="2">
        <v>0.19400000000000001</v>
      </c>
      <c r="P499" s="2">
        <v>0</v>
      </c>
      <c r="Q499" s="2">
        <v>54</v>
      </c>
      <c r="R499" s="2">
        <v>54</v>
      </c>
    </row>
    <row r="500" spans="1:18" x14ac:dyDescent="0.3">
      <c r="A500" s="2">
        <v>498</v>
      </c>
      <c r="B500" s="4">
        <v>40565</v>
      </c>
      <c r="C500" s="2">
        <v>1</v>
      </c>
      <c r="D500" s="2">
        <v>0</v>
      </c>
      <c r="E500" s="2">
        <v>1</v>
      </c>
      <c r="F500" s="2" t="s">
        <v>18</v>
      </c>
      <c r="G500" s="2">
        <v>19</v>
      </c>
      <c r="H500" s="2" t="b">
        <v>0</v>
      </c>
      <c r="I500" s="2">
        <v>6</v>
      </c>
      <c r="J500" s="2" t="s">
        <v>19</v>
      </c>
      <c r="K500" s="2">
        <v>1</v>
      </c>
      <c r="L500" s="2">
        <v>0.08</v>
      </c>
      <c r="M500" s="2">
        <v>0.1061</v>
      </c>
      <c r="N500" s="2">
        <v>0.35</v>
      </c>
      <c r="O500" s="2">
        <v>0.1343</v>
      </c>
      <c r="P500" s="2">
        <v>6</v>
      </c>
      <c r="Q500" s="2">
        <v>53</v>
      </c>
      <c r="R500" s="2">
        <v>59</v>
      </c>
    </row>
    <row r="501" spans="1:18" x14ac:dyDescent="0.3">
      <c r="A501" s="2">
        <v>499</v>
      </c>
      <c r="B501" s="4">
        <v>40565</v>
      </c>
      <c r="C501" s="2">
        <v>1</v>
      </c>
      <c r="D501" s="2">
        <v>0</v>
      </c>
      <c r="E501" s="2">
        <v>1</v>
      </c>
      <c r="F501" s="2" t="s">
        <v>18</v>
      </c>
      <c r="G501" s="2">
        <v>20</v>
      </c>
      <c r="H501" s="2" t="b">
        <v>0</v>
      </c>
      <c r="I501" s="2">
        <v>6</v>
      </c>
      <c r="J501" s="2" t="s">
        <v>19</v>
      </c>
      <c r="K501" s="2">
        <v>1</v>
      </c>
      <c r="L501" s="2">
        <v>0.06</v>
      </c>
      <c r="M501" s="2">
        <v>7.5800000000000006E-2</v>
      </c>
      <c r="N501" s="2">
        <v>0.45</v>
      </c>
      <c r="O501" s="2">
        <v>0.16420000000000001</v>
      </c>
      <c r="P501" s="2">
        <v>1</v>
      </c>
      <c r="Q501" s="2">
        <v>44</v>
      </c>
      <c r="R501" s="2">
        <v>45</v>
      </c>
    </row>
    <row r="502" spans="1:18" x14ac:dyDescent="0.3">
      <c r="A502" s="2">
        <v>500</v>
      </c>
      <c r="B502" s="4">
        <v>40565</v>
      </c>
      <c r="C502" s="2">
        <v>1</v>
      </c>
      <c r="D502" s="2">
        <v>0</v>
      </c>
      <c r="E502" s="2">
        <v>1</v>
      </c>
      <c r="F502" s="2" t="s">
        <v>18</v>
      </c>
      <c r="G502" s="2">
        <v>21</v>
      </c>
      <c r="H502" s="2" t="b">
        <v>0</v>
      </c>
      <c r="I502" s="2">
        <v>6</v>
      </c>
      <c r="J502" s="2" t="s">
        <v>19</v>
      </c>
      <c r="K502" s="2">
        <v>1</v>
      </c>
      <c r="L502" s="2">
        <v>0.06</v>
      </c>
      <c r="M502" s="2">
        <v>0.1061</v>
      </c>
      <c r="N502" s="2">
        <v>0.41</v>
      </c>
      <c r="O502" s="2">
        <v>8.9599999999999999E-2</v>
      </c>
      <c r="P502" s="2">
        <v>0</v>
      </c>
      <c r="Q502" s="2">
        <v>39</v>
      </c>
      <c r="R502" s="2">
        <v>39</v>
      </c>
    </row>
    <row r="503" spans="1:18" x14ac:dyDescent="0.3">
      <c r="A503" s="2">
        <v>501</v>
      </c>
      <c r="B503" s="4">
        <v>40565</v>
      </c>
      <c r="C503" s="2">
        <v>1</v>
      </c>
      <c r="D503" s="2">
        <v>0</v>
      </c>
      <c r="E503" s="2">
        <v>1</v>
      </c>
      <c r="F503" s="2" t="s">
        <v>18</v>
      </c>
      <c r="G503" s="2">
        <v>22</v>
      </c>
      <c r="H503" s="2" t="b">
        <v>0</v>
      </c>
      <c r="I503" s="2">
        <v>6</v>
      </c>
      <c r="J503" s="2" t="s">
        <v>19</v>
      </c>
      <c r="K503" s="2">
        <v>1</v>
      </c>
      <c r="L503" s="2">
        <v>0.06</v>
      </c>
      <c r="M503" s="2">
        <v>0.1515</v>
      </c>
      <c r="N503" s="2">
        <v>0.49</v>
      </c>
      <c r="O503" s="2">
        <v>0</v>
      </c>
      <c r="P503" s="2">
        <v>7</v>
      </c>
      <c r="Q503" s="2">
        <v>23</v>
      </c>
      <c r="R503" s="2">
        <v>30</v>
      </c>
    </row>
    <row r="504" spans="1:18" x14ac:dyDescent="0.3">
      <c r="A504" s="2">
        <v>502</v>
      </c>
      <c r="B504" s="4">
        <v>40565</v>
      </c>
      <c r="C504" s="2">
        <v>1</v>
      </c>
      <c r="D504" s="2">
        <v>0</v>
      </c>
      <c r="E504" s="2">
        <v>1</v>
      </c>
      <c r="F504" s="2" t="s">
        <v>18</v>
      </c>
      <c r="G504" s="2">
        <v>23</v>
      </c>
      <c r="H504" s="2" t="b">
        <v>0</v>
      </c>
      <c r="I504" s="2">
        <v>6</v>
      </c>
      <c r="J504" s="2" t="s">
        <v>19</v>
      </c>
      <c r="K504" s="2">
        <v>1</v>
      </c>
      <c r="L504" s="2">
        <v>0.04</v>
      </c>
      <c r="M504" s="2">
        <v>7.5800000000000006E-2</v>
      </c>
      <c r="N504" s="2">
        <v>0.56999999999999995</v>
      </c>
      <c r="O504" s="2">
        <v>0.1045</v>
      </c>
      <c r="P504" s="2">
        <v>2</v>
      </c>
      <c r="Q504" s="2">
        <v>31</v>
      </c>
      <c r="R504" s="2">
        <v>33</v>
      </c>
    </row>
    <row r="505" spans="1:18" x14ac:dyDescent="0.3">
      <c r="A505" s="2">
        <v>503</v>
      </c>
      <c r="B505" s="4">
        <v>40566</v>
      </c>
      <c r="C505" s="2">
        <v>1</v>
      </c>
      <c r="D505" s="2">
        <v>0</v>
      </c>
      <c r="E505" s="2">
        <v>1</v>
      </c>
      <c r="F505" s="2" t="s">
        <v>18</v>
      </c>
      <c r="G505" s="2">
        <v>0</v>
      </c>
      <c r="H505" s="2" t="b">
        <v>0</v>
      </c>
      <c r="I505" s="2">
        <v>0</v>
      </c>
      <c r="J505" s="2" t="s">
        <v>19</v>
      </c>
      <c r="K505" s="2">
        <v>1</v>
      </c>
      <c r="L505" s="2">
        <v>0.04</v>
      </c>
      <c r="M505" s="2">
        <v>7.5800000000000006E-2</v>
      </c>
      <c r="N505" s="2">
        <v>0.56999999999999995</v>
      </c>
      <c r="O505" s="2">
        <v>0.1045</v>
      </c>
      <c r="P505" s="2">
        <v>2</v>
      </c>
      <c r="Q505" s="2">
        <v>20</v>
      </c>
      <c r="R505" s="2">
        <v>22</v>
      </c>
    </row>
    <row r="506" spans="1:18" x14ac:dyDescent="0.3">
      <c r="A506" s="2">
        <v>504</v>
      </c>
      <c r="B506" s="4">
        <v>40566</v>
      </c>
      <c r="C506" s="2">
        <v>1</v>
      </c>
      <c r="D506" s="2">
        <v>0</v>
      </c>
      <c r="E506" s="2">
        <v>1</v>
      </c>
      <c r="F506" s="2" t="s">
        <v>18</v>
      </c>
      <c r="G506" s="2">
        <v>1</v>
      </c>
      <c r="H506" s="2" t="b">
        <v>0</v>
      </c>
      <c r="I506" s="2">
        <v>0</v>
      </c>
      <c r="J506" s="2" t="s">
        <v>19</v>
      </c>
      <c r="K506" s="2">
        <v>1</v>
      </c>
      <c r="L506" s="2">
        <v>0.04</v>
      </c>
      <c r="M506" s="2">
        <v>7.5800000000000006E-2</v>
      </c>
      <c r="N506" s="2">
        <v>0.56999999999999995</v>
      </c>
      <c r="O506" s="2">
        <v>0.1045</v>
      </c>
      <c r="P506" s="2">
        <v>1</v>
      </c>
      <c r="Q506" s="2">
        <v>12</v>
      </c>
      <c r="R506" s="2">
        <v>13</v>
      </c>
    </row>
    <row r="507" spans="1:18" x14ac:dyDescent="0.3">
      <c r="A507" s="2">
        <v>505</v>
      </c>
      <c r="B507" s="4">
        <v>40566</v>
      </c>
      <c r="C507" s="2">
        <v>1</v>
      </c>
      <c r="D507" s="2">
        <v>0</v>
      </c>
      <c r="E507" s="2">
        <v>1</v>
      </c>
      <c r="F507" s="2" t="s">
        <v>18</v>
      </c>
      <c r="G507" s="2">
        <v>2</v>
      </c>
      <c r="H507" s="2" t="b">
        <v>0</v>
      </c>
      <c r="I507" s="2">
        <v>0</v>
      </c>
      <c r="J507" s="2" t="s">
        <v>19</v>
      </c>
      <c r="K507" s="2">
        <v>1</v>
      </c>
      <c r="L507" s="2">
        <v>0.02</v>
      </c>
      <c r="M507" s="2">
        <v>6.0600000000000001E-2</v>
      </c>
      <c r="N507" s="2">
        <v>0.62</v>
      </c>
      <c r="O507" s="2">
        <v>0.1343</v>
      </c>
      <c r="P507" s="2">
        <v>3</v>
      </c>
      <c r="Q507" s="2">
        <v>15</v>
      </c>
      <c r="R507" s="2">
        <v>18</v>
      </c>
    </row>
    <row r="508" spans="1:18" x14ac:dyDescent="0.3">
      <c r="A508" s="2">
        <v>506</v>
      </c>
      <c r="B508" s="4">
        <v>40566</v>
      </c>
      <c r="C508" s="2">
        <v>1</v>
      </c>
      <c r="D508" s="2">
        <v>0</v>
      </c>
      <c r="E508" s="2">
        <v>1</v>
      </c>
      <c r="F508" s="2" t="s">
        <v>18</v>
      </c>
      <c r="G508" s="2">
        <v>3</v>
      </c>
      <c r="H508" s="2" t="b">
        <v>0</v>
      </c>
      <c r="I508" s="2">
        <v>0</v>
      </c>
      <c r="J508" s="2" t="s">
        <v>19</v>
      </c>
      <c r="K508" s="2">
        <v>1</v>
      </c>
      <c r="L508" s="2">
        <v>0.02</v>
      </c>
      <c r="M508" s="2">
        <v>6.0600000000000001E-2</v>
      </c>
      <c r="N508" s="2">
        <v>0.62</v>
      </c>
      <c r="O508" s="2">
        <v>0.1343</v>
      </c>
      <c r="P508" s="2">
        <v>1</v>
      </c>
      <c r="Q508" s="2">
        <v>4</v>
      </c>
      <c r="R508" s="2">
        <v>5</v>
      </c>
    </row>
    <row r="509" spans="1:18" x14ac:dyDescent="0.3">
      <c r="A509" s="2">
        <v>507</v>
      </c>
      <c r="B509" s="4">
        <v>40566</v>
      </c>
      <c r="C509" s="2">
        <v>1</v>
      </c>
      <c r="D509" s="2">
        <v>0</v>
      </c>
      <c r="E509" s="2">
        <v>1</v>
      </c>
      <c r="F509" s="2" t="s">
        <v>18</v>
      </c>
      <c r="G509" s="2">
        <v>5</v>
      </c>
      <c r="H509" s="2" t="b">
        <v>0</v>
      </c>
      <c r="I509" s="2">
        <v>0</v>
      </c>
      <c r="J509" s="2" t="s">
        <v>19</v>
      </c>
      <c r="K509" s="2">
        <v>2</v>
      </c>
      <c r="L509" s="2">
        <v>0.04</v>
      </c>
      <c r="M509" s="2">
        <v>7.5800000000000006E-2</v>
      </c>
      <c r="N509" s="2">
        <v>0.56999999999999995</v>
      </c>
      <c r="O509" s="2">
        <v>0.1045</v>
      </c>
      <c r="P509" s="2">
        <v>0</v>
      </c>
      <c r="Q509" s="2">
        <v>3</v>
      </c>
      <c r="R509" s="2">
        <v>3</v>
      </c>
    </row>
    <row r="510" spans="1:18" x14ac:dyDescent="0.3">
      <c r="A510" s="2">
        <v>508</v>
      </c>
      <c r="B510" s="4">
        <v>40566</v>
      </c>
      <c r="C510" s="2">
        <v>1</v>
      </c>
      <c r="D510" s="2">
        <v>0</v>
      </c>
      <c r="E510" s="2">
        <v>1</v>
      </c>
      <c r="F510" s="2" t="s">
        <v>18</v>
      </c>
      <c r="G510" s="2">
        <v>6</v>
      </c>
      <c r="H510" s="2" t="b">
        <v>0</v>
      </c>
      <c r="I510" s="2">
        <v>0</v>
      </c>
      <c r="J510" s="2" t="s">
        <v>23</v>
      </c>
      <c r="K510" s="2">
        <v>2</v>
      </c>
      <c r="L510" s="2">
        <v>0.04</v>
      </c>
      <c r="M510" s="2">
        <v>7.5800000000000006E-2</v>
      </c>
      <c r="N510" s="2">
        <v>0.56999999999999995</v>
      </c>
      <c r="O510" s="2">
        <v>0.1045</v>
      </c>
      <c r="P510" s="2">
        <v>0</v>
      </c>
      <c r="Q510" s="2">
        <v>1</v>
      </c>
      <c r="R510" s="2">
        <v>1</v>
      </c>
    </row>
    <row r="511" spans="1:18" x14ac:dyDescent="0.3">
      <c r="A511" s="2">
        <v>509</v>
      </c>
      <c r="B511" s="4">
        <v>40566</v>
      </c>
      <c r="C511" s="2">
        <v>1</v>
      </c>
      <c r="D511" s="2">
        <v>0</v>
      </c>
      <c r="E511" s="2">
        <v>1</v>
      </c>
      <c r="F511" s="2" t="s">
        <v>18</v>
      </c>
      <c r="G511" s="2">
        <v>7</v>
      </c>
      <c r="H511" s="2" t="b">
        <v>0</v>
      </c>
      <c r="I511" s="2">
        <v>0</v>
      </c>
      <c r="J511" s="2" t="s">
        <v>23</v>
      </c>
      <c r="K511" s="2">
        <v>1</v>
      </c>
      <c r="L511" s="2">
        <v>0.08</v>
      </c>
      <c r="M511" s="2">
        <v>0.1061</v>
      </c>
      <c r="N511" s="2">
        <v>0.57999999999999996</v>
      </c>
      <c r="O511" s="2">
        <v>0.16420000000000001</v>
      </c>
      <c r="P511" s="2">
        <v>1</v>
      </c>
      <c r="Q511" s="2">
        <v>1</v>
      </c>
      <c r="R511" s="2">
        <v>2</v>
      </c>
    </row>
    <row r="512" spans="1:18" x14ac:dyDescent="0.3">
      <c r="A512" s="2">
        <v>510</v>
      </c>
      <c r="B512" s="4">
        <v>40566</v>
      </c>
      <c r="C512" s="2">
        <v>1</v>
      </c>
      <c r="D512" s="2">
        <v>0</v>
      </c>
      <c r="E512" s="2">
        <v>1</v>
      </c>
      <c r="F512" s="2" t="s">
        <v>18</v>
      </c>
      <c r="G512" s="2">
        <v>8</v>
      </c>
      <c r="H512" s="2" t="b">
        <v>0</v>
      </c>
      <c r="I512" s="2">
        <v>0</v>
      </c>
      <c r="J512" s="2" t="s">
        <v>23</v>
      </c>
      <c r="K512" s="2">
        <v>1</v>
      </c>
      <c r="L512" s="2">
        <v>0.06</v>
      </c>
      <c r="M512" s="2">
        <v>7.5800000000000006E-2</v>
      </c>
      <c r="N512" s="2">
        <v>0.62</v>
      </c>
      <c r="O512" s="2">
        <v>0.16420000000000001</v>
      </c>
      <c r="P512" s="2">
        <v>2</v>
      </c>
      <c r="Q512" s="2">
        <v>17</v>
      </c>
      <c r="R512" s="2">
        <v>19</v>
      </c>
    </row>
    <row r="513" spans="1:18" x14ac:dyDescent="0.3">
      <c r="A513" s="2">
        <v>511</v>
      </c>
      <c r="B513" s="4">
        <v>40566</v>
      </c>
      <c r="C513" s="2">
        <v>1</v>
      </c>
      <c r="D513" s="2">
        <v>0</v>
      </c>
      <c r="E513" s="2">
        <v>1</v>
      </c>
      <c r="F513" s="2" t="s">
        <v>18</v>
      </c>
      <c r="G513" s="2">
        <v>9</v>
      </c>
      <c r="H513" s="2" t="b">
        <v>0</v>
      </c>
      <c r="I513" s="2">
        <v>0</v>
      </c>
      <c r="J513" s="2" t="s">
        <v>23</v>
      </c>
      <c r="K513" s="2">
        <v>1</v>
      </c>
      <c r="L513" s="2">
        <v>0.1</v>
      </c>
      <c r="M513" s="2">
        <v>7.5800000000000006E-2</v>
      </c>
      <c r="N513" s="2">
        <v>0.54</v>
      </c>
      <c r="O513" s="2">
        <v>0.35820000000000002</v>
      </c>
      <c r="P513" s="2">
        <v>3</v>
      </c>
      <c r="Q513" s="2">
        <v>25</v>
      </c>
      <c r="R513" s="2">
        <v>28</v>
      </c>
    </row>
    <row r="514" spans="1:18" x14ac:dyDescent="0.3">
      <c r="A514" s="2">
        <v>512</v>
      </c>
      <c r="B514" s="4">
        <v>40566</v>
      </c>
      <c r="C514" s="2">
        <v>1</v>
      </c>
      <c r="D514" s="2">
        <v>0</v>
      </c>
      <c r="E514" s="2">
        <v>1</v>
      </c>
      <c r="F514" s="2" t="s">
        <v>18</v>
      </c>
      <c r="G514" s="2">
        <v>10</v>
      </c>
      <c r="H514" s="2" t="b">
        <v>0</v>
      </c>
      <c r="I514" s="2">
        <v>0</v>
      </c>
      <c r="J514" s="2" t="s">
        <v>23</v>
      </c>
      <c r="K514" s="2">
        <v>1</v>
      </c>
      <c r="L514" s="2">
        <v>0.14000000000000001</v>
      </c>
      <c r="M514" s="2">
        <v>0.1061</v>
      </c>
      <c r="N514" s="2">
        <v>0.46</v>
      </c>
      <c r="O514" s="2">
        <v>0.3881</v>
      </c>
      <c r="P514" s="2">
        <v>7</v>
      </c>
      <c r="Q514" s="2">
        <v>51</v>
      </c>
      <c r="R514" s="2">
        <v>58</v>
      </c>
    </row>
    <row r="515" spans="1:18" x14ac:dyDescent="0.3">
      <c r="A515" s="2">
        <v>513</v>
      </c>
      <c r="B515" s="4">
        <v>40566</v>
      </c>
      <c r="C515" s="2">
        <v>1</v>
      </c>
      <c r="D515" s="2">
        <v>0</v>
      </c>
      <c r="E515" s="2">
        <v>1</v>
      </c>
      <c r="F515" s="2" t="s">
        <v>18</v>
      </c>
      <c r="G515" s="2">
        <v>11</v>
      </c>
      <c r="H515" s="2" t="b">
        <v>0</v>
      </c>
      <c r="I515" s="2">
        <v>0</v>
      </c>
      <c r="J515" s="2" t="s">
        <v>23</v>
      </c>
      <c r="K515" s="2">
        <v>1</v>
      </c>
      <c r="L515" s="2">
        <v>0.14000000000000001</v>
      </c>
      <c r="M515" s="2">
        <v>0.13639999999999999</v>
      </c>
      <c r="N515" s="2">
        <v>0.43</v>
      </c>
      <c r="O515" s="2">
        <v>0.22389999999999999</v>
      </c>
      <c r="P515" s="2">
        <v>22</v>
      </c>
      <c r="Q515" s="2">
        <v>77</v>
      </c>
      <c r="R515" s="2">
        <v>99</v>
      </c>
    </row>
    <row r="516" spans="1:18" x14ac:dyDescent="0.3">
      <c r="A516" s="2">
        <v>514</v>
      </c>
      <c r="B516" s="4">
        <v>40566</v>
      </c>
      <c r="C516" s="2">
        <v>1</v>
      </c>
      <c r="D516" s="2">
        <v>0</v>
      </c>
      <c r="E516" s="2">
        <v>1</v>
      </c>
      <c r="F516" s="2" t="s">
        <v>18</v>
      </c>
      <c r="G516" s="2">
        <v>12</v>
      </c>
      <c r="H516" s="2" t="b">
        <v>0</v>
      </c>
      <c r="I516" s="2">
        <v>0</v>
      </c>
      <c r="J516" s="2" t="s">
        <v>23</v>
      </c>
      <c r="K516" s="2">
        <v>1</v>
      </c>
      <c r="L516" s="2">
        <v>0.16</v>
      </c>
      <c r="M516" s="2">
        <v>0.1212</v>
      </c>
      <c r="N516" s="2">
        <v>0.37</v>
      </c>
      <c r="O516" s="2">
        <v>0.4627</v>
      </c>
      <c r="P516" s="2">
        <v>24</v>
      </c>
      <c r="Q516" s="2">
        <v>92</v>
      </c>
      <c r="R516" s="2">
        <v>116</v>
      </c>
    </row>
    <row r="517" spans="1:18" x14ac:dyDescent="0.3">
      <c r="A517" s="2">
        <v>515</v>
      </c>
      <c r="B517" s="4">
        <v>40566</v>
      </c>
      <c r="C517" s="2">
        <v>1</v>
      </c>
      <c r="D517" s="2">
        <v>0</v>
      </c>
      <c r="E517" s="2">
        <v>1</v>
      </c>
      <c r="F517" s="2" t="s">
        <v>18</v>
      </c>
      <c r="G517" s="2">
        <v>13</v>
      </c>
      <c r="H517" s="2" t="b">
        <v>0</v>
      </c>
      <c r="I517" s="2">
        <v>0</v>
      </c>
      <c r="J517" s="2" t="s">
        <v>23</v>
      </c>
      <c r="K517" s="2">
        <v>1</v>
      </c>
      <c r="L517" s="2">
        <v>0.14000000000000001</v>
      </c>
      <c r="M517" s="2">
        <v>0.1061</v>
      </c>
      <c r="N517" s="2">
        <v>0.33</v>
      </c>
      <c r="O517" s="2">
        <v>0.3881</v>
      </c>
      <c r="P517" s="2">
        <v>12</v>
      </c>
      <c r="Q517" s="2">
        <v>75</v>
      </c>
      <c r="R517" s="2">
        <v>87</v>
      </c>
    </row>
    <row r="518" spans="1:18" x14ac:dyDescent="0.3">
      <c r="A518" s="2">
        <v>516</v>
      </c>
      <c r="B518" s="4">
        <v>40566</v>
      </c>
      <c r="C518" s="2">
        <v>1</v>
      </c>
      <c r="D518" s="2">
        <v>0</v>
      </c>
      <c r="E518" s="2">
        <v>1</v>
      </c>
      <c r="F518" s="2" t="s">
        <v>18</v>
      </c>
      <c r="G518" s="2">
        <v>14</v>
      </c>
      <c r="H518" s="2" t="b">
        <v>0</v>
      </c>
      <c r="I518" s="2">
        <v>0</v>
      </c>
      <c r="J518" s="2" t="s">
        <v>23</v>
      </c>
      <c r="K518" s="2">
        <v>1</v>
      </c>
      <c r="L518" s="2">
        <v>0.16</v>
      </c>
      <c r="M518" s="2">
        <v>0.13639999999999999</v>
      </c>
      <c r="N518" s="2">
        <v>0.28000000000000003</v>
      </c>
      <c r="O518" s="2">
        <v>0.35820000000000002</v>
      </c>
      <c r="P518" s="2">
        <v>17</v>
      </c>
      <c r="Q518" s="2">
        <v>93</v>
      </c>
      <c r="R518" s="2">
        <v>110</v>
      </c>
    </row>
    <row r="519" spans="1:18" x14ac:dyDescent="0.3">
      <c r="A519" s="2">
        <v>517</v>
      </c>
      <c r="B519" s="4">
        <v>40566</v>
      </c>
      <c r="C519" s="2">
        <v>1</v>
      </c>
      <c r="D519" s="2">
        <v>0</v>
      </c>
      <c r="E519" s="2">
        <v>1</v>
      </c>
      <c r="F519" s="2" t="s">
        <v>18</v>
      </c>
      <c r="G519" s="2">
        <v>15</v>
      </c>
      <c r="H519" s="2" t="b">
        <v>0</v>
      </c>
      <c r="I519" s="2">
        <v>0</v>
      </c>
      <c r="J519" s="2" t="s">
        <v>23</v>
      </c>
      <c r="K519" s="2">
        <v>1</v>
      </c>
      <c r="L519" s="2">
        <v>0.16</v>
      </c>
      <c r="M519" s="2">
        <v>0.13639999999999999</v>
      </c>
      <c r="N519" s="2">
        <v>0.28000000000000003</v>
      </c>
      <c r="O519" s="2">
        <v>0.35820000000000002</v>
      </c>
      <c r="P519" s="2">
        <v>13</v>
      </c>
      <c r="Q519" s="2">
        <v>64</v>
      </c>
      <c r="R519" s="2">
        <v>77</v>
      </c>
    </row>
    <row r="520" spans="1:18" x14ac:dyDescent="0.3">
      <c r="A520" s="2">
        <v>518</v>
      </c>
      <c r="B520" s="4">
        <v>40566</v>
      </c>
      <c r="C520" s="2">
        <v>1</v>
      </c>
      <c r="D520" s="2">
        <v>0</v>
      </c>
      <c r="E520" s="2">
        <v>1</v>
      </c>
      <c r="F520" s="2" t="s">
        <v>18</v>
      </c>
      <c r="G520" s="2">
        <v>16</v>
      </c>
      <c r="H520" s="2" t="b">
        <v>0</v>
      </c>
      <c r="I520" s="2">
        <v>0</v>
      </c>
      <c r="J520" s="2" t="s">
        <v>23</v>
      </c>
      <c r="K520" s="2">
        <v>1</v>
      </c>
      <c r="L520" s="2">
        <v>0.16</v>
      </c>
      <c r="M520" s="2">
        <v>0.13639999999999999</v>
      </c>
      <c r="N520" s="2">
        <v>0.26</v>
      </c>
      <c r="O520" s="2">
        <v>0.32840000000000003</v>
      </c>
      <c r="P520" s="2">
        <v>9</v>
      </c>
      <c r="Q520" s="2">
        <v>56</v>
      </c>
      <c r="R520" s="2">
        <v>65</v>
      </c>
    </row>
    <row r="521" spans="1:18" x14ac:dyDescent="0.3">
      <c r="A521" s="2">
        <v>519</v>
      </c>
      <c r="B521" s="4">
        <v>40566</v>
      </c>
      <c r="C521" s="2">
        <v>1</v>
      </c>
      <c r="D521" s="2">
        <v>0</v>
      </c>
      <c r="E521" s="2">
        <v>1</v>
      </c>
      <c r="F521" s="2" t="s">
        <v>18</v>
      </c>
      <c r="G521" s="2">
        <v>17</v>
      </c>
      <c r="H521" s="2" t="b">
        <v>0</v>
      </c>
      <c r="I521" s="2">
        <v>0</v>
      </c>
      <c r="J521" s="2" t="s">
        <v>23</v>
      </c>
      <c r="K521" s="2">
        <v>1</v>
      </c>
      <c r="L521" s="2">
        <v>0.14000000000000001</v>
      </c>
      <c r="M521" s="2">
        <v>0.1061</v>
      </c>
      <c r="N521" s="2">
        <v>0.26</v>
      </c>
      <c r="O521" s="2">
        <v>0.3881</v>
      </c>
      <c r="P521" s="2">
        <v>5</v>
      </c>
      <c r="Q521" s="2">
        <v>50</v>
      </c>
      <c r="R521" s="2">
        <v>55</v>
      </c>
    </row>
    <row r="522" spans="1:18" x14ac:dyDescent="0.3">
      <c r="A522" s="2">
        <v>520</v>
      </c>
      <c r="B522" s="4">
        <v>40566</v>
      </c>
      <c r="C522" s="2">
        <v>1</v>
      </c>
      <c r="D522" s="2">
        <v>0</v>
      </c>
      <c r="E522" s="2">
        <v>1</v>
      </c>
      <c r="F522" s="2" t="s">
        <v>18</v>
      </c>
      <c r="G522" s="2">
        <v>18</v>
      </c>
      <c r="H522" s="2" t="b">
        <v>0</v>
      </c>
      <c r="I522" s="2">
        <v>0</v>
      </c>
      <c r="J522" s="2" t="s">
        <v>23</v>
      </c>
      <c r="K522" s="2">
        <v>1</v>
      </c>
      <c r="L522" s="2">
        <v>0.12</v>
      </c>
      <c r="M522" s="2">
        <v>0.1212</v>
      </c>
      <c r="N522" s="2">
        <v>0.3</v>
      </c>
      <c r="O522" s="2">
        <v>0.25369999999999998</v>
      </c>
      <c r="P522" s="2">
        <v>5</v>
      </c>
      <c r="Q522" s="2">
        <v>44</v>
      </c>
      <c r="R522" s="2">
        <v>49</v>
      </c>
    </row>
    <row r="523" spans="1:18" x14ac:dyDescent="0.3">
      <c r="A523" s="2">
        <v>521</v>
      </c>
      <c r="B523" s="4">
        <v>40566</v>
      </c>
      <c r="C523" s="2">
        <v>1</v>
      </c>
      <c r="D523" s="2">
        <v>0</v>
      </c>
      <c r="E523" s="2">
        <v>1</v>
      </c>
      <c r="F523" s="2" t="s">
        <v>18</v>
      </c>
      <c r="G523" s="2">
        <v>19</v>
      </c>
      <c r="H523" s="2" t="b">
        <v>0</v>
      </c>
      <c r="I523" s="2">
        <v>0</v>
      </c>
      <c r="J523" s="2" t="s">
        <v>23</v>
      </c>
      <c r="K523" s="2">
        <v>1</v>
      </c>
      <c r="L523" s="2">
        <v>0.12</v>
      </c>
      <c r="M523" s="2">
        <v>0.1212</v>
      </c>
      <c r="N523" s="2">
        <v>0.3</v>
      </c>
      <c r="O523" s="2">
        <v>0.28360000000000002</v>
      </c>
      <c r="P523" s="2">
        <v>5</v>
      </c>
      <c r="Q523" s="2">
        <v>45</v>
      </c>
      <c r="R523" s="2">
        <v>50</v>
      </c>
    </row>
    <row r="524" spans="1:18" x14ac:dyDescent="0.3">
      <c r="A524" s="2">
        <v>522</v>
      </c>
      <c r="B524" s="4">
        <v>40566</v>
      </c>
      <c r="C524" s="2">
        <v>1</v>
      </c>
      <c r="D524" s="2">
        <v>0</v>
      </c>
      <c r="E524" s="2">
        <v>1</v>
      </c>
      <c r="F524" s="2" t="s">
        <v>18</v>
      </c>
      <c r="G524" s="2">
        <v>20</v>
      </c>
      <c r="H524" s="2" t="b">
        <v>0</v>
      </c>
      <c r="I524" s="2">
        <v>0</v>
      </c>
      <c r="J524" s="2" t="s">
        <v>23</v>
      </c>
      <c r="K524" s="2">
        <v>1</v>
      </c>
      <c r="L524" s="2">
        <v>0.1</v>
      </c>
      <c r="M524" s="2">
        <v>0.1061</v>
      </c>
      <c r="N524" s="2">
        <v>0.36</v>
      </c>
      <c r="O524" s="2">
        <v>0.25369999999999998</v>
      </c>
      <c r="P524" s="2">
        <v>4</v>
      </c>
      <c r="Q524" s="2">
        <v>31</v>
      </c>
      <c r="R524" s="2">
        <v>35</v>
      </c>
    </row>
    <row r="525" spans="1:18" x14ac:dyDescent="0.3">
      <c r="A525" s="2">
        <v>523</v>
      </c>
      <c r="B525" s="4">
        <v>40566</v>
      </c>
      <c r="C525" s="2">
        <v>1</v>
      </c>
      <c r="D525" s="2">
        <v>0</v>
      </c>
      <c r="E525" s="2">
        <v>1</v>
      </c>
      <c r="F525" s="2" t="s">
        <v>18</v>
      </c>
      <c r="G525" s="2">
        <v>21</v>
      </c>
      <c r="H525" s="2" t="b">
        <v>0</v>
      </c>
      <c r="I525" s="2">
        <v>0</v>
      </c>
      <c r="J525" s="2" t="s">
        <v>23</v>
      </c>
      <c r="K525" s="2">
        <v>1</v>
      </c>
      <c r="L525" s="2">
        <v>0.1</v>
      </c>
      <c r="M525" s="2">
        <v>0.1061</v>
      </c>
      <c r="N525" s="2">
        <v>0.36</v>
      </c>
      <c r="O525" s="2">
        <v>0.19400000000000001</v>
      </c>
      <c r="P525" s="2">
        <v>5</v>
      </c>
      <c r="Q525" s="2">
        <v>20</v>
      </c>
      <c r="R525" s="2">
        <v>25</v>
      </c>
    </row>
    <row r="526" spans="1:18" x14ac:dyDescent="0.3">
      <c r="A526" s="2">
        <v>524</v>
      </c>
      <c r="B526" s="4">
        <v>40566</v>
      </c>
      <c r="C526" s="2">
        <v>1</v>
      </c>
      <c r="D526" s="2">
        <v>0</v>
      </c>
      <c r="E526" s="2">
        <v>1</v>
      </c>
      <c r="F526" s="2" t="s">
        <v>18</v>
      </c>
      <c r="G526" s="2">
        <v>22</v>
      </c>
      <c r="H526" s="2" t="b">
        <v>0</v>
      </c>
      <c r="I526" s="2">
        <v>0</v>
      </c>
      <c r="J526" s="2" t="s">
        <v>23</v>
      </c>
      <c r="K526" s="2">
        <v>1</v>
      </c>
      <c r="L526" s="2">
        <v>0.08</v>
      </c>
      <c r="M526" s="2">
        <v>9.0899999999999995E-2</v>
      </c>
      <c r="N526" s="2">
        <v>0.38</v>
      </c>
      <c r="O526" s="2">
        <v>0.19400000000000001</v>
      </c>
      <c r="P526" s="2">
        <v>5</v>
      </c>
      <c r="Q526" s="2">
        <v>23</v>
      </c>
      <c r="R526" s="2">
        <v>28</v>
      </c>
    </row>
    <row r="527" spans="1:18" x14ac:dyDescent="0.3">
      <c r="A527" s="2">
        <v>525</v>
      </c>
      <c r="B527" s="4">
        <v>40566</v>
      </c>
      <c r="C527" s="2">
        <v>1</v>
      </c>
      <c r="D527" s="2">
        <v>0</v>
      </c>
      <c r="E527" s="2">
        <v>1</v>
      </c>
      <c r="F527" s="2" t="s">
        <v>18</v>
      </c>
      <c r="G527" s="2">
        <v>23</v>
      </c>
      <c r="H527" s="2" t="b">
        <v>0</v>
      </c>
      <c r="I527" s="2">
        <v>0</v>
      </c>
      <c r="J527" s="2" t="s">
        <v>23</v>
      </c>
      <c r="K527" s="2">
        <v>1</v>
      </c>
      <c r="L527" s="2">
        <v>0.06</v>
      </c>
      <c r="M527" s="2">
        <v>6.0600000000000001E-2</v>
      </c>
      <c r="N527" s="2">
        <v>0.41</v>
      </c>
      <c r="O527" s="2">
        <v>0.22389999999999999</v>
      </c>
      <c r="P527" s="2">
        <v>4</v>
      </c>
      <c r="Q527" s="2">
        <v>17</v>
      </c>
      <c r="R527" s="2">
        <v>21</v>
      </c>
    </row>
    <row r="528" spans="1:18" x14ac:dyDescent="0.3">
      <c r="A528" s="2">
        <v>526</v>
      </c>
      <c r="B528" s="4">
        <v>40567</v>
      </c>
      <c r="C528" s="2">
        <v>1</v>
      </c>
      <c r="D528" s="2">
        <v>0</v>
      </c>
      <c r="E528" s="2">
        <v>1</v>
      </c>
      <c r="F528" s="2" t="s">
        <v>18</v>
      </c>
      <c r="G528" s="2">
        <v>0</v>
      </c>
      <c r="H528" s="2" t="b">
        <v>0</v>
      </c>
      <c r="I528" s="2">
        <v>1</v>
      </c>
      <c r="J528" s="2" t="s">
        <v>23</v>
      </c>
      <c r="K528" s="2">
        <v>1</v>
      </c>
      <c r="L528" s="2">
        <v>0.06</v>
      </c>
      <c r="M528" s="2">
        <v>6.0600000000000001E-2</v>
      </c>
      <c r="N528" s="2">
        <v>0.41</v>
      </c>
      <c r="O528" s="2">
        <v>0.19400000000000001</v>
      </c>
      <c r="P528" s="2">
        <v>0</v>
      </c>
      <c r="Q528" s="2">
        <v>7</v>
      </c>
      <c r="R528" s="2">
        <v>7</v>
      </c>
    </row>
    <row r="529" spans="1:18" x14ac:dyDescent="0.3">
      <c r="A529" s="2">
        <v>527</v>
      </c>
      <c r="B529" s="4">
        <v>40567</v>
      </c>
      <c r="C529" s="2">
        <v>1</v>
      </c>
      <c r="D529" s="2">
        <v>0</v>
      </c>
      <c r="E529" s="2">
        <v>1</v>
      </c>
      <c r="F529" s="2" t="s">
        <v>18</v>
      </c>
      <c r="G529" s="2">
        <v>1</v>
      </c>
      <c r="H529" s="2" t="b">
        <v>0</v>
      </c>
      <c r="I529" s="2">
        <v>1</v>
      </c>
      <c r="J529" s="2" t="s">
        <v>23</v>
      </c>
      <c r="K529" s="2">
        <v>1</v>
      </c>
      <c r="L529" s="2">
        <v>0.04</v>
      </c>
      <c r="M529" s="2">
        <v>4.5499999999999999E-2</v>
      </c>
      <c r="N529" s="2">
        <v>0.45</v>
      </c>
      <c r="O529" s="2">
        <v>0.19400000000000001</v>
      </c>
      <c r="P529" s="2">
        <v>0</v>
      </c>
      <c r="Q529" s="2">
        <v>1</v>
      </c>
      <c r="R529" s="2">
        <v>1</v>
      </c>
    </row>
    <row r="530" spans="1:18" x14ac:dyDescent="0.3">
      <c r="A530" s="2">
        <v>528</v>
      </c>
      <c r="B530" s="4">
        <v>40567</v>
      </c>
      <c r="C530" s="2">
        <v>1</v>
      </c>
      <c r="D530" s="2">
        <v>0</v>
      </c>
      <c r="E530" s="2">
        <v>1</v>
      </c>
      <c r="F530" s="2" t="s">
        <v>18</v>
      </c>
      <c r="G530" s="2">
        <v>3</v>
      </c>
      <c r="H530" s="2" t="b">
        <v>0</v>
      </c>
      <c r="I530" s="2">
        <v>1</v>
      </c>
      <c r="J530" s="2" t="s">
        <v>23</v>
      </c>
      <c r="K530" s="2">
        <v>1</v>
      </c>
      <c r="L530" s="2">
        <v>0.04</v>
      </c>
      <c r="M530" s="2">
        <v>3.0300000000000001E-2</v>
      </c>
      <c r="N530" s="2">
        <v>0.45</v>
      </c>
      <c r="O530" s="2">
        <v>0.25369999999999998</v>
      </c>
      <c r="P530" s="2">
        <v>0</v>
      </c>
      <c r="Q530" s="2">
        <v>1</v>
      </c>
      <c r="R530" s="2">
        <v>1</v>
      </c>
    </row>
    <row r="531" spans="1:18" x14ac:dyDescent="0.3">
      <c r="A531" s="2">
        <v>529</v>
      </c>
      <c r="B531" s="4">
        <v>40567</v>
      </c>
      <c r="C531" s="2">
        <v>1</v>
      </c>
      <c r="D531" s="2">
        <v>0</v>
      </c>
      <c r="E531" s="2">
        <v>1</v>
      </c>
      <c r="F531" s="2" t="s">
        <v>18</v>
      </c>
      <c r="G531" s="2">
        <v>4</v>
      </c>
      <c r="H531" s="2" t="b">
        <v>0</v>
      </c>
      <c r="I531" s="2">
        <v>1</v>
      </c>
      <c r="J531" s="2" t="s">
        <v>23</v>
      </c>
      <c r="K531" s="2">
        <v>1</v>
      </c>
      <c r="L531" s="2">
        <v>0.02</v>
      </c>
      <c r="M531" s="2">
        <v>6.0600000000000001E-2</v>
      </c>
      <c r="N531" s="2">
        <v>0.48</v>
      </c>
      <c r="O531" s="2">
        <v>0.1343</v>
      </c>
      <c r="P531" s="2">
        <v>0</v>
      </c>
      <c r="Q531" s="2">
        <v>1</v>
      </c>
      <c r="R531" s="2">
        <v>1</v>
      </c>
    </row>
    <row r="532" spans="1:18" x14ac:dyDescent="0.3">
      <c r="A532" s="2">
        <v>530</v>
      </c>
      <c r="B532" s="4">
        <v>40567</v>
      </c>
      <c r="C532" s="2">
        <v>1</v>
      </c>
      <c r="D532" s="2">
        <v>0</v>
      </c>
      <c r="E532" s="2">
        <v>1</v>
      </c>
      <c r="F532" s="2" t="s">
        <v>18</v>
      </c>
      <c r="G532" s="2">
        <v>5</v>
      </c>
      <c r="H532" s="2" t="b">
        <v>0</v>
      </c>
      <c r="I532" s="2">
        <v>1</v>
      </c>
      <c r="J532" s="2" t="s">
        <v>23</v>
      </c>
      <c r="K532" s="2">
        <v>1</v>
      </c>
      <c r="L532" s="2">
        <v>0.02</v>
      </c>
      <c r="M532" s="2">
        <v>6.0600000000000001E-2</v>
      </c>
      <c r="N532" s="2">
        <v>0.48</v>
      </c>
      <c r="O532" s="2">
        <v>0.1343</v>
      </c>
      <c r="P532" s="2">
        <v>0</v>
      </c>
      <c r="Q532" s="2">
        <v>5</v>
      </c>
      <c r="R532" s="2">
        <v>5</v>
      </c>
    </row>
    <row r="533" spans="1:18" x14ac:dyDescent="0.3">
      <c r="A533" s="2">
        <v>531</v>
      </c>
      <c r="B533" s="4">
        <v>40567</v>
      </c>
      <c r="C533" s="2">
        <v>1</v>
      </c>
      <c r="D533" s="2">
        <v>0</v>
      </c>
      <c r="E533" s="2">
        <v>1</v>
      </c>
      <c r="F533" s="2" t="s">
        <v>18</v>
      </c>
      <c r="G533" s="2">
        <v>6</v>
      </c>
      <c r="H533" s="2" t="b">
        <v>0</v>
      </c>
      <c r="I533" s="2">
        <v>1</v>
      </c>
      <c r="J533" s="2" t="s">
        <v>24</v>
      </c>
      <c r="K533" s="2">
        <v>1</v>
      </c>
      <c r="L533" s="2">
        <v>0.02</v>
      </c>
      <c r="M533" s="2">
        <v>7.5800000000000006E-2</v>
      </c>
      <c r="N533" s="2">
        <v>0.48</v>
      </c>
      <c r="O533" s="2">
        <v>8.9599999999999999E-2</v>
      </c>
      <c r="P533" s="2">
        <v>0</v>
      </c>
      <c r="Q533" s="2">
        <v>15</v>
      </c>
      <c r="R533" s="2">
        <v>15</v>
      </c>
    </row>
    <row r="534" spans="1:18" x14ac:dyDescent="0.3">
      <c r="A534" s="2">
        <v>532</v>
      </c>
      <c r="B534" s="4">
        <v>40567</v>
      </c>
      <c r="C534" s="2">
        <v>1</v>
      </c>
      <c r="D534" s="2">
        <v>0</v>
      </c>
      <c r="E534" s="2">
        <v>1</v>
      </c>
      <c r="F534" s="2" t="s">
        <v>18</v>
      </c>
      <c r="G534" s="2">
        <v>7</v>
      </c>
      <c r="H534" s="2" t="b">
        <v>0</v>
      </c>
      <c r="I534" s="2">
        <v>1</v>
      </c>
      <c r="J534" s="2" t="s">
        <v>24</v>
      </c>
      <c r="K534" s="2">
        <v>1</v>
      </c>
      <c r="L534" s="2">
        <v>0.02</v>
      </c>
      <c r="M534" s="2">
        <v>0.1212</v>
      </c>
      <c r="N534" s="2">
        <v>0.48</v>
      </c>
      <c r="O534" s="2">
        <v>0</v>
      </c>
      <c r="P534" s="2">
        <v>5</v>
      </c>
      <c r="Q534" s="2">
        <v>79</v>
      </c>
      <c r="R534" s="2">
        <v>84</v>
      </c>
    </row>
    <row r="535" spans="1:18" x14ac:dyDescent="0.3">
      <c r="A535" s="2">
        <v>533</v>
      </c>
      <c r="B535" s="4">
        <v>40567</v>
      </c>
      <c r="C535" s="2">
        <v>1</v>
      </c>
      <c r="D535" s="2">
        <v>0</v>
      </c>
      <c r="E535" s="2">
        <v>1</v>
      </c>
      <c r="F535" s="2" t="s">
        <v>18</v>
      </c>
      <c r="G535" s="2">
        <v>8</v>
      </c>
      <c r="H535" s="2" t="b">
        <v>0</v>
      </c>
      <c r="I535" s="2">
        <v>1</v>
      </c>
      <c r="J535" s="2" t="s">
        <v>24</v>
      </c>
      <c r="K535" s="2">
        <v>1</v>
      </c>
      <c r="L535" s="2">
        <v>0.04</v>
      </c>
      <c r="M535" s="2">
        <v>0.13639999999999999</v>
      </c>
      <c r="N535" s="2">
        <v>0.49</v>
      </c>
      <c r="O535" s="2">
        <v>0</v>
      </c>
      <c r="P535" s="2">
        <v>6</v>
      </c>
      <c r="Q535" s="2">
        <v>171</v>
      </c>
      <c r="R535" s="2">
        <v>177</v>
      </c>
    </row>
    <row r="536" spans="1:18" x14ac:dyDescent="0.3">
      <c r="A536" s="2">
        <v>534</v>
      </c>
      <c r="B536" s="4">
        <v>40567</v>
      </c>
      <c r="C536" s="2">
        <v>1</v>
      </c>
      <c r="D536" s="2">
        <v>0</v>
      </c>
      <c r="E536" s="2">
        <v>1</v>
      </c>
      <c r="F536" s="2" t="s">
        <v>18</v>
      </c>
      <c r="G536" s="2">
        <v>9</v>
      </c>
      <c r="H536" s="2" t="b">
        <v>0</v>
      </c>
      <c r="I536" s="2">
        <v>1</v>
      </c>
      <c r="J536" s="2" t="s">
        <v>24</v>
      </c>
      <c r="K536" s="2">
        <v>1</v>
      </c>
      <c r="L536" s="2">
        <v>0.06</v>
      </c>
      <c r="M536" s="2">
        <v>0.1515</v>
      </c>
      <c r="N536" s="2">
        <v>0.41</v>
      </c>
      <c r="O536" s="2">
        <v>0</v>
      </c>
      <c r="P536" s="2">
        <v>4</v>
      </c>
      <c r="Q536" s="2">
        <v>98</v>
      </c>
      <c r="R536" s="2">
        <v>102</v>
      </c>
    </row>
    <row r="537" spans="1:18" x14ac:dyDescent="0.3">
      <c r="A537" s="2">
        <v>535</v>
      </c>
      <c r="B537" s="4">
        <v>40567</v>
      </c>
      <c r="C537" s="2">
        <v>1</v>
      </c>
      <c r="D537" s="2">
        <v>0</v>
      </c>
      <c r="E537" s="2">
        <v>1</v>
      </c>
      <c r="F537" s="2" t="s">
        <v>18</v>
      </c>
      <c r="G537" s="2">
        <v>10</v>
      </c>
      <c r="H537" s="2" t="b">
        <v>0</v>
      </c>
      <c r="I537" s="2">
        <v>1</v>
      </c>
      <c r="J537" s="2" t="s">
        <v>24</v>
      </c>
      <c r="K537" s="2">
        <v>1</v>
      </c>
      <c r="L537" s="2">
        <v>0.1</v>
      </c>
      <c r="M537" s="2">
        <v>0.13639999999999999</v>
      </c>
      <c r="N537" s="2">
        <v>0.42</v>
      </c>
      <c r="O537" s="2">
        <v>0</v>
      </c>
      <c r="P537" s="2">
        <v>6</v>
      </c>
      <c r="Q537" s="2">
        <v>34</v>
      </c>
      <c r="R537" s="2">
        <v>40</v>
      </c>
    </row>
    <row r="538" spans="1:18" x14ac:dyDescent="0.3">
      <c r="A538" s="2">
        <v>536</v>
      </c>
      <c r="B538" s="4">
        <v>40567</v>
      </c>
      <c r="C538" s="2">
        <v>1</v>
      </c>
      <c r="D538" s="2">
        <v>0</v>
      </c>
      <c r="E538" s="2">
        <v>1</v>
      </c>
      <c r="F538" s="2" t="s">
        <v>18</v>
      </c>
      <c r="G538" s="2">
        <v>11</v>
      </c>
      <c r="H538" s="2" t="b">
        <v>0</v>
      </c>
      <c r="I538" s="2">
        <v>1</v>
      </c>
      <c r="J538" s="2" t="s">
        <v>24</v>
      </c>
      <c r="K538" s="2">
        <v>1</v>
      </c>
      <c r="L538" s="2">
        <v>0.1</v>
      </c>
      <c r="M538" s="2">
        <v>0.1212</v>
      </c>
      <c r="N538" s="2">
        <v>0.46</v>
      </c>
      <c r="O538" s="2">
        <v>0.1343</v>
      </c>
      <c r="P538" s="2">
        <v>3</v>
      </c>
      <c r="Q538" s="2">
        <v>43</v>
      </c>
      <c r="R538" s="2">
        <v>46</v>
      </c>
    </row>
    <row r="539" spans="1:18" x14ac:dyDescent="0.3">
      <c r="A539" s="2">
        <v>537</v>
      </c>
      <c r="B539" s="4">
        <v>40567</v>
      </c>
      <c r="C539" s="2">
        <v>1</v>
      </c>
      <c r="D539" s="2">
        <v>0</v>
      </c>
      <c r="E539" s="2">
        <v>1</v>
      </c>
      <c r="F539" s="2" t="s">
        <v>18</v>
      </c>
      <c r="G539" s="2">
        <v>12</v>
      </c>
      <c r="H539" s="2" t="b">
        <v>0</v>
      </c>
      <c r="I539" s="2">
        <v>1</v>
      </c>
      <c r="J539" s="2" t="s">
        <v>24</v>
      </c>
      <c r="K539" s="2">
        <v>2</v>
      </c>
      <c r="L539" s="2">
        <v>0.12</v>
      </c>
      <c r="M539" s="2">
        <v>0.13639999999999999</v>
      </c>
      <c r="N539" s="2">
        <v>0.42</v>
      </c>
      <c r="O539" s="2">
        <v>0.19400000000000001</v>
      </c>
      <c r="P539" s="2">
        <v>11</v>
      </c>
      <c r="Q539" s="2">
        <v>52</v>
      </c>
      <c r="R539" s="2">
        <v>63</v>
      </c>
    </row>
    <row r="540" spans="1:18" x14ac:dyDescent="0.3">
      <c r="A540" s="2">
        <v>538</v>
      </c>
      <c r="B540" s="4">
        <v>40567</v>
      </c>
      <c r="C540" s="2">
        <v>1</v>
      </c>
      <c r="D540" s="2">
        <v>0</v>
      </c>
      <c r="E540" s="2">
        <v>1</v>
      </c>
      <c r="F540" s="2" t="s">
        <v>18</v>
      </c>
      <c r="G540" s="2">
        <v>13</v>
      </c>
      <c r="H540" s="2" t="b">
        <v>0</v>
      </c>
      <c r="I540" s="2">
        <v>1</v>
      </c>
      <c r="J540" s="2" t="s">
        <v>24</v>
      </c>
      <c r="K540" s="2">
        <v>2</v>
      </c>
      <c r="L540" s="2">
        <v>0.14000000000000001</v>
      </c>
      <c r="M540" s="2">
        <v>0.13639999999999999</v>
      </c>
      <c r="N540" s="2">
        <v>0.43</v>
      </c>
      <c r="O540" s="2">
        <v>0.22389999999999999</v>
      </c>
      <c r="P540" s="2">
        <v>6</v>
      </c>
      <c r="Q540" s="2">
        <v>54</v>
      </c>
      <c r="R540" s="2">
        <v>60</v>
      </c>
    </row>
    <row r="541" spans="1:18" x14ac:dyDescent="0.3">
      <c r="A541" s="2">
        <v>539</v>
      </c>
      <c r="B541" s="4">
        <v>40567</v>
      </c>
      <c r="C541" s="2">
        <v>1</v>
      </c>
      <c r="D541" s="2">
        <v>0</v>
      </c>
      <c r="E541" s="2">
        <v>1</v>
      </c>
      <c r="F541" s="2" t="s">
        <v>18</v>
      </c>
      <c r="G541" s="2">
        <v>14</v>
      </c>
      <c r="H541" s="2" t="b">
        <v>0</v>
      </c>
      <c r="I541" s="2">
        <v>1</v>
      </c>
      <c r="J541" s="2" t="s">
        <v>24</v>
      </c>
      <c r="K541" s="2">
        <v>2</v>
      </c>
      <c r="L541" s="2">
        <v>0.14000000000000001</v>
      </c>
      <c r="M541" s="2">
        <v>0.13639999999999999</v>
      </c>
      <c r="N541" s="2">
        <v>0.46</v>
      </c>
      <c r="O541" s="2">
        <v>0.22389999999999999</v>
      </c>
      <c r="P541" s="2">
        <v>2</v>
      </c>
      <c r="Q541" s="2">
        <v>43</v>
      </c>
      <c r="R541" s="2">
        <v>45</v>
      </c>
    </row>
    <row r="542" spans="1:18" x14ac:dyDescent="0.3">
      <c r="A542" s="2">
        <v>540</v>
      </c>
      <c r="B542" s="4">
        <v>40567</v>
      </c>
      <c r="C542" s="2">
        <v>1</v>
      </c>
      <c r="D542" s="2">
        <v>0</v>
      </c>
      <c r="E542" s="2">
        <v>1</v>
      </c>
      <c r="F542" s="2" t="s">
        <v>18</v>
      </c>
      <c r="G542" s="2">
        <v>15</v>
      </c>
      <c r="H542" s="2" t="b">
        <v>0</v>
      </c>
      <c r="I542" s="2">
        <v>1</v>
      </c>
      <c r="J542" s="2" t="s">
        <v>24</v>
      </c>
      <c r="K542" s="2">
        <v>1</v>
      </c>
      <c r="L542" s="2">
        <v>0.16</v>
      </c>
      <c r="M542" s="2">
        <v>0.16669999999999999</v>
      </c>
      <c r="N542" s="2">
        <v>0.4</v>
      </c>
      <c r="O542" s="2">
        <v>0.16420000000000001</v>
      </c>
      <c r="P542" s="2">
        <v>7</v>
      </c>
      <c r="Q542" s="2">
        <v>50</v>
      </c>
      <c r="R542" s="2">
        <v>57</v>
      </c>
    </row>
    <row r="543" spans="1:18" x14ac:dyDescent="0.3">
      <c r="A543" s="2">
        <v>541</v>
      </c>
      <c r="B543" s="4">
        <v>40567</v>
      </c>
      <c r="C543" s="2">
        <v>1</v>
      </c>
      <c r="D543" s="2">
        <v>0</v>
      </c>
      <c r="E543" s="2">
        <v>1</v>
      </c>
      <c r="F543" s="2" t="s">
        <v>18</v>
      </c>
      <c r="G543" s="2">
        <v>16</v>
      </c>
      <c r="H543" s="2" t="b">
        <v>0</v>
      </c>
      <c r="I543" s="2">
        <v>1</v>
      </c>
      <c r="J543" s="2" t="s">
        <v>24</v>
      </c>
      <c r="K543" s="2">
        <v>1</v>
      </c>
      <c r="L543" s="2">
        <v>0.16</v>
      </c>
      <c r="M543" s="2">
        <v>0.1515</v>
      </c>
      <c r="N543" s="2">
        <v>0.47</v>
      </c>
      <c r="O543" s="2">
        <v>0.25369999999999998</v>
      </c>
      <c r="P543" s="2">
        <v>4</v>
      </c>
      <c r="Q543" s="2">
        <v>66</v>
      </c>
      <c r="R543" s="2">
        <v>70</v>
      </c>
    </row>
    <row r="544" spans="1:18" x14ac:dyDescent="0.3">
      <c r="A544" s="2">
        <v>542</v>
      </c>
      <c r="B544" s="4">
        <v>40567</v>
      </c>
      <c r="C544" s="2">
        <v>1</v>
      </c>
      <c r="D544" s="2">
        <v>0</v>
      </c>
      <c r="E544" s="2">
        <v>1</v>
      </c>
      <c r="F544" s="2" t="s">
        <v>18</v>
      </c>
      <c r="G544" s="2">
        <v>17</v>
      </c>
      <c r="H544" s="2" t="b">
        <v>0</v>
      </c>
      <c r="I544" s="2">
        <v>1</v>
      </c>
      <c r="J544" s="2" t="s">
        <v>24</v>
      </c>
      <c r="K544" s="2">
        <v>1</v>
      </c>
      <c r="L544" s="2">
        <v>0.14000000000000001</v>
      </c>
      <c r="M544" s="2">
        <v>0.1212</v>
      </c>
      <c r="N544" s="2">
        <v>0.5</v>
      </c>
      <c r="O544" s="2">
        <v>0.25369999999999998</v>
      </c>
      <c r="P544" s="2">
        <v>6</v>
      </c>
      <c r="Q544" s="2">
        <v>178</v>
      </c>
      <c r="R544" s="2">
        <v>184</v>
      </c>
    </row>
    <row r="545" spans="1:18" x14ac:dyDescent="0.3">
      <c r="A545" s="2">
        <v>543</v>
      </c>
      <c r="B545" s="4">
        <v>40567</v>
      </c>
      <c r="C545" s="2">
        <v>1</v>
      </c>
      <c r="D545" s="2">
        <v>0</v>
      </c>
      <c r="E545" s="2">
        <v>1</v>
      </c>
      <c r="F545" s="2" t="s">
        <v>18</v>
      </c>
      <c r="G545" s="2">
        <v>18</v>
      </c>
      <c r="H545" s="2" t="b">
        <v>0</v>
      </c>
      <c r="I545" s="2">
        <v>1</v>
      </c>
      <c r="J545" s="2" t="s">
        <v>24</v>
      </c>
      <c r="K545" s="2">
        <v>1</v>
      </c>
      <c r="L545" s="2">
        <v>0.14000000000000001</v>
      </c>
      <c r="M545" s="2">
        <v>0.13639999999999999</v>
      </c>
      <c r="N545" s="2">
        <v>0.59</v>
      </c>
      <c r="O545" s="2">
        <v>0.19400000000000001</v>
      </c>
      <c r="P545" s="2">
        <v>8</v>
      </c>
      <c r="Q545" s="2">
        <v>145</v>
      </c>
      <c r="R545" s="2">
        <v>153</v>
      </c>
    </row>
    <row r="546" spans="1:18" x14ac:dyDescent="0.3">
      <c r="A546" s="2">
        <v>544</v>
      </c>
      <c r="B546" s="4">
        <v>40567</v>
      </c>
      <c r="C546" s="2">
        <v>1</v>
      </c>
      <c r="D546" s="2">
        <v>0</v>
      </c>
      <c r="E546" s="2">
        <v>1</v>
      </c>
      <c r="F546" s="2" t="s">
        <v>18</v>
      </c>
      <c r="G546" s="2">
        <v>19</v>
      </c>
      <c r="H546" s="2" t="b">
        <v>0</v>
      </c>
      <c r="I546" s="2">
        <v>1</v>
      </c>
      <c r="J546" s="2" t="s">
        <v>24</v>
      </c>
      <c r="K546" s="2">
        <v>1</v>
      </c>
      <c r="L546" s="2">
        <v>0.14000000000000001</v>
      </c>
      <c r="M546" s="2">
        <v>0.1515</v>
      </c>
      <c r="N546" s="2">
        <v>0.54</v>
      </c>
      <c r="O546" s="2">
        <v>0.16420000000000001</v>
      </c>
      <c r="P546" s="2">
        <v>5</v>
      </c>
      <c r="Q546" s="2">
        <v>101</v>
      </c>
      <c r="R546" s="2">
        <v>106</v>
      </c>
    </row>
    <row r="547" spans="1:18" x14ac:dyDescent="0.3">
      <c r="A547" s="2">
        <v>545</v>
      </c>
      <c r="B547" s="4">
        <v>40567</v>
      </c>
      <c r="C547" s="2">
        <v>1</v>
      </c>
      <c r="D547" s="2">
        <v>0</v>
      </c>
      <c r="E547" s="2">
        <v>1</v>
      </c>
      <c r="F547" s="2" t="s">
        <v>18</v>
      </c>
      <c r="G547" s="2">
        <v>20</v>
      </c>
      <c r="H547" s="2" t="b">
        <v>0</v>
      </c>
      <c r="I547" s="2">
        <v>1</v>
      </c>
      <c r="J547" s="2" t="s">
        <v>24</v>
      </c>
      <c r="K547" s="2">
        <v>1</v>
      </c>
      <c r="L547" s="2">
        <v>0.14000000000000001</v>
      </c>
      <c r="M547" s="2">
        <v>0.13639999999999999</v>
      </c>
      <c r="N547" s="2">
        <v>0.59</v>
      </c>
      <c r="O547" s="2">
        <v>0.19400000000000001</v>
      </c>
      <c r="P547" s="2">
        <v>1</v>
      </c>
      <c r="Q547" s="2">
        <v>80</v>
      </c>
      <c r="R547" s="2">
        <v>81</v>
      </c>
    </row>
    <row r="548" spans="1:18" x14ac:dyDescent="0.3">
      <c r="A548" s="2">
        <v>546</v>
      </c>
      <c r="B548" s="4">
        <v>40567</v>
      </c>
      <c r="C548" s="2">
        <v>1</v>
      </c>
      <c r="D548" s="2">
        <v>0</v>
      </c>
      <c r="E548" s="2">
        <v>1</v>
      </c>
      <c r="F548" s="2" t="s">
        <v>18</v>
      </c>
      <c r="G548" s="2">
        <v>21</v>
      </c>
      <c r="H548" s="2" t="b">
        <v>0</v>
      </c>
      <c r="I548" s="2">
        <v>1</v>
      </c>
      <c r="J548" s="2" t="s">
        <v>24</v>
      </c>
      <c r="K548" s="2">
        <v>1</v>
      </c>
      <c r="L548" s="2">
        <v>0.14000000000000001</v>
      </c>
      <c r="M548" s="2">
        <v>0.1515</v>
      </c>
      <c r="N548" s="2">
        <v>0.63</v>
      </c>
      <c r="O548" s="2">
        <v>0.16420000000000001</v>
      </c>
      <c r="P548" s="2">
        <v>6</v>
      </c>
      <c r="Q548" s="2">
        <v>53</v>
      </c>
      <c r="R548" s="2">
        <v>59</v>
      </c>
    </row>
    <row r="549" spans="1:18" x14ac:dyDescent="0.3">
      <c r="A549" s="2">
        <v>547</v>
      </c>
      <c r="B549" s="4">
        <v>40567</v>
      </c>
      <c r="C549" s="2">
        <v>1</v>
      </c>
      <c r="D549" s="2">
        <v>0</v>
      </c>
      <c r="E549" s="2">
        <v>1</v>
      </c>
      <c r="F549" s="2" t="s">
        <v>18</v>
      </c>
      <c r="G549" s="2">
        <v>22</v>
      </c>
      <c r="H549" s="2" t="b">
        <v>0</v>
      </c>
      <c r="I549" s="2">
        <v>1</v>
      </c>
      <c r="J549" s="2" t="s">
        <v>24</v>
      </c>
      <c r="K549" s="2">
        <v>2</v>
      </c>
      <c r="L549" s="2">
        <v>0.14000000000000001</v>
      </c>
      <c r="M549" s="2">
        <v>0.13639999999999999</v>
      </c>
      <c r="N549" s="2">
        <v>0.63</v>
      </c>
      <c r="O549" s="2">
        <v>0.22389999999999999</v>
      </c>
      <c r="P549" s="2">
        <v>3</v>
      </c>
      <c r="Q549" s="2">
        <v>32</v>
      </c>
      <c r="R549" s="2">
        <v>35</v>
      </c>
    </row>
    <row r="550" spans="1:18" x14ac:dyDescent="0.3">
      <c r="A550" s="2">
        <v>548</v>
      </c>
      <c r="B550" s="4">
        <v>40567</v>
      </c>
      <c r="C550" s="2">
        <v>1</v>
      </c>
      <c r="D550" s="2">
        <v>0</v>
      </c>
      <c r="E550" s="2">
        <v>1</v>
      </c>
      <c r="F550" s="2" t="s">
        <v>18</v>
      </c>
      <c r="G550" s="2">
        <v>23</v>
      </c>
      <c r="H550" s="2" t="b">
        <v>0</v>
      </c>
      <c r="I550" s="2">
        <v>1</v>
      </c>
      <c r="J550" s="2" t="s">
        <v>24</v>
      </c>
      <c r="K550" s="2">
        <v>2</v>
      </c>
      <c r="L550" s="2">
        <v>0.16</v>
      </c>
      <c r="M550" s="2">
        <v>0.1515</v>
      </c>
      <c r="N550" s="2">
        <v>0.64</v>
      </c>
      <c r="O550" s="2">
        <v>0.25369999999999998</v>
      </c>
      <c r="P550" s="2">
        <v>3</v>
      </c>
      <c r="Q550" s="2">
        <v>21</v>
      </c>
      <c r="R550" s="2">
        <v>24</v>
      </c>
    </row>
    <row r="551" spans="1:18" x14ac:dyDescent="0.3">
      <c r="A551" s="2">
        <v>549</v>
      </c>
      <c r="B551" s="4">
        <v>40568</v>
      </c>
      <c r="C551" s="2">
        <v>1</v>
      </c>
      <c r="D551" s="2">
        <v>0</v>
      </c>
      <c r="E551" s="2">
        <v>1</v>
      </c>
      <c r="F551" s="2" t="s">
        <v>18</v>
      </c>
      <c r="G551" s="2">
        <v>0</v>
      </c>
      <c r="H551" s="2" t="b">
        <v>0</v>
      </c>
      <c r="I551" s="2">
        <v>2</v>
      </c>
      <c r="J551" s="2" t="s">
        <v>24</v>
      </c>
      <c r="K551" s="2">
        <v>2</v>
      </c>
      <c r="L551" s="2">
        <v>0.16</v>
      </c>
      <c r="M551" s="2">
        <v>0.13639999999999999</v>
      </c>
      <c r="N551" s="2">
        <v>0.69</v>
      </c>
      <c r="O551" s="2">
        <v>0.28360000000000002</v>
      </c>
      <c r="P551" s="2">
        <v>3</v>
      </c>
      <c r="Q551" s="2">
        <v>6</v>
      </c>
      <c r="R551" s="2">
        <v>9</v>
      </c>
    </row>
    <row r="552" spans="1:18" x14ac:dyDescent="0.3">
      <c r="A552" s="2">
        <v>550</v>
      </c>
      <c r="B552" s="4">
        <v>40568</v>
      </c>
      <c r="C552" s="2">
        <v>1</v>
      </c>
      <c r="D552" s="2">
        <v>0</v>
      </c>
      <c r="E552" s="2">
        <v>1</v>
      </c>
      <c r="F552" s="2" t="s">
        <v>18</v>
      </c>
      <c r="G552" s="2">
        <v>1</v>
      </c>
      <c r="H552" s="2" t="b">
        <v>0</v>
      </c>
      <c r="I552" s="2">
        <v>2</v>
      </c>
      <c r="J552" s="2" t="s">
        <v>24</v>
      </c>
      <c r="K552" s="2">
        <v>2</v>
      </c>
      <c r="L552" s="2">
        <v>0.16</v>
      </c>
      <c r="M552" s="2">
        <v>0.16669999999999999</v>
      </c>
      <c r="N552" s="2">
        <v>0.69</v>
      </c>
      <c r="O552" s="2">
        <v>0.16420000000000001</v>
      </c>
      <c r="P552" s="2">
        <v>0</v>
      </c>
      <c r="Q552" s="2">
        <v>5</v>
      </c>
      <c r="R552" s="2">
        <v>5</v>
      </c>
    </row>
    <row r="553" spans="1:18" x14ac:dyDescent="0.3">
      <c r="A553" s="2">
        <v>551</v>
      </c>
      <c r="B553" s="4">
        <v>40568</v>
      </c>
      <c r="C553" s="2">
        <v>1</v>
      </c>
      <c r="D553" s="2">
        <v>0</v>
      </c>
      <c r="E553" s="2">
        <v>1</v>
      </c>
      <c r="F553" s="2" t="s">
        <v>18</v>
      </c>
      <c r="G553" s="2">
        <v>2</v>
      </c>
      <c r="H553" s="2" t="b">
        <v>0</v>
      </c>
      <c r="I553" s="2">
        <v>2</v>
      </c>
      <c r="J553" s="2" t="s">
        <v>24</v>
      </c>
      <c r="K553" s="2">
        <v>1</v>
      </c>
      <c r="L553" s="2">
        <v>0.16</v>
      </c>
      <c r="M553" s="2">
        <v>0.1515</v>
      </c>
      <c r="N553" s="2">
        <v>0.69</v>
      </c>
      <c r="O553" s="2">
        <v>0.22389999999999999</v>
      </c>
      <c r="P553" s="2">
        <v>0</v>
      </c>
      <c r="Q553" s="2">
        <v>2</v>
      </c>
      <c r="R553" s="2">
        <v>2</v>
      </c>
    </row>
    <row r="554" spans="1:18" x14ac:dyDescent="0.3">
      <c r="A554" s="2">
        <v>552</v>
      </c>
      <c r="B554" s="4">
        <v>40568</v>
      </c>
      <c r="C554" s="2">
        <v>1</v>
      </c>
      <c r="D554" s="2">
        <v>0</v>
      </c>
      <c r="E554" s="2">
        <v>1</v>
      </c>
      <c r="F554" s="2" t="s">
        <v>18</v>
      </c>
      <c r="G554" s="2">
        <v>4</v>
      </c>
      <c r="H554" s="2" t="b">
        <v>0</v>
      </c>
      <c r="I554" s="2">
        <v>2</v>
      </c>
      <c r="J554" s="2" t="s">
        <v>24</v>
      </c>
      <c r="K554" s="2">
        <v>1</v>
      </c>
      <c r="L554" s="2">
        <v>0.14000000000000001</v>
      </c>
      <c r="M554" s="2">
        <v>0.16669999999999999</v>
      </c>
      <c r="N554" s="2">
        <v>0.74</v>
      </c>
      <c r="O554" s="2">
        <v>0.1045</v>
      </c>
      <c r="P554" s="2">
        <v>0</v>
      </c>
      <c r="Q554" s="2">
        <v>1</v>
      </c>
      <c r="R554" s="2">
        <v>1</v>
      </c>
    </row>
    <row r="555" spans="1:18" x14ac:dyDescent="0.3">
      <c r="A555" s="2">
        <v>553</v>
      </c>
      <c r="B555" s="4">
        <v>40568</v>
      </c>
      <c r="C555" s="2">
        <v>1</v>
      </c>
      <c r="D555" s="2">
        <v>0</v>
      </c>
      <c r="E555" s="2">
        <v>1</v>
      </c>
      <c r="F555" s="2" t="s">
        <v>18</v>
      </c>
      <c r="G555" s="2">
        <v>5</v>
      </c>
      <c r="H555" s="2" t="b">
        <v>0</v>
      </c>
      <c r="I555" s="2">
        <v>2</v>
      </c>
      <c r="J555" s="2" t="s">
        <v>25</v>
      </c>
      <c r="K555" s="2">
        <v>1</v>
      </c>
      <c r="L555" s="2">
        <v>0.14000000000000001</v>
      </c>
      <c r="M555" s="2">
        <v>0.13639999999999999</v>
      </c>
      <c r="N555" s="2">
        <v>0.74</v>
      </c>
      <c r="O555" s="2">
        <v>0.22389999999999999</v>
      </c>
      <c r="P555" s="2">
        <v>0</v>
      </c>
      <c r="Q555" s="2">
        <v>9</v>
      </c>
      <c r="R555" s="2">
        <v>9</v>
      </c>
    </row>
    <row r="556" spans="1:18" x14ac:dyDescent="0.3">
      <c r="A556" s="2">
        <v>554</v>
      </c>
      <c r="B556" s="4">
        <v>40568</v>
      </c>
      <c r="C556" s="2">
        <v>1</v>
      </c>
      <c r="D556" s="2">
        <v>0</v>
      </c>
      <c r="E556" s="2">
        <v>1</v>
      </c>
      <c r="F556" s="2" t="s">
        <v>18</v>
      </c>
      <c r="G556" s="2">
        <v>6</v>
      </c>
      <c r="H556" s="2" t="b">
        <v>0</v>
      </c>
      <c r="I556" s="2">
        <v>2</v>
      </c>
      <c r="J556" s="2" t="s">
        <v>25</v>
      </c>
      <c r="K556" s="2">
        <v>1</v>
      </c>
      <c r="L556" s="2">
        <v>0.16</v>
      </c>
      <c r="M556" s="2">
        <v>0.18179999999999999</v>
      </c>
      <c r="N556" s="2">
        <v>0.74</v>
      </c>
      <c r="O556" s="2">
        <v>0.1045</v>
      </c>
      <c r="P556" s="2">
        <v>1</v>
      </c>
      <c r="Q556" s="2">
        <v>35</v>
      </c>
      <c r="R556" s="2">
        <v>36</v>
      </c>
    </row>
    <row r="557" spans="1:18" x14ac:dyDescent="0.3">
      <c r="A557" s="2">
        <v>555</v>
      </c>
      <c r="B557" s="4">
        <v>40568</v>
      </c>
      <c r="C557" s="2">
        <v>1</v>
      </c>
      <c r="D557" s="2">
        <v>0</v>
      </c>
      <c r="E557" s="2">
        <v>1</v>
      </c>
      <c r="F557" s="2" t="s">
        <v>18</v>
      </c>
      <c r="G557" s="2">
        <v>7</v>
      </c>
      <c r="H557" s="2" t="b">
        <v>0</v>
      </c>
      <c r="I557" s="2">
        <v>2</v>
      </c>
      <c r="J557" s="2" t="s">
        <v>25</v>
      </c>
      <c r="K557" s="2">
        <v>1</v>
      </c>
      <c r="L557" s="2">
        <v>0.16</v>
      </c>
      <c r="M557" s="2">
        <v>0.1515</v>
      </c>
      <c r="N557" s="2">
        <v>0.74</v>
      </c>
      <c r="O557" s="2">
        <v>0.22389999999999999</v>
      </c>
      <c r="P557" s="2">
        <v>5</v>
      </c>
      <c r="Q557" s="2">
        <v>103</v>
      </c>
      <c r="R557" s="2">
        <v>108</v>
      </c>
    </row>
    <row r="558" spans="1:18" x14ac:dyDescent="0.3">
      <c r="A558" s="2">
        <v>556</v>
      </c>
      <c r="B558" s="4">
        <v>40568</v>
      </c>
      <c r="C558" s="2">
        <v>1</v>
      </c>
      <c r="D558" s="2">
        <v>0</v>
      </c>
      <c r="E558" s="2">
        <v>1</v>
      </c>
      <c r="F558" s="2" t="s">
        <v>18</v>
      </c>
      <c r="G558" s="2">
        <v>8</v>
      </c>
      <c r="H558" s="2" t="b">
        <v>0</v>
      </c>
      <c r="I558" s="2">
        <v>2</v>
      </c>
      <c r="J558" s="2" t="s">
        <v>25</v>
      </c>
      <c r="K558" s="2">
        <v>2</v>
      </c>
      <c r="L558" s="2">
        <v>0.16</v>
      </c>
      <c r="M558" s="2">
        <v>0.18179999999999999</v>
      </c>
      <c r="N558" s="2">
        <v>0.74</v>
      </c>
      <c r="O558" s="2">
        <v>0.1343</v>
      </c>
      <c r="P558" s="2">
        <v>5</v>
      </c>
      <c r="Q558" s="2">
        <v>233</v>
      </c>
      <c r="R558" s="2">
        <v>238</v>
      </c>
    </row>
    <row r="559" spans="1:18" x14ac:dyDescent="0.3">
      <c r="A559" s="2">
        <v>557</v>
      </c>
      <c r="B559" s="4">
        <v>40568</v>
      </c>
      <c r="C559" s="2">
        <v>1</v>
      </c>
      <c r="D559" s="2">
        <v>0</v>
      </c>
      <c r="E559" s="2">
        <v>1</v>
      </c>
      <c r="F559" s="2" t="s">
        <v>18</v>
      </c>
      <c r="G559" s="2">
        <v>9</v>
      </c>
      <c r="H559" s="2" t="b">
        <v>0</v>
      </c>
      <c r="I559" s="2">
        <v>2</v>
      </c>
      <c r="J559" s="2" t="s">
        <v>25</v>
      </c>
      <c r="K559" s="2">
        <v>2</v>
      </c>
      <c r="L559" s="2">
        <v>0.2</v>
      </c>
      <c r="M559" s="2">
        <v>0.2273</v>
      </c>
      <c r="N559" s="2">
        <v>0.64</v>
      </c>
      <c r="O559" s="2">
        <v>8.9599999999999999E-2</v>
      </c>
      <c r="P559" s="2">
        <v>10</v>
      </c>
      <c r="Q559" s="2">
        <v>134</v>
      </c>
      <c r="R559" s="2">
        <v>144</v>
      </c>
    </row>
    <row r="560" spans="1:18" x14ac:dyDescent="0.3">
      <c r="A560" s="2">
        <v>558</v>
      </c>
      <c r="B560" s="4">
        <v>40568</v>
      </c>
      <c r="C560" s="2">
        <v>1</v>
      </c>
      <c r="D560" s="2">
        <v>0</v>
      </c>
      <c r="E560" s="2">
        <v>1</v>
      </c>
      <c r="F560" s="2" t="s">
        <v>18</v>
      </c>
      <c r="G560" s="2">
        <v>10</v>
      </c>
      <c r="H560" s="2" t="b">
        <v>0</v>
      </c>
      <c r="I560" s="2">
        <v>2</v>
      </c>
      <c r="J560" s="2" t="s">
        <v>25</v>
      </c>
      <c r="K560" s="2">
        <v>2</v>
      </c>
      <c r="L560" s="2">
        <v>0.22</v>
      </c>
      <c r="M560" s="2">
        <v>0.2424</v>
      </c>
      <c r="N560" s="2">
        <v>0.6</v>
      </c>
      <c r="O560" s="2">
        <v>0.1045</v>
      </c>
      <c r="P560" s="2">
        <v>6</v>
      </c>
      <c r="Q560" s="2">
        <v>49</v>
      </c>
      <c r="R560" s="2">
        <v>55</v>
      </c>
    </row>
    <row r="561" spans="1:18" x14ac:dyDescent="0.3">
      <c r="A561" s="2">
        <v>559</v>
      </c>
      <c r="B561" s="4">
        <v>40568</v>
      </c>
      <c r="C561" s="2">
        <v>1</v>
      </c>
      <c r="D561" s="2">
        <v>0</v>
      </c>
      <c r="E561" s="2">
        <v>1</v>
      </c>
      <c r="F561" s="2" t="s">
        <v>18</v>
      </c>
      <c r="G561" s="2">
        <v>11</v>
      </c>
      <c r="H561" s="2" t="b">
        <v>0</v>
      </c>
      <c r="I561" s="2">
        <v>2</v>
      </c>
      <c r="J561" s="2" t="s">
        <v>25</v>
      </c>
      <c r="K561" s="2">
        <v>2</v>
      </c>
      <c r="L561" s="2">
        <v>0.24</v>
      </c>
      <c r="M561" s="2">
        <v>0.2424</v>
      </c>
      <c r="N561" s="2">
        <v>0.6</v>
      </c>
      <c r="O561" s="2">
        <v>0.1343</v>
      </c>
      <c r="P561" s="2">
        <v>6</v>
      </c>
      <c r="Q561" s="2">
        <v>55</v>
      </c>
      <c r="R561" s="2">
        <v>61</v>
      </c>
    </row>
    <row r="562" spans="1:18" x14ac:dyDescent="0.3">
      <c r="A562" s="2">
        <v>560</v>
      </c>
      <c r="B562" s="4">
        <v>40568</v>
      </c>
      <c r="C562" s="2">
        <v>1</v>
      </c>
      <c r="D562" s="2">
        <v>0</v>
      </c>
      <c r="E562" s="2">
        <v>1</v>
      </c>
      <c r="F562" s="2" t="s">
        <v>18</v>
      </c>
      <c r="G562" s="2">
        <v>12</v>
      </c>
      <c r="H562" s="2" t="b">
        <v>0</v>
      </c>
      <c r="I562" s="2">
        <v>2</v>
      </c>
      <c r="J562" s="2" t="s">
        <v>25</v>
      </c>
      <c r="K562" s="2">
        <v>2</v>
      </c>
      <c r="L562" s="2">
        <v>0.26</v>
      </c>
      <c r="M562" s="2">
        <v>0.28789999999999999</v>
      </c>
      <c r="N562" s="2">
        <v>0.56000000000000005</v>
      </c>
      <c r="O562" s="2">
        <v>8.9599999999999999E-2</v>
      </c>
      <c r="P562" s="2">
        <v>21</v>
      </c>
      <c r="Q562" s="2">
        <v>85</v>
      </c>
      <c r="R562" s="2">
        <v>106</v>
      </c>
    </row>
    <row r="563" spans="1:18" x14ac:dyDescent="0.3">
      <c r="A563" s="2">
        <v>561</v>
      </c>
      <c r="B563" s="4">
        <v>40568</v>
      </c>
      <c r="C563" s="2">
        <v>1</v>
      </c>
      <c r="D563" s="2">
        <v>0</v>
      </c>
      <c r="E563" s="2">
        <v>1</v>
      </c>
      <c r="F563" s="2" t="s">
        <v>18</v>
      </c>
      <c r="G563" s="2">
        <v>13</v>
      </c>
      <c r="H563" s="2" t="b">
        <v>0</v>
      </c>
      <c r="I563" s="2">
        <v>2</v>
      </c>
      <c r="J563" s="2" t="s">
        <v>25</v>
      </c>
      <c r="K563" s="2">
        <v>2</v>
      </c>
      <c r="L563" s="2">
        <v>0.26</v>
      </c>
      <c r="M563" s="2">
        <v>0.2727</v>
      </c>
      <c r="N563" s="2">
        <v>0.56000000000000005</v>
      </c>
      <c r="O563" s="2">
        <v>0.1343</v>
      </c>
      <c r="P563" s="2">
        <v>21</v>
      </c>
      <c r="Q563" s="2">
        <v>72</v>
      </c>
      <c r="R563" s="2">
        <v>93</v>
      </c>
    </row>
    <row r="564" spans="1:18" x14ac:dyDescent="0.3">
      <c r="A564" s="2">
        <v>562</v>
      </c>
      <c r="B564" s="4">
        <v>40568</v>
      </c>
      <c r="C564" s="2">
        <v>1</v>
      </c>
      <c r="D564" s="2">
        <v>0</v>
      </c>
      <c r="E564" s="2">
        <v>1</v>
      </c>
      <c r="F564" s="2" t="s">
        <v>18</v>
      </c>
      <c r="G564" s="2">
        <v>14</v>
      </c>
      <c r="H564" s="2" t="b">
        <v>0</v>
      </c>
      <c r="I564" s="2">
        <v>2</v>
      </c>
      <c r="J564" s="2" t="s">
        <v>25</v>
      </c>
      <c r="K564" s="2">
        <v>2</v>
      </c>
      <c r="L564" s="2">
        <v>0.3</v>
      </c>
      <c r="M564" s="2">
        <v>0.33329999999999999</v>
      </c>
      <c r="N564" s="2">
        <v>0.45</v>
      </c>
      <c r="O564" s="2">
        <v>0</v>
      </c>
      <c r="P564" s="2">
        <v>11</v>
      </c>
      <c r="Q564" s="2">
        <v>57</v>
      </c>
      <c r="R564" s="2">
        <v>68</v>
      </c>
    </row>
    <row r="565" spans="1:18" x14ac:dyDescent="0.3">
      <c r="A565" s="2">
        <v>563</v>
      </c>
      <c r="B565" s="4">
        <v>40568</v>
      </c>
      <c r="C565" s="2">
        <v>1</v>
      </c>
      <c r="D565" s="2">
        <v>0</v>
      </c>
      <c r="E565" s="2">
        <v>1</v>
      </c>
      <c r="F565" s="2" t="s">
        <v>18</v>
      </c>
      <c r="G565" s="2">
        <v>15</v>
      </c>
      <c r="H565" s="2" t="b">
        <v>0</v>
      </c>
      <c r="I565" s="2">
        <v>2</v>
      </c>
      <c r="J565" s="2" t="s">
        <v>25</v>
      </c>
      <c r="K565" s="2">
        <v>2</v>
      </c>
      <c r="L565" s="2">
        <v>0.32</v>
      </c>
      <c r="M565" s="2">
        <v>0.34849999999999998</v>
      </c>
      <c r="N565" s="2">
        <v>0.42</v>
      </c>
      <c r="O565" s="2">
        <v>0</v>
      </c>
      <c r="P565" s="2">
        <v>21</v>
      </c>
      <c r="Q565" s="2">
        <v>63</v>
      </c>
      <c r="R565" s="2">
        <v>84</v>
      </c>
    </row>
    <row r="566" spans="1:18" x14ac:dyDescent="0.3">
      <c r="A566" s="2">
        <v>564</v>
      </c>
      <c r="B566" s="4">
        <v>40568</v>
      </c>
      <c r="C566" s="2">
        <v>1</v>
      </c>
      <c r="D566" s="2">
        <v>0</v>
      </c>
      <c r="E566" s="2">
        <v>1</v>
      </c>
      <c r="F566" s="2" t="s">
        <v>18</v>
      </c>
      <c r="G566" s="2">
        <v>16</v>
      </c>
      <c r="H566" s="2" t="b">
        <v>0</v>
      </c>
      <c r="I566" s="2">
        <v>2</v>
      </c>
      <c r="J566" s="2" t="s">
        <v>25</v>
      </c>
      <c r="K566" s="2">
        <v>2</v>
      </c>
      <c r="L566" s="2">
        <v>0.32</v>
      </c>
      <c r="M566" s="2">
        <v>0.34849999999999998</v>
      </c>
      <c r="N566" s="2">
        <v>0.42</v>
      </c>
      <c r="O566" s="2">
        <v>0</v>
      </c>
      <c r="P566" s="2">
        <v>14</v>
      </c>
      <c r="Q566" s="2">
        <v>102</v>
      </c>
      <c r="R566" s="2">
        <v>116</v>
      </c>
    </row>
    <row r="567" spans="1:18" x14ac:dyDescent="0.3">
      <c r="A567" s="2">
        <v>565</v>
      </c>
      <c r="B567" s="4">
        <v>40568</v>
      </c>
      <c r="C567" s="2">
        <v>1</v>
      </c>
      <c r="D567" s="2">
        <v>0</v>
      </c>
      <c r="E567" s="2">
        <v>1</v>
      </c>
      <c r="F567" s="2" t="s">
        <v>18</v>
      </c>
      <c r="G567" s="2">
        <v>17</v>
      </c>
      <c r="H567" s="2" t="b">
        <v>0</v>
      </c>
      <c r="I567" s="2">
        <v>2</v>
      </c>
      <c r="J567" s="2" t="s">
        <v>25</v>
      </c>
      <c r="K567" s="2">
        <v>1</v>
      </c>
      <c r="L567" s="2">
        <v>0.3</v>
      </c>
      <c r="M567" s="2">
        <v>0.33329999999999999</v>
      </c>
      <c r="N567" s="2">
        <v>0.45</v>
      </c>
      <c r="O567" s="2">
        <v>0</v>
      </c>
      <c r="P567" s="2">
        <v>14</v>
      </c>
      <c r="Q567" s="2">
        <v>208</v>
      </c>
      <c r="R567" s="2">
        <v>222</v>
      </c>
    </row>
    <row r="568" spans="1:18" x14ac:dyDescent="0.3">
      <c r="A568" s="2">
        <v>566</v>
      </c>
      <c r="B568" s="4">
        <v>40568</v>
      </c>
      <c r="C568" s="2">
        <v>1</v>
      </c>
      <c r="D568" s="2">
        <v>0</v>
      </c>
      <c r="E568" s="2">
        <v>1</v>
      </c>
      <c r="F568" s="2" t="s">
        <v>18</v>
      </c>
      <c r="G568" s="2">
        <v>18</v>
      </c>
      <c r="H568" s="2" t="b">
        <v>0</v>
      </c>
      <c r="I568" s="2">
        <v>2</v>
      </c>
      <c r="J568" s="2" t="s">
        <v>25</v>
      </c>
      <c r="K568" s="2">
        <v>2</v>
      </c>
      <c r="L568" s="2">
        <v>0.3</v>
      </c>
      <c r="M568" s="2">
        <v>0.31819999999999998</v>
      </c>
      <c r="N568" s="2">
        <v>0.49</v>
      </c>
      <c r="O568" s="2">
        <v>8.9599999999999999E-2</v>
      </c>
      <c r="P568" s="2">
        <v>7</v>
      </c>
      <c r="Q568" s="2">
        <v>218</v>
      </c>
      <c r="R568" s="2">
        <v>225</v>
      </c>
    </row>
    <row r="569" spans="1:18" x14ac:dyDescent="0.3">
      <c r="A569" s="2">
        <v>567</v>
      </c>
      <c r="B569" s="4">
        <v>40568</v>
      </c>
      <c r="C569" s="2">
        <v>1</v>
      </c>
      <c r="D569" s="2">
        <v>0</v>
      </c>
      <c r="E569" s="2">
        <v>1</v>
      </c>
      <c r="F569" s="2" t="s">
        <v>18</v>
      </c>
      <c r="G569" s="2">
        <v>19</v>
      </c>
      <c r="H569" s="2" t="b">
        <v>0</v>
      </c>
      <c r="I569" s="2">
        <v>2</v>
      </c>
      <c r="J569" s="2" t="s">
        <v>25</v>
      </c>
      <c r="K569" s="2">
        <v>2</v>
      </c>
      <c r="L569" s="2">
        <v>0.26</v>
      </c>
      <c r="M569" s="2">
        <v>0.2576</v>
      </c>
      <c r="N569" s="2">
        <v>0.65</v>
      </c>
      <c r="O569" s="2">
        <v>0.16420000000000001</v>
      </c>
      <c r="P569" s="2">
        <v>13</v>
      </c>
      <c r="Q569" s="2">
        <v>133</v>
      </c>
      <c r="R569" s="2">
        <v>146</v>
      </c>
    </row>
    <row r="570" spans="1:18" x14ac:dyDescent="0.3">
      <c r="A570" s="2">
        <v>568</v>
      </c>
      <c r="B570" s="4">
        <v>40568</v>
      </c>
      <c r="C570" s="2">
        <v>1</v>
      </c>
      <c r="D570" s="2">
        <v>0</v>
      </c>
      <c r="E570" s="2">
        <v>1</v>
      </c>
      <c r="F570" s="2" t="s">
        <v>18</v>
      </c>
      <c r="G570" s="2">
        <v>20</v>
      </c>
      <c r="H570" s="2" t="b">
        <v>0</v>
      </c>
      <c r="I570" s="2">
        <v>2</v>
      </c>
      <c r="J570" s="2" t="s">
        <v>25</v>
      </c>
      <c r="K570" s="2">
        <v>1</v>
      </c>
      <c r="L570" s="2">
        <v>0.24</v>
      </c>
      <c r="M570" s="2">
        <v>0.2273</v>
      </c>
      <c r="N570" s="2">
        <v>0.65</v>
      </c>
      <c r="O570" s="2">
        <v>0.19400000000000001</v>
      </c>
      <c r="P570" s="2">
        <v>16</v>
      </c>
      <c r="Q570" s="2">
        <v>103</v>
      </c>
      <c r="R570" s="2">
        <v>119</v>
      </c>
    </row>
    <row r="571" spans="1:18" x14ac:dyDescent="0.3">
      <c r="A571" s="2">
        <v>569</v>
      </c>
      <c r="B571" s="4">
        <v>40568</v>
      </c>
      <c r="C571" s="2">
        <v>1</v>
      </c>
      <c r="D571" s="2">
        <v>0</v>
      </c>
      <c r="E571" s="2">
        <v>1</v>
      </c>
      <c r="F571" s="2" t="s">
        <v>18</v>
      </c>
      <c r="G571" s="2">
        <v>21</v>
      </c>
      <c r="H571" s="2" t="b">
        <v>0</v>
      </c>
      <c r="I571" s="2">
        <v>2</v>
      </c>
      <c r="J571" s="2" t="s">
        <v>25</v>
      </c>
      <c r="K571" s="2">
        <v>1</v>
      </c>
      <c r="L571" s="2">
        <v>0.24</v>
      </c>
      <c r="M571" s="2">
        <v>0.2273</v>
      </c>
      <c r="N571" s="2">
        <v>0.65</v>
      </c>
      <c r="O571" s="2">
        <v>0.19400000000000001</v>
      </c>
      <c r="P571" s="2">
        <v>5</v>
      </c>
      <c r="Q571" s="2">
        <v>40</v>
      </c>
      <c r="R571" s="2">
        <v>45</v>
      </c>
    </row>
    <row r="572" spans="1:18" x14ac:dyDescent="0.3">
      <c r="A572" s="2">
        <v>570</v>
      </c>
      <c r="B572" s="4">
        <v>40568</v>
      </c>
      <c r="C572" s="2">
        <v>1</v>
      </c>
      <c r="D572" s="2">
        <v>0</v>
      </c>
      <c r="E572" s="2">
        <v>1</v>
      </c>
      <c r="F572" s="2" t="s">
        <v>18</v>
      </c>
      <c r="G572" s="2">
        <v>22</v>
      </c>
      <c r="H572" s="2" t="b">
        <v>0</v>
      </c>
      <c r="I572" s="2">
        <v>2</v>
      </c>
      <c r="J572" s="2" t="s">
        <v>25</v>
      </c>
      <c r="K572" s="2">
        <v>1</v>
      </c>
      <c r="L572" s="2">
        <v>0.22</v>
      </c>
      <c r="M572" s="2">
        <v>0.2273</v>
      </c>
      <c r="N572" s="2">
        <v>0.64</v>
      </c>
      <c r="O572" s="2">
        <v>0.16420000000000001</v>
      </c>
      <c r="P572" s="2">
        <v>4</v>
      </c>
      <c r="Q572" s="2">
        <v>49</v>
      </c>
      <c r="R572" s="2">
        <v>53</v>
      </c>
    </row>
    <row r="573" spans="1:18" x14ac:dyDescent="0.3">
      <c r="A573" s="2">
        <v>571</v>
      </c>
      <c r="B573" s="4">
        <v>40568</v>
      </c>
      <c r="C573" s="2">
        <v>1</v>
      </c>
      <c r="D573" s="2">
        <v>0</v>
      </c>
      <c r="E573" s="2">
        <v>1</v>
      </c>
      <c r="F573" s="2" t="s">
        <v>18</v>
      </c>
      <c r="G573" s="2">
        <v>23</v>
      </c>
      <c r="H573" s="2" t="b">
        <v>0</v>
      </c>
      <c r="I573" s="2">
        <v>2</v>
      </c>
      <c r="J573" s="2" t="s">
        <v>25</v>
      </c>
      <c r="K573" s="2">
        <v>2</v>
      </c>
      <c r="L573" s="2">
        <v>0.22</v>
      </c>
      <c r="M573" s="2">
        <v>0.2273</v>
      </c>
      <c r="N573" s="2">
        <v>0.64</v>
      </c>
      <c r="O573" s="2">
        <v>0.16420000000000001</v>
      </c>
      <c r="P573" s="2">
        <v>3</v>
      </c>
      <c r="Q573" s="2">
        <v>37</v>
      </c>
      <c r="R573" s="2">
        <v>40</v>
      </c>
    </row>
    <row r="574" spans="1:18" x14ac:dyDescent="0.3">
      <c r="A574" s="2">
        <v>572</v>
      </c>
      <c r="B574" s="4">
        <v>40569</v>
      </c>
      <c r="C574" s="2">
        <v>1</v>
      </c>
      <c r="D574" s="2">
        <v>0</v>
      </c>
      <c r="E574" s="2">
        <v>1</v>
      </c>
      <c r="F574" s="2" t="s">
        <v>18</v>
      </c>
      <c r="G574" s="2">
        <v>0</v>
      </c>
      <c r="H574" s="2" t="b">
        <v>0</v>
      </c>
      <c r="I574" s="2">
        <v>3</v>
      </c>
      <c r="J574" s="2" t="s">
        <v>25</v>
      </c>
      <c r="K574" s="2">
        <v>2</v>
      </c>
      <c r="L574" s="2">
        <v>0.22</v>
      </c>
      <c r="M574" s="2">
        <v>0.2273</v>
      </c>
      <c r="N574" s="2">
        <v>0.69</v>
      </c>
      <c r="O574" s="2">
        <v>0.1343</v>
      </c>
      <c r="P574" s="2">
        <v>3</v>
      </c>
      <c r="Q574" s="2">
        <v>14</v>
      </c>
      <c r="R574" s="2">
        <v>17</v>
      </c>
    </row>
    <row r="575" spans="1:18" x14ac:dyDescent="0.3">
      <c r="A575" s="2">
        <v>573</v>
      </c>
      <c r="B575" s="4">
        <v>40569</v>
      </c>
      <c r="C575" s="2">
        <v>1</v>
      </c>
      <c r="D575" s="2">
        <v>0</v>
      </c>
      <c r="E575" s="2">
        <v>1</v>
      </c>
      <c r="F575" s="2" t="s">
        <v>18</v>
      </c>
      <c r="G575" s="2">
        <v>1</v>
      </c>
      <c r="H575" s="2" t="b">
        <v>0</v>
      </c>
      <c r="I575" s="2">
        <v>3</v>
      </c>
      <c r="J575" s="2" t="s">
        <v>25</v>
      </c>
      <c r="K575" s="2">
        <v>2</v>
      </c>
      <c r="L575" s="2">
        <v>0.24</v>
      </c>
      <c r="M575" s="2">
        <v>0.2424</v>
      </c>
      <c r="N575" s="2">
        <v>0.65</v>
      </c>
      <c r="O575" s="2">
        <v>0.1343</v>
      </c>
      <c r="P575" s="2">
        <v>0</v>
      </c>
      <c r="Q575" s="2">
        <v>5</v>
      </c>
      <c r="R575" s="2">
        <v>5</v>
      </c>
    </row>
    <row r="576" spans="1:18" x14ac:dyDescent="0.3">
      <c r="A576" s="2">
        <v>574</v>
      </c>
      <c r="B576" s="4">
        <v>40569</v>
      </c>
      <c r="C576" s="2">
        <v>1</v>
      </c>
      <c r="D576" s="2">
        <v>0</v>
      </c>
      <c r="E576" s="2">
        <v>1</v>
      </c>
      <c r="F576" s="2" t="s">
        <v>18</v>
      </c>
      <c r="G576" s="2">
        <v>2</v>
      </c>
      <c r="H576" s="2" t="b">
        <v>0</v>
      </c>
      <c r="I576" s="2">
        <v>3</v>
      </c>
      <c r="J576" s="2" t="s">
        <v>25</v>
      </c>
      <c r="K576" s="2">
        <v>3</v>
      </c>
      <c r="L576" s="2">
        <v>0.22</v>
      </c>
      <c r="M576" s="2">
        <v>0.2273</v>
      </c>
      <c r="N576" s="2">
        <v>0.69</v>
      </c>
      <c r="O576" s="2">
        <v>0.19400000000000001</v>
      </c>
      <c r="P576" s="2">
        <v>3</v>
      </c>
      <c r="Q576" s="2">
        <v>7</v>
      </c>
      <c r="R576" s="2">
        <v>10</v>
      </c>
    </row>
    <row r="577" spans="1:18" x14ac:dyDescent="0.3">
      <c r="A577" s="2">
        <v>575</v>
      </c>
      <c r="B577" s="4">
        <v>40569</v>
      </c>
      <c r="C577" s="2">
        <v>1</v>
      </c>
      <c r="D577" s="2">
        <v>0</v>
      </c>
      <c r="E577" s="2">
        <v>1</v>
      </c>
      <c r="F577" s="2" t="s">
        <v>18</v>
      </c>
      <c r="G577" s="2">
        <v>5</v>
      </c>
      <c r="H577" s="2" t="b">
        <v>0</v>
      </c>
      <c r="I577" s="2">
        <v>3</v>
      </c>
      <c r="J577" s="2" t="s">
        <v>25</v>
      </c>
      <c r="K577" s="2">
        <v>3</v>
      </c>
      <c r="L577" s="2">
        <v>0.2</v>
      </c>
      <c r="M577" s="2">
        <v>0.18179999999999999</v>
      </c>
      <c r="N577" s="2">
        <v>0.86</v>
      </c>
      <c r="O577" s="2">
        <v>0.28360000000000002</v>
      </c>
      <c r="P577" s="2">
        <v>0</v>
      </c>
      <c r="Q577" s="2">
        <v>1</v>
      </c>
      <c r="R577" s="2">
        <v>1</v>
      </c>
    </row>
    <row r="578" spans="1:18" x14ac:dyDescent="0.3">
      <c r="A578" s="2">
        <v>576</v>
      </c>
      <c r="B578" s="4">
        <v>40569</v>
      </c>
      <c r="C578" s="2">
        <v>1</v>
      </c>
      <c r="D578" s="2">
        <v>0</v>
      </c>
      <c r="E578" s="2">
        <v>1</v>
      </c>
      <c r="F578" s="2" t="s">
        <v>18</v>
      </c>
      <c r="G578" s="2">
        <v>6</v>
      </c>
      <c r="H578" s="2" t="b">
        <v>0</v>
      </c>
      <c r="I578" s="2">
        <v>3</v>
      </c>
      <c r="J578" s="2" t="s">
        <v>26</v>
      </c>
      <c r="K578" s="2">
        <v>3</v>
      </c>
      <c r="L578" s="2">
        <v>0.2</v>
      </c>
      <c r="M578" s="2">
        <v>0.18179999999999999</v>
      </c>
      <c r="N578" s="2">
        <v>0.86</v>
      </c>
      <c r="O578" s="2">
        <v>0.28360000000000002</v>
      </c>
      <c r="P578" s="2">
        <v>0</v>
      </c>
      <c r="Q578" s="2">
        <v>8</v>
      </c>
      <c r="R578" s="2">
        <v>8</v>
      </c>
    </row>
    <row r="579" spans="1:18" x14ac:dyDescent="0.3">
      <c r="A579" s="2">
        <v>577</v>
      </c>
      <c r="B579" s="4">
        <v>40569</v>
      </c>
      <c r="C579" s="2">
        <v>1</v>
      </c>
      <c r="D579" s="2">
        <v>0</v>
      </c>
      <c r="E579" s="2">
        <v>1</v>
      </c>
      <c r="F579" s="2" t="s">
        <v>18</v>
      </c>
      <c r="G579" s="2">
        <v>7</v>
      </c>
      <c r="H579" s="2" t="b">
        <v>0</v>
      </c>
      <c r="I579" s="2">
        <v>3</v>
      </c>
      <c r="J579" s="2" t="s">
        <v>26</v>
      </c>
      <c r="K579" s="2">
        <v>3</v>
      </c>
      <c r="L579" s="2">
        <v>0.22</v>
      </c>
      <c r="M579" s="2">
        <v>0.21210000000000001</v>
      </c>
      <c r="N579" s="2">
        <v>0.87</v>
      </c>
      <c r="O579" s="2">
        <v>0.29849999999999999</v>
      </c>
      <c r="P579" s="2">
        <v>1</v>
      </c>
      <c r="Q579" s="2">
        <v>29</v>
      </c>
      <c r="R579" s="2">
        <v>30</v>
      </c>
    </row>
    <row r="580" spans="1:18" x14ac:dyDescent="0.3">
      <c r="A580" s="2">
        <v>578</v>
      </c>
      <c r="B580" s="4">
        <v>40569</v>
      </c>
      <c r="C580" s="2">
        <v>1</v>
      </c>
      <c r="D580" s="2">
        <v>0</v>
      </c>
      <c r="E580" s="2">
        <v>1</v>
      </c>
      <c r="F580" s="2" t="s">
        <v>18</v>
      </c>
      <c r="G580" s="2">
        <v>8</v>
      </c>
      <c r="H580" s="2" t="b">
        <v>0</v>
      </c>
      <c r="I580" s="2">
        <v>3</v>
      </c>
      <c r="J580" s="2" t="s">
        <v>26</v>
      </c>
      <c r="K580" s="2">
        <v>3</v>
      </c>
      <c r="L580" s="2">
        <v>0.22</v>
      </c>
      <c r="M580" s="2">
        <v>0.21210000000000001</v>
      </c>
      <c r="N580" s="2">
        <v>0.87</v>
      </c>
      <c r="O580" s="2">
        <v>0.29849999999999999</v>
      </c>
      <c r="P580" s="2">
        <v>3</v>
      </c>
      <c r="Q580" s="2">
        <v>69</v>
      </c>
      <c r="R580" s="2">
        <v>72</v>
      </c>
    </row>
    <row r="581" spans="1:18" x14ac:dyDescent="0.3">
      <c r="A581" s="2">
        <v>579</v>
      </c>
      <c r="B581" s="4">
        <v>40569</v>
      </c>
      <c r="C581" s="2">
        <v>1</v>
      </c>
      <c r="D581" s="2">
        <v>0</v>
      </c>
      <c r="E581" s="2">
        <v>1</v>
      </c>
      <c r="F581" s="2" t="s">
        <v>18</v>
      </c>
      <c r="G581" s="2">
        <v>9</v>
      </c>
      <c r="H581" s="2" t="b">
        <v>0</v>
      </c>
      <c r="I581" s="2">
        <v>3</v>
      </c>
      <c r="J581" s="2" t="s">
        <v>26</v>
      </c>
      <c r="K581" s="2">
        <v>3</v>
      </c>
      <c r="L581" s="2">
        <v>0.22</v>
      </c>
      <c r="M581" s="2">
        <v>0.21210000000000001</v>
      </c>
      <c r="N581" s="2">
        <v>0.87</v>
      </c>
      <c r="O581" s="2">
        <v>0.29849999999999999</v>
      </c>
      <c r="P581" s="2">
        <v>3</v>
      </c>
      <c r="Q581" s="2">
        <v>55</v>
      </c>
      <c r="R581" s="2">
        <v>58</v>
      </c>
    </row>
    <row r="582" spans="1:18" x14ac:dyDescent="0.3">
      <c r="A582" s="2">
        <v>580</v>
      </c>
      <c r="B582" s="4">
        <v>40569</v>
      </c>
      <c r="C582" s="2">
        <v>1</v>
      </c>
      <c r="D582" s="2">
        <v>0</v>
      </c>
      <c r="E582" s="2">
        <v>1</v>
      </c>
      <c r="F582" s="2" t="s">
        <v>18</v>
      </c>
      <c r="G582" s="2">
        <v>10</v>
      </c>
      <c r="H582" s="2" t="b">
        <v>0</v>
      </c>
      <c r="I582" s="2">
        <v>3</v>
      </c>
      <c r="J582" s="2" t="s">
        <v>26</v>
      </c>
      <c r="K582" s="2">
        <v>3</v>
      </c>
      <c r="L582" s="2">
        <v>0.22</v>
      </c>
      <c r="M582" s="2">
        <v>0.21210000000000001</v>
      </c>
      <c r="N582" s="2">
        <v>0.93</v>
      </c>
      <c r="O582" s="2">
        <v>0.28360000000000002</v>
      </c>
      <c r="P582" s="2">
        <v>2</v>
      </c>
      <c r="Q582" s="2">
        <v>26</v>
      </c>
      <c r="R582" s="2">
        <v>28</v>
      </c>
    </row>
    <row r="583" spans="1:18" x14ac:dyDescent="0.3">
      <c r="A583" s="2">
        <v>581</v>
      </c>
      <c r="B583" s="4">
        <v>40569</v>
      </c>
      <c r="C583" s="2">
        <v>1</v>
      </c>
      <c r="D583" s="2">
        <v>0</v>
      </c>
      <c r="E583" s="2">
        <v>1</v>
      </c>
      <c r="F583" s="2" t="s">
        <v>18</v>
      </c>
      <c r="G583" s="2">
        <v>11</v>
      </c>
      <c r="H583" s="2" t="b">
        <v>0</v>
      </c>
      <c r="I583" s="2">
        <v>3</v>
      </c>
      <c r="J583" s="2" t="s">
        <v>26</v>
      </c>
      <c r="K583" s="2">
        <v>3</v>
      </c>
      <c r="L583" s="2">
        <v>0.22</v>
      </c>
      <c r="M583" s="2">
        <v>0.19700000000000001</v>
      </c>
      <c r="N583" s="2">
        <v>0.93</v>
      </c>
      <c r="O583" s="2">
        <v>0.32840000000000003</v>
      </c>
      <c r="P583" s="2">
        <v>6</v>
      </c>
      <c r="Q583" s="2">
        <v>35</v>
      </c>
      <c r="R583" s="2">
        <v>41</v>
      </c>
    </row>
    <row r="584" spans="1:18" x14ac:dyDescent="0.3">
      <c r="A584" s="2">
        <v>582</v>
      </c>
      <c r="B584" s="4">
        <v>40569</v>
      </c>
      <c r="C584" s="2">
        <v>1</v>
      </c>
      <c r="D584" s="2">
        <v>0</v>
      </c>
      <c r="E584" s="2">
        <v>1</v>
      </c>
      <c r="F584" s="2" t="s">
        <v>18</v>
      </c>
      <c r="G584" s="2">
        <v>12</v>
      </c>
      <c r="H584" s="2" t="b">
        <v>0</v>
      </c>
      <c r="I584" s="2">
        <v>3</v>
      </c>
      <c r="J584" s="2" t="s">
        <v>26</v>
      </c>
      <c r="K584" s="2">
        <v>3</v>
      </c>
      <c r="L584" s="2">
        <v>0.22</v>
      </c>
      <c r="M584" s="2">
        <v>0.19700000000000001</v>
      </c>
      <c r="N584" s="2">
        <v>0.93</v>
      </c>
      <c r="O584" s="2">
        <v>0.32840000000000003</v>
      </c>
      <c r="P584" s="2">
        <v>7</v>
      </c>
      <c r="Q584" s="2">
        <v>41</v>
      </c>
      <c r="R584" s="2">
        <v>48</v>
      </c>
    </row>
    <row r="585" spans="1:18" x14ac:dyDescent="0.3">
      <c r="A585" s="2">
        <v>583</v>
      </c>
      <c r="B585" s="4">
        <v>40569</v>
      </c>
      <c r="C585" s="2">
        <v>1</v>
      </c>
      <c r="D585" s="2">
        <v>0</v>
      </c>
      <c r="E585" s="2">
        <v>1</v>
      </c>
      <c r="F585" s="2" t="s">
        <v>18</v>
      </c>
      <c r="G585" s="2">
        <v>13</v>
      </c>
      <c r="H585" s="2" t="b">
        <v>0</v>
      </c>
      <c r="I585" s="2">
        <v>3</v>
      </c>
      <c r="J585" s="2" t="s">
        <v>26</v>
      </c>
      <c r="K585" s="2">
        <v>3</v>
      </c>
      <c r="L585" s="2">
        <v>0.22</v>
      </c>
      <c r="M585" s="2">
        <v>0.19700000000000001</v>
      </c>
      <c r="N585" s="2">
        <v>0.93</v>
      </c>
      <c r="O585" s="2">
        <v>0.32840000000000003</v>
      </c>
      <c r="P585" s="2">
        <v>4</v>
      </c>
      <c r="Q585" s="2">
        <v>43</v>
      </c>
      <c r="R585" s="2">
        <v>47</v>
      </c>
    </row>
    <row r="586" spans="1:18" x14ac:dyDescent="0.3">
      <c r="A586" s="2">
        <v>584</v>
      </c>
      <c r="B586" s="4">
        <v>40569</v>
      </c>
      <c r="C586" s="2">
        <v>1</v>
      </c>
      <c r="D586" s="2">
        <v>0</v>
      </c>
      <c r="E586" s="2">
        <v>1</v>
      </c>
      <c r="F586" s="2" t="s">
        <v>18</v>
      </c>
      <c r="G586" s="2">
        <v>14</v>
      </c>
      <c r="H586" s="2" t="b">
        <v>0</v>
      </c>
      <c r="I586" s="2">
        <v>3</v>
      </c>
      <c r="J586" s="2" t="s">
        <v>26</v>
      </c>
      <c r="K586" s="2">
        <v>3</v>
      </c>
      <c r="L586" s="2">
        <v>0.22</v>
      </c>
      <c r="M586" s="2">
        <v>0.19700000000000001</v>
      </c>
      <c r="N586" s="2">
        <v>0.93</v>
      </c>
      <c r="O586" s="2">
        <v>0.35820000000000002</v>
      </c>
      <c r="P586" s="2">
        <v>0</v>
      </c>
      <c r="Q586" s="2">
        <v>36</v>
      </c>
      <c r="R586" s="2">
        <v>36</v>
      </c>
    </row>
    <row r="587" spans="1:18" x14ac:dyDescent="0.3">
      <c r="A587" s="2">
        <v>585</v>
      </c>
      <c r="B587" s="4">
        <v>40569</v>
      </c>
      <c r="C587" s="2">
        <v>1</v>
      </c>
      <c r="D587" s="2">
        <v>0</v>
      </c>
      <c r="E587" s="2">
        <v>1</v>
      </c>
      <c r="F587" s="2" t="s">
        <v>18</v>
      </c>
      <c r="G587" s="2">
        <v>15</v>
      </c>
      <c r="H587" s="2" t="b">
        <v>0</v>
      </c>
      <c r="I587" s="2">
        <v>3</v>
      </c>
      <c r="J587" s="2" t="s">
        <v>26</v>
      </c>
      <c r="K587" s="2">
        <v>3</v>
      </c>
      <c r="L587" s="2">
        <v>0.22</v>
      </c>
      <c r="M587" s="2">
        <v>0.18179999999999999</v>
      </c>
      <c r="N587" s="2">
        <v>0.93</v>
      </c>
      <c r="O587" s="2">
        <v>0.4627</v>
      </c>
      <c r="P587" s="2">
        <v>1</v>
      </c>
      <c r="Q587" s="2">
        <v>42</v>
      </c>
      <c r="R587" s="2">
        <v>43</v>
      </c>
    </row>
    <row r="588" spans="1:18" x14ac:dyDescent="0.3">
      <c r="A588" s="2">
        <v>586</v>
      </c>
      <c r="B588" s="4">
        <v>40569</v>
      </c>
      <c r="C588" s="2">
        <v>1</v>
      </c>
      <c r="D588" s="2">
        <v>0</v>
      </c>
      <c r="E588" s="2">
        <v>1</v>
      </c>
      <c r="F588" s="2" t="s">
        <v>18</v>
      </c>
      <c r="G588" s="2">
        <v>16</v>
      </c>
      <c r="H588" s="2" t="b">
        <v>0</v>
      </c>
      <c r="I588" s="2">
        <v>3</v>
      </c>
      <c r="J588" s="2" t="s">
        <v>26</v>
      </c>
      <c r="K588" s="2">
        <v>4</v>
      </c>
      <c r="L588" s="2">
        <v>0.22</v>
      </c>
      <c r="M588" s="2">
        <v>0.19700000000000001</v>
      </c>
      <c r="N588" s="2">
        <v>0.93</v>
      </c>
      <c r="O588" s="2">
        <v>0.32840000000000003</v>
      </c>
      <c r="P588" s="2">
        <v>1</v>
      </c>
      <c r="Q588" s="2">
        <v>35</v>
      </c>
      <c r="R588" s="2">
        <v>36</v>
      </c>
    </row>
    <row r="589" spans="1:18" x14ac:dyDescent="0.3">
      <c r="A589" s="2">
        <v>587</v>
      </c>
      <c r="B589" s="4">
        <v>40569</v>
      </c>
      <c r="C589" s="2">
        <v>1</v>
      </c>
      <c r="D589" s="2">
        <v>0</v>
      </c>
      <c r="E589" s="2">
        <v>1</v>
      </c>
      <c r="F589" s="2" t="s">
        <v>18</v>
      </c>
      <c r="G589" s="2">
        <v>17</v>
      </c>
      <c r="H589" s="2" t="b">
        <v>0</v>
      </c>
      <c r="I589" s="2">
        <v>3</v>
      </c>
      <c r="J589" s="2" t="s">
        <v>26</v>
      </c>
      <c r="K589" s="2">
        <v>3</v>
      </c>
      <c r="L589" s="2">
        <v>0.2</v>
      </c>
      <c r="M589" s="2">
        <v>0.18179999999999999</v>
      </c>
      <c r="N589" s="2">
        <v>0.93</v>
      </c>
      <c r="O589" s="2">
        <v>0.35820000000000002</v>
      </c>
      <c r="P589" s="2">
        <v>0</v>
      </c>
      <c r="Q589" s="2">
        <v>26</v>
      </c>
      <c r="R589" s="2">
        <v>26</v>
      </c>
    </row>
    <row r="590" spans="1:18" x14ac:dyDescent="0.3">
      <c r="A590" s="2">
        <v>588</v>
      </c>
      <c r="B590" s="4">
        <v>40570</v>
      </c>
      <c r="C590" s="2">
        <v>1</v>
      </c>
      <c r="D590" s="2">
        <v>0</v>
      </c>
      <c r="E590" s="2">
        <v>1</v>
      </c>
      <c r="F590" s="2" t="s">
        <v>18</v>
      </c>
      <c r="G590" s="2">
        <v>16</v>
      </c>
      <c r="H590" s="2" t="b">
        <v>0</v>
      </c>
      <c r="I590" s="2">
        <v>4</v>
      </c>
      <c r="J590" s="2" t="s">
        <v>26</v>
      </c>
      <c r="K590" s="2">
        <v>1</v>
      </c>
      <c r="L590" s="2">
        <v>0.22</v>
      </c>
      <c r="M590" s="2">
        <v>0.2273</v>
      </c>
      <c r="N590" s="2">
        <v>0.55000000000000004</v>
      </c>
      <c r="O590" s="2">
        <v>0.19400000000000001</v>
      </c>
      <c r="P590" s="2">
        <v>1</v>
      </c>
      <c r="Q590" s="2">
        <v>23</v>
      </c>
      <c r="R590" s="2">
        <v>24</v>
      </c>
    </row>
    <row r="591" spans="1:18" x14ac:dyDescent="0.3">
      <c r="A591" s="2">
        <v>589</v>
      </c>
      <c r="B591" s="4">
        <v>40570</v>
      </c>
      <c r="C591" s="2">
        <v>1</v>
      </c>
      <c r="D591" s="2">
        <v>0</v>
      </c>
      <c r="E591" s="2">
        <v>1</v>
      </c>
      <c r="F591" s="2" t="s">
        <v>18</v>
      </c>
      <c r="G591" s="2">
        <v>17</v>
      </c>
      <c r="H591" s="2" t="b">
        <v>0</v>
      </c>
      <c r="I591" s="2">
        <v>4</v>
      </c>
      <c r="J591" s="2" t="s">
        <v>26</v>
      </c>
      <c r="K591" s="2">
        <v>1</v>
      </c>
      <c r="L591" s="2">
        <v>0.22</v>
      </c>
      <c r="M591" s="2">
        <v>0.2424</v>
      </c>
      <c r="N591" s="2">
        <v>0.55000000000000004</v>
      </c>
      <c r="O591" s="2">
        <v>0.1045</v>
      </c>
      <c r="P591" s="2">
        <v>2</v>
      </c>
      <c r="Q591" s="2">
        <v>82</v>
      </c>
      <c r="R591" s="2">
        <v>84</v>
      </c>
    </row>
    <row r="592" spans="1:18" x14ac:dyDescent="0.3">
      <c r="A592" s="2">
        <v>590</v>
      </c>
      <c r="B592" s="4">
        <v>40570</v>
      </c>
      <c r="C592" s="2">
        <v>1</v>
      </c>
      <c r="D592" s="2">
        <v>0</v>
      </c>
      <c r="E592" s="2">
        <v>1</v>
      </c>
      <c r="F592" s="2" t="s">
        <v>18</v>
      </c>
      <c r="G592" s="2">
        <v>18</v>
      </c>
      <c r="H592" s="2" t="b">
        <v>0</v>
      </c>
      <c r="I592" s="2">
        <v>4</v>
      </c>
      <c r="J592" s="2" t="s">
        <v>26</v>
      </c>
      <c r="K592" s="2">
        <v>1</v>
      </c>
      <c r="L592" s="2">
        <v>0.2</v>
      </c>
      <c r="M592" s="2">
        <v>0.2273</v>
      </c>
      <c r="N592" s="2">
        <v>0.69</v>
      </c>
      <c r="O592" s="2">
        <v>8.9599999999999999E-2</v>
      </c>
      <c r="P592" s="2">
        <v>3</v>
      </c>
      <c r="Q592" s="2">
        <v>101</v>
      </c>
      <c r="R592" s="2">
        <v>104</v>
      </c>
    </row>
    <row r="593" spans="1:18" x14ac:dyDescent="0.3">
      <c r="A593" s="2">
        <v>591</v>
      </c>
      <c r="B593" s="4">
        <v>40570</v>
      </c>
      <c r="C593" s="2">
        <v>1</v>
      </c>
      <c r="D593" s="2">
        <v>0</v>
      </c>
      <c r="E593" s="2">
        <v>1</v>
      </c>
      <c r="F593" s="2" t="s">
        <v>18</v>
      </c>
      <c r="G593" s="2">
        <v>19</v>
      </c>
      <c r="H593" s="2" t="b">
        <v>0</v>
      </c>
      <c r="I593" s="2">
        <v>4</v>
      </c>
      <c r="J593" s="2" t="s">
        <v>26</v>
      </c>
      <c r="K593" s="2">
        <v>1</v>
      </c>
      <c r="L593" s="2">
        <v>0.2</v>
      </c>
      <c r="M593" s="2">
        <v>0.2273</v>
      </c>
      <c r="N593" s="2">
        <v>0.69</v>
      </c>
      <c r="O593" s="2">
        <v>8.9599999999999999E-2</v>
      </c>
      <c r="P593" s="2">
        <v>3</v>
      </c>
      <c r="Q593" s="2">
        <v>76</v>
      </c>
      <c r="R593" s="2">
        <v>79</v>
      </c>
    </row>
    <row r="594" spans="1:18" x14ac:dyDescent="0.3">
      <c r="A594" s="2">
        <v>592</v>
      </c>
      <c r="B594" s="4">
        <v>40570</v>
      </c>
      <c r="C594" s="2">
        <v>1</v>
      </c>
      <c r="D594" s="2">
        <v>0</v>
      </c>
      <c r="E594" s="2">
        <v>1</v>
      </c>
      <c r="F594" s="2" t="s">
        <v>18</v>
      </c>
      <c r="G594" s="2">
        <v>20</v>
      </c>
      <c r="H594" s="2" t="b">
        <v>0</v>
      </c>
      <c r="I594" s="2">
        <v>4</v>
      </c>
      <c r="J594" s="2" t="s">
        <v>26</v>
      </c>
      <c r="K594" s="2">
        <v>1</v>
      </c>
      <c r="L594" s="2">
        <v>0.18</v>
      </c>
      <c r="M594" s="2">
        <v>0.21210000000000001</v>
      </c>
      <c r="N594" s="2">
        <v>0.74</v>
      </c>
      <c r="O594" s="2">
        <v>8.9599999999999999E-2</v>
      </c>
      <c r="P594" s="2">
        <v>4</v>
      </c>
      <c r="Q594" s="2">
        <v>55</v>
      </c>
      <c r="R594" s="2">
        <v>59</v>
      </c>
    </row>
    <row r="595" spans="1:18" x14ac:dyDescent="0.3">
      <c r="A595" s="2">
        <v>593</v>
      </c>
      <c r="B595" s="4">
        <v>40570</v>
      </c>
      <c r="C595" s="2">
        <v>1</v>
      </c>
      <c r="D595" s="2">
        <v>0</v>
      </c>
      <c r="E595" s="2">
        <v>1</v>
      </c>
      <c r="F595" s="2" t="s">
        <v>18</v>
      </c>
      <c r="G595" s="2">
        <v>21</v>
      </c>
      <c r="H595" s="2" t="b">
        <v>0</v>
      </c>
      <c r="I595" s="2">
        <v>4</v>
      </c>
      <c r="J595" s="2" t="s">
        <v>26</v>
      </c>
      <c r="K595" s="2">
        <v>1</v>
      </c>
      <c r="L595" s="2">
        <v>0.18</v>
      </c>
      <c r="M595" s="2">
        <v>0.21210000000000001</v>
      </c>
      <c r="N595" s="2">
        <v>0.74</v>
      </c>
      <c r="O595" s="2">
        <v>8.9599999999999999E-2</v>
      </c>
      <c r="P595" s="2">
        <v>2</v>
      </c>
      <c r="Q595" s="2">
        <v>36</v>
      </c>
      <c r="R595" s="2">
        <v>38</v>
      </c>
    </row>
    <row r="596" spans="1:18" x14ac:dyDescent="0.3">
      <c r="A596" s="2">
        <v>594</v>
      </c>
      <c r="B596" s="4">
        <v>40570</v>
      </c>
      <c r="C596" s="2">
        <v>1</v>
      </c>
      <c r="D596" s="2">
        <v>0</v>
      </c>
      <c r="E596" s="2">
        <v>1</v>
      </c>
      <c r="F596" s="2" t="s">
        <v>18</v>
      </c>
      <c r="G596" s="2">
        <v>22</v>
      </c>
      <c r="H596" s="2" t="b">
        <v>0</v>
      </c>
      <c r="I596" s="2">
        <v>4</v>
      </c>
      <c r="J596" s="2" t="s">
        <v>26</v>
      </c>
      <c r="K596" s="2">
        <v>1</v>
      </c>
      <c r="L596" s="2">
        <v>0.18</v>
      </c>
      <c r="M596" s="2">
        <v>0.21210000000000001</v>
      </c>
      <c r="N596" s="2">
        <v>0.74</v>
      </c>
      <c r="O596" s="2">
        <v>8.9599999999999999E-2</v>
      </c>
      <c r="P596" s="2">
        <v>0</v>
      </c>
      <c r="Q596" s="2">
        <v>27</v>
      </c>
      <c r="R596" s="2">
        <v>27</v>
      </c>
    </row>
    <row r="597" spans="1:18" x14ac:dyDescent="0.3">
      <c r="A597" s="2">
        <v>595</v>
      </c>
      <c r="B597" s="4">
        <v>40570</v>
      </c>
      <c r="C597" s="2">
        <v>1</v>
      </c>
      <c r="D597" s="2">
        <v>0</v>
      </c>
      <c r="E597" s="2">
        <v>1</v>
      </c>
      <c r="F597" s="2" t="s">
        <v>18</v>
      </c>
      <c r="G597" s="2">
        <v>23</v>
      </c>
      <c r="H597" s="2" t="b">
        <v>0</v>
      </c>
      <c r="I597" s="2">
        <v>4</v>
      </c>
      <c r="J597" s="2" t="s">
        <v>26</v>
      </c>
      <c r="K597" s="2">
        <v>1</v>
      </c>
      <c r="L597" s="2">
        <v>0.18</v>
      </c>
      <c r="M597" s="2">
        <v>0.19700000000000001</v>
      </c>
      <c r="N597" s="2">
        <v>0.8</v>
      </c>
      <c r="O597" s="2">
        <v>0.16420000000000001</v>
      </c>
      <c r="P597" s="2">
        <v>0</v>
      </c>
      <c r="Q597" s="2">
        <v>16</v>
      </c>
      <c r="R597" s="2">
        <v>16</v>
      </c>
    </row>
    <row r="598" spans="1:18" x14ac:dyDescent="0.3">
      <c r="A598" s="2">
        <v>596</v>
      </c>
      <c r="B598" s="4">
        <v>40571</v>
      </c>
      <c r="C598" s="2">
        <v>1</v>
      </c>
      <c r="D598" s="2">
        <v>0</v>
      </c>
      <c r="E598" s="2">
        <v>1</v>
      </c>
      <c r="F598" s="2" t="s">
        <v>18</v>
      </c>
      <c r="G598" s="2">
        <v>0</v>
      </c>
      <c r="H598" s="2" t="b">
        <v>0</v>
      </c>
      <c r="I598" s="2">
        <v>5</v>
      </c>
      <c r="J598" s="2" t="s">
        <v>26</v>
      </c>
      <c r="K598" s="2">
        <v>2</v>
      </c>
      <c r="L598" s="2">
        <v>0.2</v>
      </c>
      <c r="M598" s="2">
        <v>0.21210000000000001</v>
      </c>
      <c r="N598" s="2">
        <v>0.75</v>
      </c>
      <c r="O598" s="2">
        <v>0.1343</v>
      </c>
      <c r="P598" s="2">
        <v>0</v>
      </c>
      <c r="Q598" s="2">
        <v>9</v>
      </c>
      <c r="R598" s="2">
        <v>9</v>
      </c>
    </row>
    <row r="599" spans="1:18" x14ac:dyDescent="0.3">
      <c r="A599" s="2">
        <v>597</v>
      </c>
      <c r="B599" s="4">
        <v>40571</v>
      </c>
      <c r="C599" s="2">
        <v>1</v>
      </c>
      <c r="D599" s="2">
        <v>0</v>
      </c>
      <c r="E599" s="2">
        <v>1</v>
      </c>
      <c r="F599" s="2" t="s">
        <v>18</v>
      </c>
      <c r="G599" s="2">
        <v>1</v>
      </c>
      <c r="H599" s="2" t="b">
        <v>0</v>
      </c>
      <c r="I599" s="2">
        <v>5</v>
      </c>
      <c r="J599" s="2" t="s">
        <v>26</v>
      </c>
      <c r="K599" s="2">
        <v>2</v>
      </c>
      <c r="L599" s="2">
        <v>0.2</v>
      </c>
      <c r="M599" s="2">
        <v>0.21210000000000001</v>
      </c>
      <c r="N599" s="2">
        <v>0.75</v>
      </c>
      <c r="O599" s="2">
        <v>0.1343</v>
      </c>
      <c r="P599" s="2">
        <v>1</v>
      </c>
      <c r="Q599" s="2">
        <v>2</v>
      </c>
      <c r="R599" s="2">
        <v>3</v>
      </c>
    </row>
    <row r="600" spans="1:18" x14ac:dyDescent="0.3">
      <c r="A600" s="2">
        <v>598</v>
      </c>
      <c r="B600" s="4">
        <v>40571</v>
      </c>
      <c r="C600" s="2">
        <v>1</v>
      </c>
      <c r="D600" s="2">
        <v>0</v>
      </c>
      <c r="E600" s="2">
        <v>1</v>
      </c>
      <c r="F600" s="2" t="s">
        <v>18</v>
      </c>
      <c r="G600" s="2">
        <v>2</v>
      </c>
      <c r="H600" s="2" t="b">
        <v>0</v>
      </c>
      <c r="I600" s="2">
        <v>5</v>
      </c>
      <c r="J600" s="2" t="s">
        <v>26</v>
      </c>
      <c r="K600" s="2">
        <v>2</v>
      </c>
      <c r="L600" s="2">
        <v>0.2</v>
      </c>
      <c r="M600" s="2">
        <v>0.21210000000000001</v>
      </c>
      <c r="N600" s="2">
        <v>0.75</v>
      </c>
      <c r="O600" s="2">
        <v>0.16420000000000001</v>
      </c>
      <c r="P600" s="2">
        <v>0</v>
      </c>
      <c r="Q600" s="2">
        <v>2</v>
      </c>
      <c r="R600" s="2">
        <v>2</v>
      </c>
    </row>
    <row r="601" spans="1:18" x14ac:dyDescent="0.3">
      <c r="A601" s="2">
        <v>599</v>
      </c>
      <c r="B601" s="4">
        <v>40571</v>
      </c>
      <c r="C601" s="2">
        <v>1</v>
      </c>
      <c r="D601" s="2">
        <v>0</v>
      </c>
      <c r="E601" s="2">
        <v>1</v>
      </c>
      <c r="F601" s="2" t="s">
        <v>18</v>
      </c>
      <c r="G601" s="2">
        <v>3</v>
      </c>
      <c r="H601" s="2" t="b">
        <v>0</v>
      </c>
      <c r="I601" s="2">
        <v>5</v>
      </c>
      <c r="J601" s="2" t="s">
        <v>27</v>
      </c>
      <c r="K601" s="2">
        <v>2</v>
      </c>
      <c r="L601" s="2">
        <v>0.2</v>
      </c>
      <c r="M601" s="2">
        <v>0.2273</v>
      </c>
      <c r="N601" s="2">
        <v>0.75</v>
      </c>
      <c r="O601" s="2">
        <v>0.1045</v>
      </c>
      <c r="P601" s="2">
        <v>1</v>
      </c>
      <c r="Q601" s="2">
        <v>0</v>
      </c>
      <c r="R601" s="2">
        <v>1</v>
      </c>
    </row>
    <row r="602" spans="1:18" x14ac:dyDescent="0.3">
      <c r="A602" s="2">
        <v>600</v>
      </c>
      <c r="B602" s="4">
        <v>40571</v>
      </c>
      <c r="C602" s="2">
        <v>1</v>
      </c>
      <c r="D602" s="2">
        <v>0</v>
      </c>
      <c r="E602" s="2">
        <v>1</v>
      </c>
      <c r="F602" s="2" t="s">
        <v>18</v>
      </c>
      <c r="G602" s="2">
        <v>5</v>
      </c>
      <c r="H602" s="2" t="b">
        <v>0</v>
      </c>
      <c r="I602" s="2">
        <v>5</v>
      </c>
      <c r="J602" s="2" t="s">
        <v>27</v>
      </c>
      <c r="K602" s="2">
        <v>2</v>
      </c>
      <c r="L602" s="2">
        <v>0.18</v>
      </c>
      <c r="M602" s="2">
        <v>0.21210000000000001</v>
      </c>
      <c r="N602" s="2">
        <v>0.8</v>
      </c>
      <c r="O602" s="2">
        <v>0.1045</v>
      </c>
      <c r="P602" s="2">
        <v>0</v>
      </c>
      <c r="Q602" s="2">
        <v>4</v>
      </c>
      <c r="R602" s="2">
        <v>4</v>
      </c>
    </row>
    <row r="603" spans="1:18" x14ac:dyDescent="0.3">
      <c r="A603" s="2">
        <v>601</v>
      </c>
      <c r="B603" s="4">
        <v>40571</v>
      </c>
      <c r="C603" s="2">
        <v>1</v>
      </c>
      <c r="D603" s="2">
        <v>0</v>
      </c>
      <c r="E603" s="2">
        <v>1</v>
      </c>
      <c r="F603" s="2" t="s">
        <v>18</v>
      </c>
      <c r="G603" s="2">
        <v>6</v>
      </c>
      <c r="H603" s="2" t="b">
        <v>0</v>
      </c>
      <c r="I603" s="2">
        <v>5</v>
      </c>
      <c r="J603" s="2" t="s">
        <v>27</v>
      </c>
      <c r="K603" s="2">
        <v>2</v>
      </c>
      <c r="L603" s="2">
        <v>0.18</v>
      </c>
      <c r="M603" s="2">
        <v>0.19700000000000001</v>
      </c>
      <c r="N603" s="2">
        <v>0.8</v>
      </c>
      <c r="O603" s="2">
        <v>0.1343</v>
      </c>
      <c r="P603" s="2">
        <v>0</v>
      </c>
      <c r="Q603" s="2">
        <v>16</v>
      </c>
      <c r="R603" s="2">
        <v>16</v>
      </c>
    </row>
    <row r="604" spans="1:18" x14ac:dyDescent="0.3">
      <c r="A604" s="2">
        <v>602</v>
      </c>
      <c r="B604" s="4">
        <v>40571</v>
      </c>
      <c r="C604" s="2">
        <v>1</v>
      </c>
      <c r="D604" s="2">
        <v>0</v>
      </c>
      <c r="E604" s="2">
        <v>1</v>
      </c>
      <c r="F604" s="2" t="s">
        <v>18</v>
      </c>
      <c r="G604" s="2">
        <v>7</v>
      </c>
      <c r="H604" s="2" t="b">
        <v>0</v>
      </c>
      <c r="I604" s="2">
        <v>5</v>
      </c>
      <c r="J604" s="2" t="s">
        <v>27</v>
      </c>
      <c r="K604" s="2">
        <v>2</v>
      </c>
      <c r="L604" s="2">
        <v>0.16</v>
      </c>
      <c r="M604" s="2">
        <v>0.19700000000000001</v>
      </c>
      <c r="N604" s="2">
        <v>0.86</v>
      </c>
      <c r="O604" s="2">
        <v>8.9599999999999999E-2</v>
      </c>
      <c r="P604" s="2">
        <v>2</v>
      </c>
      <c r="Q604" s="2">
        <v>58</v>
      </c>
      <c r="R604" s="2">
        <v>60</v>
      </c>
    </row>
    <row r="605" spans="1:18" x14ac:dyDescent="0.3">
      <c r="A605" s="2">
        <v>603</v>
      </c>
      <c r="B605" s="4">
        <v>40571</v>
      </c>
      <c r="C605" s="2">
        <v>1</v>
      </c>
      <c r="D605" s="2">
        <v>0</v>
      </c>
      <c r="E605" s="2">
        <v>1</v>
      </c>
      <c r="F605" s="2" t="s">
        <v>18</v>
      </c>
      <c r="G605" s="2">
        <v>8</v>
      </c>
      <c r="H605" s="2" t="b">
        <v>0</v>
      </c>
      <c r="I605" s="2">
        <v>5</v>
      </c>
      <c r="J605" s="2" t="s">
        <v>27</v>
      </c>
      <c r="K605" s="2">
        <v>2</v>
      </c>
      <c r="L605" s="2">
        <v>0.16</v>
      </c>
      <c r="M605" s="2">
        <v>0.19700000000000001</v>
      </c>
      <c r="N605" s="2">
        <v>0.86</v>
      </c>
      <c r="O605" s="2">
        <v>8.9599999999999999E-2</v>
      </c>
      <c r="P605" s="2">
        <v>2</v>
      </c>
      <c r="Q605" s="2">
        <v>155</v>
      </c>
      <c r="R605" s="2">
        <v>157</v>
      </c>
    </row>
    <row r="606" spans="1:18" x14ac:dyDescent="0.3">
      <c r="A606" s="2">
        <v>604</v>
      </c>
      <c r="B606" s="4">
        <v>40571</v>
      </c>
      <c r="C606" s="2">
        <v>1</v>
      </c>
      <c r="D606" s="2">
        <v>0</v>
      </c>
      <c r="E606" s="2">
        <v>1</v>
      </c>
      <c r="F606" s="2" t="s">
        <v>18</v>
      </c>
      <c r="G606" s="2">
        <v>9</v>
      </c>
      <c r="H606" s="2" t="b">
        <v>0</v>
      </c>
      <c r="I606" s="2">
        <v>5</v>
      </c>
      <c r="J606" s="2" t="s">
        <v>27</v>
      </c>
      <c r="K606" s="2">
        <v>3</v>
      </c>
      <c r="L606" s="2">
        <v>0.18</v>
      </c>
      <c r="M606" s="2">
        <v>0.21210000000000001</v>
      </c>
      <c r="N606" s="2">
        <v>0.86</v>
      </c>
      <c r="O606" s="2">
        <v>8.9599999999999999E-2</v>
      </c>
      <c r="P606" s="2">
        <v>6</v>
      </c>
      <c r="Q606" s="2">
        <v>95</v>
      </c>
      <c r="R606" s="2">
        <v>101</v>
      </c>
    </row>
    <row r="607" spans="1:18" x14ac:dyDescent="0.3">
      <c r="A607" s="2">
        <v>605</v>
      </c>
      <c r="B607" s="4">
        <v>40571</v>
      </c>
      <c r="C607" s="2">
        <v>1</v>
      </c>
      <c r="D607" s="2">
        <v>0</v>
      </c>
      <c r="E607" s="2">
        <v>1</v>
      </c>
      <c r="F607" s="2" t="s">
        <v>18</v>
      </c>
      <c r="G607" s="2">
        <v>10</v>
      </c>
      <c r="H607" s="2" t="b">
        <v>0</v>
      </c>
      <c r="I607" s="2">
        <v>5</v>
      </c>
      <c r="J607" s="2" t="s">
        <v>27</v>
      </c>
      <c r="K607" s="2">
        <v>3</v>
      </c>
      <c r="L607" s="2">
        <v>0.18</v>
      </c>
      <c r="M607" s="2">
        <v>0.21210000000000001</v>
      </c>
      <c r="N607" s="2">
        <v>0.86</v>
      </c>
      <c r="O607" s="2">
        <v>0.1045</v>
      </c>
      <c r="P607" s="2">
        <v>0</v>
      </c>
      <c r="Q607" s="2">
        <v>49</v>
      </c>
      <c r="R607" s="2">
        <v>49</v>
      </c>
    </row>
    <row r="608" spans="1:18" x14ac:dyDescent="0.3">
      <c r="A608" s="2">
        <v>606</v>
      </c>
      <c r="B608" s="4">
        <v>40571</v>
      </c>
      <c r="C608" s="2">
        <v>1</v>
      </c>
      <c r="D608" s="2">
        <v>0</v>
      </c>
      <c r="E608" s="2">
        <v>1</v>
      </c>
      <c r="F608" s="2" t="s">
        <v>18</v>
      </c>
      <c r="G608" s="2">
        <v>11</v>
      </c>
      <c r="H608" s="2" t="b">
        <v>0</v>
      </c>
      <c r="I608" s="2">
        <v>5</v>
      </c>
      <c r="J608" s="2" t="s">
        <v>27</v>
      </c>
      <c r="K608" s="2">
        <v>3</v>
      </c>
      <c r="L608" s="2">
        <v>0.18</v>
      </c>
      <c r="M608" s="2">
        <v>0.21210000000000001</v>
      </c>
      <c r="N608" s="2">
        <v>0.93</v>
      </c>
      <c r="O608" s="2">
        <v>0.1045</v>
      </c>
      <c r="P608" s="2">
        <v>0</v>
      </c>
      <c r="Q608" s="2">
        <v>30</v>
      </c>
      <c r="R608" s="2">
        <v>30</v>
      </c>
    </row>
    <row r="609" spans="1:18" x14ac:dyDescent="0.3">
      <c r="A609" s="2">
        <v>607</v>
      </c>
      <c r="B609" s="4">
        <v>40571</v>
      </c>
      <c r="C609" s="2">
        <v>1</v>
      </c>
      <c r="D609" s="2">
        <v>0</v>
      </c>
      <c r="E609" s="2">
        <v>1</v>
      </c>
      <c r="F609" s="2" t="s">
        <v>18</v>
      </c>
      <c r="G609" s="2">
        <v>12</v>
      </c>
      <c r="H609" s="2" t="b">
        <v>0</v>
      </c>
      <c r="I609" s="2">
        <v>5</v>
      </c>
      <c r="J609" s="2" t="s">
        <v>27</v>
      </c>
      <c r="K609" s="2">
        <v>3</v>
      </c>
      <c r="L609" s="2">
        <v>0.18</v>
      </c>
      <c r="M609" s="2">
        <v>0.21210000000000001</v>
      </c>
      <c r="N609" s="2">
        <v>0.93</v>
      </c>
      <c r="O609" s="2">
        <v>0.1045</v>
      </c>
      <c r="P609" s="2">
        <v>1</v>
      </c>
      <c r="Q609" s="2">
        <v>28</v>
      </c>
      <c r="R609" s="2">
        <v>29</v>
      </c>
    </row>
    <row r="610" spans="1:18" x14ac:dyDescent="0.3">
      <c r="A610" s="2">
        <v>608</v>
      </c>
      <c r="B610" s="4">
        <v>40571</v>
      </c>
      <c r="C610" s="2">
        <v>1</v>
      </c>
      <c r="D610" s="2">
        <v>0</v>
      </c>
      <c r="E610" s="2">
        <v>1</v>
      </c>
      <c r="F610" s="2" t="s">
        <v>18</v>
      </c>
      <c r="G610" s="2">
        <v>13</v>
      </c>
      <c r="H610" s="2" t="b">
        <v>0</v>
      </c>
      <c r="I610" s="2">
        <v>5</v>
      </c>
      <c r="J610" s="2" t="s">
        <v>27</v>
      </c>
      <c r="K610" s="2">
        <v>3</v>
      </c>
      <c r="L610" s="2">
        <v>0.18</v>
      </c>
      <c r="M610" s="2">
        <v>0.21210000000000001</v>
      </c>
      <c r="N610" s="2">
        <v>0.93</v>
      </c>
      <c r="O610" s="2">
        <v>0.1045</v>
      </c>
      <c r="P610" s="2">
        <v>0</v>
      </c>
      <c r="Q610" s="2">
        <v>31</v>
      </c>
      <c r="R610" s="2">
        <v>31</v>
      </c>
    </row>
    <row r="611" spans="1:18" x14ac:dyDescent="0.3">
      <c r="A611" s="2">
        <v>609</v>
      </c>
      <c r="B611" s="4">
        <v>40571</v>
      </c>
      <c r="C611" s="2">
        <v>1</v>
      </c>
      <c r="D611" s="2">
        <v>0</v>
      </c>
      <c r="E611" s="2">
        <v>1</v>
      </c>
      <c r="F611" s="2" t="s">
        <v>18</v>
      </c>
      <c r="G611" s="2">
        <v>14</v>
      </c>
      <c r="H611" s="2" t="b">
        <v>0</v>
      </c>
      <c r="I611" s="2">
        <v>5</v>
      </c>
      <c r="J611" s="2" t="s">
        <v>27</v>
      </c>
      <c r="K611" s="2">
        <v>3</v>
      </c>
      <c r="L611" s="2">
        <v>0.22</v>
      </c>
      <c r="M611" s="2">
        <v>0.2727</v>
      </c>
      <c r="N611" s="2">
        <v>0.8</v>
      </c>
      <c r="O611" s="2">
        <v>0</v>
      </c>
      <c r="P611" s="2">
        <v>2</v>
      </c>
      <c r="Q611" s="2">
        <v>36</v>
      </c>
      <c r="R611" s="2">
        <v>38</v>
      </c>
    </row>
    <row r="612" spans="1:18" x14ac:dyDescent="0.3">
      <c r="A612" s="2">
        <v>610</v>
      </c>
      <c r="B612" s="4">
        <v>40571</v>
      </c>
      <c r="C612" s="2">
        <v>1</v>
      </c>
      <c r="D612" s="2">
        <v>0</v>
      </c>
      <c r="E612" s="2">
        <v>1</v>
      </c>
      <c r="F612" s="2" t="s">
        <v>18</v>
      </c>
      <c r="G612" s="2">
        <v>15</v>
      </c>
      <c r="H612" s="2" t="b">
        <v>0</v>
      </c>
      <c r="I612" s="2">
        <v>5</v>
      </c>
      <c r="J612" s="2" t="s">
        <v>27</v>
      </c>
      <c r="K612" s="2">
        <v>2</v>
      </c>
      <c r="L612" s="2">
        <v>0.2</v>
      </c>
      <c r="M612" s="2">
        <v>0.2576</v>
      </c>
      <c r="N612" s="2">
        <v>0.86</v>
      </c>
      <c r="O612" s="2">
        <v>0</v>
      </c>
      <c r="P612" s="2">
        <v>1</v>
      </c>
      <c r="Q612" s="2">
        <v>40</v>
      </c>
      <c r="R612" s="2">
        <v>41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B03B0-8FBC-473D-9196-B88E47FA9AA3}">
  <dimension ref="A1:AJ612"/>
  <sheetViews>
    <sheetView workbookViewId="0">
      <selection sqref="A1:AQ618"/>
    </sheetView>
  </sheetViews>
  <sheetFormatPr defaultRowHeight="14.4" x14ac:dyDescent="0.3"/>
  <sheetData>
    <row r="1" spans="1:36" x14ac:dyDescent="0.3">
      <c r="A1" s="2" t="s">
        <v>10</v>
      </c>
      <c r="B1" s="2" t="s">
        <v>15</v>
      </c>
      <c r="C1" s="2" t="s">
        <v>16</v>
      </c>
      <c r="D1" s="2"/>
    </row>
    <row r="2" spans="1:36" x14ac:dyDescent="0.3">
      <c r="A2" s="12">
        <v>1</v>
      </c>
      <c r="B2" s="12">
        <v>3</v>
      </c>
      <c r="C2" s="11">
        <v>13</v>
      </c>
      <c r="D2" s="8"/>
      <c r="F2" t="s">
        <v>51</v>
      </c>
      <c r="N2" s="2" t="s">
        <v>9</v>
      </c>
      <c r="O2" s="2" t="s">
        <v>15</v>
      </c>
      <c r="P2" s="2" t="s">
        <v>16</v>
      </c>
      <c r="R2" t="s">
        <v>50</v>
      </c>
      <c r="V2" s="2" t="s">
        <v>11</v>
      </c>
      <c r="W2" s="2" t="s">
        <v>15</v>
      </c>
      <c r="X2" s="2" t="s">
        <v>16</v>
      </c>
      <c r="AE2" t="s">
        <v>49</v>
      </c>
    </row>
    <row r="3" spans="1:36" x14ac:dyDescent="0.3">
      <c r="A3">
        <v>1</v>
      </c>
      <c r="B3">
        <v>8</v>
      </c>
      <c r="C3" s="8">
        <v>32</v>
      </c>
      <c r="D3" s="8"/>
      <c r="N3" s="12" t="s">
        <v>19</v>
      </c>
      <c r="O3" s="12">
        <v>3</v>
      </c>
      <c r="P3" s="11">
        <v>13</v>
      </c>
      <c r="V3" s="12">
        <v>0.24</v>
      </c>
      <c r="W3" s="12">
        <v>3</v>
      </c>
      <c r="X3" s="11">
        <v>13</v>
      </c>
      <c r="AE3" s="2" t="s">
        <v>48</v>
      </c>
      <c r="AF3" s="2" t="s">
        <v>47</v>
      </c>
      <c r="AG3" s="2" t="s">
        <v>46</v>
      </c>
    </row>
    <row r="4" spans="1:36" x14ac:dyDescent="0.3">
      <c r="A4">
        <v>1</v>
      </c>
      <c r="B4">
        <v>5</v>
      </c>
      <c r="C4" s="8">
        <v>27</v>
      </c>
      <c r="D4" s="8"/>
      <c r="F4" s="2" t="s">
        <v>45</v>
      </c>
      <c r="G4" s="2" t="s">
        <v>44</v>
      </c>
      <c r="H4" s="2" t="s">
        <v>43</v>
      </c>
      <c r="N4" t="s">
        <v>19</v>
      </c>
      <c r="O4">
        <v>8</v>
      </c>
      <c r="P4" s="8">
        <v>32</v>
      </c>
      <c r="V4">
        <v>0.22</v>
      </c>
      <c r="W4">
        <v>8</v>
      </c>
      <c r="X4" s="8">
        <v>32</v>
      </c>
      <c r="Z4" t="s">
        <v>42</v>
      </c>
      <c r="AA4" s="10" t="s">
        <v>32</v>
      </c>
      <c r="AB4" t="s">
        <v>31</v>
      </c>
      <c r="AC4" t="s">
        <v>30</v>
      </c>
      <c r="AE4" s="2" t="s">
        <v>41</v>
      </c>
      <c r="AF4" s="2">
        <f>SUM(AB5:AB8)</f>
        <v>1199</v>
      </c>
      <c r="AG4" s="2">
        <f>SUM(AC5:AC8)</f>
        <v>89</v>
      </c>
      <c r="AI4" s="2" t="s">
        <v>40</v>
      </c>
      <c r="AJ4" s="2">
        <v>31152</v>
      </c>
    </row>
    <row r="5" spans="1:36" x14ac:dyDescent="0.3">
      <c r="A5">
        <v>1</v>
      </c>
      <c r="B5">
        <v>3</v>
      </c>
      <c r="C5" s="8">
        <v>10</v>
      </c>
      <c r="D5" s="8"/>
      <c r="F5" s="2">
        <v>1</v>
      </c>
      <c r="G5" s="2">
        <f>SUM(C2:C6,C8:C14,C42,C44:C79,C81:C119,C124,C126:C136,C146:C149,C157:C160,C176:C218,C227:C236,C259:C288,C291:C323,C326,C331:C340,C349:C354,C358:C371,C391,C422:C441,C443,C452,C462:C481,C487:C489,C493:C507,C510:C537,C541:C547,C552:C556,C566,C569:C571,C589:C596,)</f>
        <v>20330</v>
      </c>
      <c r="H5" s="2">
        <f>SUM(B2:B6,B8:B14,B42,B44:B79,B81:B119,B124,B126:B136,B146:B149,B157:B160,B176:B218,B227:B236,B259:B288,B291:B323,B326,B331:B340,B349:B354,B358:B371,B391,B422:B441,B443,B462:B481,B493:B507,B510:B537,B541:B547,B552:B556,B566,B569:B571,B589:B596,)</f>
        <v>1633</v>
      </c>
      <c r="J5" t="s">
        <v>39</v>
      </c>
      <c r="N5" t="s">
        <v>19</v>
      </c>
      <c r="O5">
        <v>5</v>
      </c>
      <c r="P5" s="8">
        <v>27</v>
      </c>
      <c r="R5" s="10" t="s">
        <v>32</v>
      </c>
      <c r="S5" t="s">
        <v>31</v>
      </c>
      <c r="T5" t="s">
        <v>30</v>
      </c>
      <c r="V5">
        <v>0.22</v>
      </c>
      <c r="W5">
        <v>5</v>
      </c>
      <c r="X5" s="8">
        <v>27</v>
      </c>
      <c r="AA5" s="9">
        <v>0.02</v>
      </c>
      <c r="AB5">
        <v>158</v>
      </c>
      <c r="AC5">
        <v>10</v>
      </c>
      <c r="AE5" s="2" t="s">
        <v>38</v>
      </c>
      <c r="AF5" s="2">
        <f>SUM(AB9:AB13)</f>
        <v>10913</v>
      </c>
      <c r="AG5" s="2">
        <f>SUM(AC9:AC13)</f>
        <v>615</v>
      </c>
      <c r="AI5" s="2" t="s">
        <v>37</v>
      </c>
      <c r="AJ5" s="2">
        <v>2746</v>
      </c>
    </row>
    <row r="6" spans="1:36" x14ac:dyDescent="0.3">
      <c r="A6">
        <v>1</v>
      </c>
      <c r="B6">
        <v>0</v>
      </c>
      <c r="C6" s="8">
        <v>1</v>
      </c>
      <c r="D6" s="8"/>
      <c r="F6" s="2">
        <v>2</v>
      </c>
      <c r="G6" s="2">
        <f>SUM(C7,C15:C19,C22:C30,C32,C34:C38,C43,C80,C120:C123,C125,C137:C143,C145,C150:C156,C161:C165,C168:C170,C173:C175,C219:C226,C237:C250,C257:C258,C289:C290,C324:C325,C327:C330,C341:C348,C355:C357,C372:C390,C392,C398:C410,C414:C421,C442,C444:C451,C453:C458,C461,C482:C486,C490:C492,C508:C509,C538:C540,C548:C551,C557:C565,C567:C568,C572:C574,C597:C604,C611)</f>
        <v>9425</v>
      </c>
      <c r="H6" s="2">
        <f>SUM(B15:B19,B22:B30,B32,B34:B38,B43,B80,B120:B123,B125,B125,B125,B125,B125,B137:B143,B145,B150:B156,B161:B165,B168:B170,B173:B175,B219:B226,B237:B250,B257:B258,B289:B290,B324:B325,B327:B330,B341:B348,B355:B357,B372:B390,B392,B398:B410,B414:B421,B442,B444:B451,B453:B458,B461,B482:B486,B490:B492,B508:B509,B538:B540,B548:B551,B557:B565,B567:B568,B572:B574,B597:B604,B611,)</f>
        <v>1025</v>
      </c>
      <c r="N6" t="s">
        <v>19</v>
      </c>
      <c r="O6">
        <v>3</v>
      </c>
      <c r="P6" s="8">
        <v>10</v>
      </c>
      <c r="R6" s="9" t="s">
        <v>23</v>
      </c>
      <c r="S6">
        <v>3188</v>
      </c>
      <c r="T6">
        <v>576</v>
      </c>
      <c r="V6">
        <v>0.24</v>
      </c>
      <c r="W6">
        <v>3</v>
      </c>
      <c r="X6" s="8">
        <v>10</v>
      </c>
      <c r="AA6" s="9">
        <v>0.04</v>
      </c>
      <c r="AB6">
        <v>366</v>
      </c>
      <c r="AC6">
        <v>21</v>
      </c>
      <c r="AE6" s="2" t="s">
        <v>36</v>
      </c>
      <c r="AF6" s="2">
        <f>SUM(AB14:AB18)</f>
        <v>14770</v>
      </c>
      <c r="AG6" s="2">
        <f>SUM(AC14:AC18)</f>
        <v>1253</v>
      </c>
    </row>
    <row r="7" spans="1:36" x14ac:dyDescent="0.3">
      <c r="A7">
        <v>2</v>
      </c>
      <c r="B7">
        <v>0</v>
      </c>
      <c r="C7" s="8">
        <v>1</v>
      </c>
      <c r="D7" s="8"/>
      <c r="F7" s="2">
        <v>3</v>
      </c>
      <c r="G7" s="2">
        <f>SUM(C20:C21,C31,C33,C39:C41,C166:C167,C171:C172,C251:C256,C393:C397,C411:C413,C459:C460,C575:C586,C588,C605:C610)</f>
        <v>1357</v>
      </c>
      <c r="H7" s="2">
        <f>SUM(B20:B21,B39:B41,B251:B256,B393:B397,B411:B413,B575:B586,B605:B610)</f>
        <v>101</v>
      </c>
      <c r="N7" t="s">
        <v>19</v>
      </c>
      <c r="O7">
        <v>0</v>
      </c>
      <c r="P7" s="8">
        <v>1</v>
      </c>
      <c r="R7" s="9" t="s">
        <v>24</v>
      </c>
      <c r="S7">
        <v>4582</v>
      </c>
      <c r="T7">
        <v>362</v>
      </c>
      <c r="V7">
        <v>0.24</v>
      </c>
      <c r="W7">
        <v>0</v>
      </c>
      <c r="X7" s="8">
        <v>1</v>
      </c>
      <c r="AA7" s="9">
        <v>0.06</v>
      </c>
      <c r="AB7">
        <v>424</v>
      </c>
      <c r="AC7">
        <v>33</v>
      </c>
      <c r="AE7" s="2" t="s">
        <v>35</v>
      </c>
      <c r="AF7" s="2">
        <f>SUM(AB19:AB23)</f>
        <v>3503</v>
      </c>
      <c r="AG7" s="2">
        <f>SUM(AC19:AC23)</f>
        <v>495</v>
      </c>
    </row>
    <row r="8" spans="1:36" x14ac:dyDescent="0.3">
      <c r="A8">
        <v>1</v>
      </c>
      <c r="B8">
        <v>2</v>
      </c>
      <c r="C8" s="8">
        <v>0</v>
      </c>
      <c r="D8" s="8"/>
      <c r="F8" s="2">
        <v>4</v>
      </c>
      <c r="G8" s="2">
        <f>SUM(C587)</f>
        <v>35</v>
      </c>
      <c r="H8" s="2">
        <v>1</v>
      </c>
      <c r="N8" t="s">
        <v>19</v>
      </c>
      <c r="O8">
        <v>0</v>
      </c>
      <c r="P8" s="8">
        <v>1</v>
      </c>
      <c r="R8" s="9" t="s">
        <v>25</v>
      </c>
      <c r="S8">
        <v>5370</v>
      </c>
      <c r="T8">
        <v>362</v>
      </c>
      <c r="V8">
        <v>0.24</v>
      </c>
      <c r="W8">
        <v>0</v>
      </c>
      <c r="X8" s="8">
        <v>1</v>
      </c>
      <c r="AA8" s="9">
        <v>0.08</v>
      </c>
      <c r="AB8">
        <v>251</v>
      </c>
      <c r="AC8">
        <v>25</v>
      </c>
      <c r="AE8" s="2" t="s">
        <v>34</v>
      </c>
      <c r="AF8" s="2">
        <f>SUM(AB24:AB27)</f>
        <v>767</v>
      </c>
      <c r="AG8" s="2">
        <f>SUM(AC24:AC27)</f>
        <v>294</v>
      </c>
    </row>
    <row r="9" spans="1:36" x14ac:dyDescent="0.3">
      <c r="A9">
        <v>1</v>
      </c>
      <c r="B9">
        <v>1</v>
      </c>
      <c r="C9" s="8">
        <v>2</v>
      </c>
      <c r="D9" s="8"/>
      <c r="N9" t="s">
        <v>19</v>
      </c>
      <c r="O9">
        <v>2</v>
      </c>
      <c r="P9" s="8">
        <v>0</v>
      </c>
      <c r="R9" s="9" t="s">
        <v>26</v>
      </c>
      <c r="S9">
        <v>5097</v>
      </c>
      <c r="T9">
        <v>235</v>
      </c>
      <c r="V9">
        <v>0.22</v>
      </c>
      <c r="W9">
        <v>2</v>
      </c>
      <c r="X9" s="8">
        <v>0</v>
      </c>
      <c r="AA9" s="9">
        <v>0.1</v>
      </c>
      <c r="AB9">
        <v>460</v>
      </c>
      <c r="AC9">
        <v>35</v>
      </c>
      <c r="AE9" s="2" t="s">
        <v>33</v>
      </c>
      <c r="AF9" s="2">
        <f>SUM(AF4:AF8)</f>
        <v>31152</v>
      </c>
      <c r="AG9" s="2">
        <f>SUM(AG4:AG8)</f>
        <v>2746</v>
      </c>
    </row>
    <row r="10" spans="1:36" x14ac:dyDescent="0.3">
      <c r="A10">
        <v>1</v>
      </c>
      <c r="B10">
        <v>1</v>
      </c>
      <c r="C10" s="8">
        <v>7</v>
      </c>
      <c r="D10" s="8"/>
      <c r="N10" t="s">
        <v>19</v>
      </c>
      <c r="O10">
        <v>1</v>
      </c>
      <c r="P10" s="8">
        <v>2</v>
      </c>
      <c r="R10" s="9" t="s">
        <v>27</v>
      </c>
      <c r="S10">
        <v>5256</v>
      </c>
      <c r="T10">
        <v>218</v>
      </c>
      <c r="V10">
        <v>0.2</v>
      </c>
      <c r="W10">
        <v>1</v>
      </c>
      <c r="X10" s="8">
        <v>2</v>
      </c>
      <c r="AA10" s="9">
        <v>0.12</v>
      </c>
      <c r="AB10">
        <v>1427</v>
      </c>
      <c r="AC10">
        <v>71</v>
      </c>
    </row>
    <row r="11" spans="1:36" x14ac:dyDescent="0.3">
      <c r="A11">
        <v>1</v>
      </c>
      <c r="B11">
        <v>8</v>
      </c>
      <c r="C11" s="8">
        <v>6</v>
      </c>
      <c r="D11" s="8"/>
      <c r="N11" t="s">
        <v>19</v>
      </c>
      <c r="O11">
        <v>1</v>
      </c>
      <c r="P11" s="8">
        <v>7</v>
      </c>
      <c r="R11" s="9" t="s">
        <v>28</v>
      </c>
      <c r="S11">
        <v>4190</v>
      </c>
      <c r="T11">
        <v>278</v>
      </c>
      <c r="V11">
        <v>0.24</v>
      </c>
      <c r="W11">
        <v>1</v>
      </c>
      <c r="X11" s="8">
        <v>7</v>
      </c>
      <c r="AA11" s="9">
        <v>0.14000000000000001</v>
      </c>
      <c r="AB11">
        <v>2659</v>
      </c>
      <c r="AC11">
        <v>129</v>
      </c>
    </row>
    <row r="12" spans="1:36" x14ac:dyDescent="0.3">
      <c r="A12">
        <v>1</v>
      </c>
      <c r="B12">
        <v>12</v>
      </c>
      <c r="C12" s="8">
        <v>24</v>
      </c>
      <c r="D12" s="8"/>
      <c r="F12" s="10" t="s">
        <v>32</v>
      </c>
      <c r="G12" t="s">
        <v>31</v>
      </c>
      <c r="H12" t="s">
        <v>30</v>
      </c>
      <c r="N12" t="s">
        <v>19</v>
      </c>
      <c r="O12">
        <v>8</v>
      </c>
      <c r="P12" s="8">
        <v>6</v>
      </c>
      <c r="R12" s="9" t="s">
        <v>19</v>
      </c>
      <c r="S12">
        <v>3469</v>
      </c>
      <c r="T12">
        <v>715</v>
      </c>
      <c r="V12">
        <v>0.32</v>
      </c>
      <c r="W12">
        <v>8</v>
      </c>
      <c r="X12" s="8">
        <v>6</v>
      </c>
      <c r="AA12" s="9">
        <v>0.16</v>
      </c>
      <c r="AB12">
        <v>3944</v>
      </c>
      <c r="AC12">
        <v>220</v>
      </c>
    </row>
    <row r="13" spans="1:36" x14ac:dyDescent="0.3">
      <c r="A13">
        <v>1</v>
      </c>
      <c r="B13">
        <v>26</v>
      </c>
      <c r="C13" s="8">
        <v>30</v>
      </c>
      <c r="D13" s="8"/>
      <c r="F13" s="9">
        <v>1</v>
      </c>
      <c r="G13">
        <v>20330</v>
      </c>
      <c r="H13">
        <v>1643</v>
      </c>
      <c r="N13" t="s">
        <v>19</v>
      </c>
      <c r="O13">
        <v>12</v>
      </c>
      <c r="P13" s="8">
        <v>24</v>
      </c>
      <c r="R13" s="9" t="s">
        <v>29</v>
      </c>
      <c r="S13">
        <v>31152</v>
      </c>
      <c r="T13">
        <v>2746</v>
      </c>
      <c r="V13">
        <v>0.38</v>
      </c>
      <c r="W13">
        <v>12</v>
      </c>
      <c r="X13" s="8">
        <v>24</v>
      </c>
      <c r="AA13" s="9">
        <v>0.18</v>
      </c>
      <c r="AB13">
        <v>2423</v>
      </c>
      <c r="AC13">
        <v>160</v>
      </c>
    </row>
    <row r="14" spans="1:36" x14ac:dyDescent="0.3">
      <c r="A14">
        <v>1</v>
      </c>
      <c r="B14">
        <v>29</v>
      </c>
      <c r="C14" s="8">
        <v>55</v>
      </c>
      <c r="D14" s="8"/>
      <c r="F14" s="9">
        <v>2</v>
      </c>
      <c r="G14">
        <v>9425</v>
      </c>
      <c r="H14">
        <v>1001</v>
      </c>
      <c r="N14" t="s">
        <v>19</v>
      </c>
      <c r="O14">
        <v>26</v>
      </c>
      <c r="P14" s="8">
        <v>30</v>
      </c>
      <c r="V14">
        <v>0.36</v>
      </c>
      <c r="W14">
        <v>26</v>
      </c>
      <c r="X14" s="8">
        <v>30</v>
      </c>
      <c r="AA14" s="9">
        <v>0.2</v>
      </c>
      <c r="AB14">
        <v>5529</v>
      </c>
      <c r="AC14">
        <v>406</v>
      </c>
    </row>
    <row r="15" spans="1:36" x14ac:dyDescent="0.3">
      <c r="A15">
        <v>2</v>
      </c>
      <c r="B15">
        <v>47</v>
      </c>
      <c r="C15" s="8">
        <v>47</v>
      </c>
      <c r="D15" s="8"/>
      <c r="F15" s="9">
        <v>3</v>
      </c>
      <c r="G15">
        <v>1362</v>
      </c>
      <c r="H15">
        <v>101</v>
      </c>
      <c r="N15" t="s">
        <v>19</v>
      </c>
      <c r="O15">
        <v>29</v>
      </c>
      <c r="P15" s="8">
        <v>55</v>
      </c>
      <c r="V15">
        <v>0.42</v>
      </c>
      <c r="W15">
        <v>29</v>
      </c>
      <c r="X15" s="8">
        <v>55</v>
      </c>
      <c r="AA15" s="9">
        <v>0.22</v>
      </c>
      <c r="AB15">
        <v>4096</v>
      </c>
      <c r="AC15">
        <v>266</v>
      </c>
    </row>
    <row r="16" spans="1:36" x14ac:dyDescent="0.3">
      <c r="A16">
        <v>2</v>
      </c>
      <c r="B16">
        <v>35</v>
      </c>
      <c r="C16" s="8">
        <v>71</v>
      </c>
      <c r="D16" s="8"/>
      <c r="F16" s="9">
        <v>4</v>
      </c>
      <c r="G16">
        <v>35</v>
      </c>
      <c r="H16">
        <v>1</v>
      </c>
      <c r="N16" t="s">
        <v>19</v>
      </c>
      <c r="O16">
        <v>47</v>
      </c>
      <c r="P16" s="8">
        <v>47</v>
      </c>
      <c r="V16">
        <v>0.46</v>
      </c>
      <c r="W16">
        <v>47</v>
      </c>
      <c r="X16" s="8">
        <v>47</v>
      </c>
      <c r="AA16" s="9">
        <v>0.24</v>
      </c>
      <c r="AB16">
        <v>2511</v>
      </c>
      <c r="AC16">
        <v>215</v>
      </c>
    </row>
    <row r="17" spans="1:29" x14ac:dyDescent="0.3">
      <c r="A17">
        <v>2</v>
      </c>
      <c r="B17">
        <v>40</v>
      </c>
      <c r="C17" s="8">
        <v>70</v>
      </c>
      <c r="D17" s="8"/>
      <c r="F17" s="9" t="s">
        <v>29</v>
      </c>
      <c r="G17">
        <v>31152</v>
      </c>
      <c r="H17">
        <v>2746</v>
      </c>
      <c r="N17" t="s">
        <v>19</v>
      </c>
      <c r="O17">
        <v>35</v>
      </c>
      <c r="P17" s="8">
        <v>71</v>
      </c>
      <c r="V17">
        <v>0.46</v>
      </c>
      <c r="W17">
        <v>35</v>
      </c>
      <c r="X17" s="8">
        <v>71</v>
      </c>
      <c r="AA17" s="9">
        <v>0.26</v>
      </c>
      <c r="AB17">
        <v>1861</v>
      </c>
      <c r="AC17">
        <v>249</v>
      </c>
    </row>
    <row r="18" spans="1:29" x14ac:dyDescent="0.3">
      <c r="A18">
        <v>2</v>
      </c>
      <c r="B18">
        <v>41</v>
      </c>
      <c r="C18" s="8">
        <v>52</v>
      </c>
      <c r="D18" s="8"/>
      <c r="N18" t="s">
        <v>19</v>
      </c>
      <c r="O18">
        <v>40</v>
      </c>
      <c r="P18" s="8">
        <v>70</v>
      </c>
      <c r="V18">
        <v>0.44</v>
      </c>
      <c r="W18">
        <v>40</v>
      </c>
      <c r="X18" s="8">
        <v>70</v>
      </c>
      <c r="AA18" s="9">
        <v>0.28000000000000003</v>
      </c>
      <c r="AB18">
        <v>773</v>
      </c>
      <c r="AC18">
        <v>117</v>
      </c>
    </row>
    <row r="19" spans="1:29" x14ac:dyDescent="0.3">
      <c r="A19">
        <v>2</v>
      </c>
      <c r="B19">
        <v>15</v>
      </c>
      <c r="C19" s="8">
        <v>52</v>
      </c>
      <c r="D19" s="8"/>
      <c r="N19" t="s">
        <v>19</v>
      </c>
      <c r="O19">
        <v>41</v>
      </c>
      <c r="P19" s="8">
        <v>52</v>
      </c>
      <c r="V19">
        <v>0.42</v>
      </c>
      <c r="W19">
        <v>41</v>
      </c>
      <c r="X19" s="8">
        <v>52</v>
      </c>
      <c r="AA19" s="9">
        <v>0.3</v>
      </c>
      <c r="AB19">
        <v>1573</v>
      </c>
      <c r="AC19">
        <v>160</v>
      </c>
    </row>
    <row r="20" spans="1:29" x14ac:dyDescent="0.3">
      <c r="A20">
        <v>3</v>
      </c>
      <c r="B20">
        <v>9</v>
      </c>
      <c r="C20" s="8">
        <v>26</v>
      </c>
      <c r="D20" s="8"/>
      <c r="N20" t="s">
        <v>19</v>
      </c>
      <c r="O20">
        <v>15</v>
      </c>
      <c r="P20" s="8">
        <v>52</v>
      </c>
      <c r="V20">
        <v>0.44</v>
      </c>
      <c r="W20">
        <v>15</v>
      </c>
      <c r="X20" s="8">
        <v>52</v>
      </c>
      <c r="AA20" s="9">
        <v>0.32</v>
      </c>
      <c r="AB20">
        <v>807</v>
      </c>
      <c r="AC20">
        <v>138</v>
      </c>
    </row>
    <row r="21" spans="1:29" x14ac:dyDescent="0.3">
      <c r="A21">
        <v>3</v>
      </c>
      <c r="B21">
        <v>6</v>
      </c>
      <c r="C21" s="8">
        <v>31</v>
      </c>
      <c r="D21" s="8"/>
      <c r="N21" t="s">
        <v>19</v>
      </c>
      <c r="O21">
        <v>9</v>
      </c>
      <c r="P21" s="8">
        <v>26</v>
      </c>
      <c r="V21">
        <v>0.42</v>
      </c>
      <c r="W21">
        <v>9</v>
      </c>
      <c r="X21" s="8">
        <v>26</v>
      </c>
      <c r="AA21" s="9">
        <v>0.34</v>
      </c>
      <c r="AB21">
        <v>431</v>
      </c>
      <c r="AC21">
        <v>73</v>
      </c>
    </row>
    <row r="22" spans="1:29" x14ac:dyDescent="0.3">
      <c r="A22">
        <v>2</v>
      </c>
      <c r="B22">
        <v>11</v>
      </c>
      <c r="C22" s="8">
        <v>25</v>
      </c>
      <c r="D22" s="8"/>
      <c r="N22" t="s">
        <v>19</v>
      </c>
      <c r="O22">
        <v>6</v>
      </c>
      <c r="P22" s="8">
        <v>31</v>
      </c>
      <c r="V22">
        <v>0.42</v>
      </c>
      <c r="W22">
        <v>6</v>
      </c>
      <c r="X22" s="8">
        <v>31</v>
      </c>
      <c r="AA22" s="9">
        <v>0.36</v>
      </c>
      <c r="AB22">
        <v>555</v>
      </c>
      <c r="AC22">
        <v>101</v>
      </c>
    </row>
    <row r="23" spans="1:29" x14ac:dyDescent="0.3">
      <c r="A23">
        <v>2</v>
      </c>
      <c r="B23">
        <v>3</v>
      </c>
      <c r="C23" s="8">
        <v>31</v>
      </c>
      <c r="D23" s="8"/>
      <c r="N23" t="s">
        <v>19</v>
      </c>
      <c r="O23">
        <v>11</v>
      </c>
      <c r="P23" s="8">
        <v>25</v>
      </c>
      <c r="V23">
        <v>0.4</v>
      </c>
      <c r="W23">
        <v>11</v>
      </c>
      <c r="X23" s="8">
        <v>25</v>
      </c>
      <c r="AA23" s="9">
        <v>0.38</v>
      </c>
      <c r="AB23">
        <v>137</v>
      </c>
      <c r="AC23">
        <v>23</v>
      </c>
    </row>
    <row r="24" spans="1:29" x14ac:dyDescent="0.3">
      <c r="A24">
        <v>2</v>
      </c>
      <c r="B24">
        <v>11</v>
      </c>
      <c r="C24" s="8">
        <v>17</v>
      </c>
      <c r="D24" s="8"/>
      <c r="N24" t="s">
        <v>19</v>
      </c>
      <c r="O24">
        <v>3</v>
      </c>
      <c r="P24" s="8">
        <v>31</v>
      </c>
      <c r="V24">
        <v>0.4</v>
      </c>
      <c r="W24">
        <v>3</v>
      </c>
      <c r="X24" s="8">
        <v>31</v>
      </c>
      <c r="AA24" s="9">
        <v>0.4</v>
      </c>
      <c r="AB24">
        <v>295</v>
      </c>
      <c r="AC24">
        <v>47</v>
      </c>
    </row>
    <row r="25" spans="1:29" x14ac:dyDescent="0.3">
      <c r="A25">
        <v>2</v>
      </c>
      <c r="B25">
        <v>15</v>
      </c>
      <c r="C25" s="8">
        <v>24</v>
      </c>
      <c r="D25" s="8"/>
      <c r="N25" t="s">
        <v>19</v>
      </c>
      <c r="O25">
        <v>11</v>
      </c>
      <c r="P25" s="8">
        <v>17</v>
      </c>
      <c r="V25">
        <v>0.4</v>
      </c>
      <c r="W25">
        <v>11</v>
      </c>
      <c r="X25" s="8">
        <v>17</v>
      </c>
      <c r="AA25" s="9">
        <v>0.42</v>
      </c>
      <c r="AB25">
        <v>174</v>
      </c>
      <c r="AC25">
        <v>86</v>
      </c>
    </row>
    <row r="26" spans="1:29" x14ac:dyDescent="0.3">
      <c r="A26">
        <v>2</v>
      </c>
      <c r="B26">
        <v>4</v>
      </c>
      <c r="C26" s="8">
        <v>13</v>
      </c>
      <c r="D26" s="8"/>
      <c r="N26" t="s">
        <v>19</v>
      </c>
      <c r="O26">
        <v>15</v>
      </c>
      <c r="P26" s="8">
        <v>24</v>
      </c>
      <c r="V26">
        <v>0.46</v>
      </c>
      <c r="W26">
        <v>15</v>
      </c>
      <c r="X26" s="8">
        <v>24</v>
      </c>
      <c r="AA26" s="9">
        <v>0.44</v>
      </c>
      <c r="AB26">
        <v>138</v>
      </c>
      <c r="AC26">
        <v>56</v>
      </c>
    </row>
    <row r="27" spans="1:29" x14ac:dyDescent="0.3">
      <c r="A27">
        <v>2</v>
      </c>
      <c r="B27">
        <v>1</v>
      </c>
      <c r="C27" s="8">
        <v>16</v>
      </c>
      <c r="D27" s="8"/>
      <c r="N27" t="s">
        <v>23</v>
      </c>
      <c r="O27">
        <v>4</v>
      </c>
      <c r="P27" s="8">
        <v>13</v>
      </c>
      <c r="V27">
        <v>0.46</v>
      </c>
      <c r="W27">
        <v>4</v>
      </c>
      <c r="X27" s="8">
        <v>13</v>
      </c>
      <c r="AA27" s="9">
        <v>0.46</v>
      </c>
      <c r="AB27">
        <v>160</v>
      </c>
      <c r="AC27">
        <v>105</v>
      </c>
    </row>
    <row r="28" spans="1:29" x14ac:dyDescent="0.3">
      <c r="A28">
        <v>2</v>
      </c>
      <c r="B28">
        <v>1</v>
      </c>
      <c r="C28" s="8">
        <v>8</v>
      </c>
      <c r="D28" s="8"/>
      <c r="N28" t="s">
        <v>23</v>
      </c>
      <c r="O28">
        <v>1</v>
      </c>
      <c r="P28" s="8">
        <v>16</v>
      </c>
      <c r="V28">
        <v>0.44</v>
      </c>
      <c r="W28">
        <v>1</v>
      </c>
      <c r="X28" s="8">
        <v>16</v>
      </c>
      <c r="AA28" s="9" t="s">
        <v>29</v>
      </c>
      <c r="AB28">
        <v>31152</v>
      </c>
      <c r="AC28">
        <v>2746</v>
      </c>
    </row>
    <row r="29" spans="1:29" x14ac:dyDescent="0.3">
      <c r="A29">
        <v>2</v>
      </c>
      <c r="B29">
        <v>2</v>
      </c>
      <c r="C29" s="8">
        <v>4</v>
      </c>
      <c r="D29" s="8"/>
      <c r="N29" t="s">
        <v>23</v>
      </c>
      <c r="O29">
        <v>1</v>
      </c>
      <c r="P29" s="8">
        <v>8</v>
      </c>
      <c r="V29">
        <v>0.42</v>
      </c>
      <c r="W29">
        <v>1</v>
      </c>
      <c r="X29" s="8">
        <v>8</v>
      </c>
    </row>
    <row r="30" spans="1:29" x14ac:dyDescent="0.3">
      <c r="A30">
        <v>2</v>
      </c>
      <c r="B30">
        <v>2</v>
      </c>
      <c r="C30" s="8">
        <v>1</v>
      </c>
      <c r="D30" s="8"/>
      <c r="N30" t="s">
        <v>23</v>
      </c>
      <c r="O30">
        <v>2</v>
      </c>
      <c r="P30" s="8">
        <v>4</v>
      </c>
      <c r="V30">
        <v>0.46</v>
      </c>
      <c r="W30">
        <v>2</v>
      </c>
      <c r="X30" s="8">
        <v>4</v>
      </c>
    </row>
    <row r="31" spans="1:29" x14ac:dyDescent="0.3">
      <c r="A31">
        <v>3</v>
      </c>
      <c r="B31">
        <v>0</v>
      </c>
      <c r="C31" s="8">
        <v>2</v>
      </c>
      <c r="D31" s="8"/>
      <c r="N31" t="s">
        <v>23</v>
      </c>
      <c r="O31">
        <v>2</v>
      </c>
      <c r="P31" s="8">
        <v>1</v>
      </c>
      <c r="V31">
        <v>0.46</v>
      </c>
      <c r="W31">
        <v>2</v>
      </c>
      <c r="X31" s="8">
        <v>1</v>
      </c>
    </row>
    <row r="32" spans="1:29" x14ac:dyDescent="0.3">
      <c r="A32">
        <v>2</v>
      </c>
      <c r="B32">
        <v>0</v>
      </c>
      <c r="C32" s="8">
        <v>1</v>
      </c>
      <c r="D32" s="8"/>
      <c r="N32" t="s">
        <v>23</v>
      </c>
      <c r="O32">
        <v>0</v>
      </c>
      <c r="P32" s="8">
        <v>2</v>
      </c>
      <c r="V32">
        <v>0.42</v>
      </c>
      <c r="W32">
        <v>0</v>
      </c>
      <c r="X32" s="8">
        <v>2</v>
      </c>
    </row>
    <row r="33" spans="1:24" x14ac:dyDescent="0.3">
      <c r="A33">
        <v>3</v>
      </c>
      <c r="B33">
        <v>0</v>
      </c>
      <c r="C33" s="8">
        <v>8</v>
      </c>
      <c r="D33" s="8"/>
      <c r="N33" t="s">
        <v>23</v>
      </c>
      <c r="O33">
        <v>0</v>
      </c>
      <c r="P33" s="8">
        <v>1</v>
      </c>
      <c r="V33">
        <v>0.4</v>
      </c>
      <c r="W33">
        <v>0</v>
      </c>
      <c r="X33" s="8">
        <v>1</v>
      </c>
    </row>
    <row r="34" spans="1:24" x14ac:dyDescent="0.3">
      <c r="A34">
        <v>2</v>
      </c>
      <c r="B34">
        <v>1</v>
      </c>
      <c r="C34" s="8">
        <v>19</v>
      </c>
      <c r="D34" s="8"/>
      <c r="N34" t="s">
        <v>23</v>
      </c>
      <c r="O34">
        <v>0</v>
      </c>
      <c r="P34" s="8">
        <v>8</v>
      </c>
      <c r="V34">
        <v>0.4</v>
      </c>
      <c r="W34">
        <v>0</v>
      </c>
      <c r="X34" s="8">
        <v>8</v>
      </c>
    </row>
    <row r="35" spans="1:24" x14ac:dyDescent="0.3">
      <c r="A35">
        <v>2</v>
      </c>
      <c r="B35">
        <v>7</v>
      </c>
      <c r="C35" s="8">
        <v>46</v>
      </c>
      <c r="D35" s="8"/>
      <c r="N35" t="s">
        <v>23</v>
      </c>
      <c r="O35">
        <v>1</v>
      </c>
      <c r="P35" s="8">
        <v>19</v>
      </c>
      <c r="V35">
        <v>0.38</v>
      </c>
      <c r="W35">
        <v>1</v>
      </c>
      <c r="X35" s="8">
        <v>19</v>
      </c>
    </row>
    <row r="36" spans="1:24" x14ac:dyDescent="0.3">
      <c r="A36">
        <v>2</v>
      </c>
      <c r="B36">
        <v>16</v>
      </c>
      <c r="C36" s="8">
        <v>54</v>
      </c>
      <c r="D36" s="8"/>
      <c r="N36" t="s">
        <v>23</v>
      </c>
      <c r="O36">
        <v>7</v>
      </c>
      <c r="P36" s="8">
        <v>46</v>
      </c>
      <c r="V36">
        <v>0.36</v>
      </c>
      <c r="W36">
        <v>7</v>
      </c>
      <c r="X36" s="8">
        <v>46</v>
      </c>
    </row>
    <row r="37" spans="1:24" x14ac:dyDescent="0.3">
      <c r="A37">
        <v>2</v>
      </c>
      <c r="B37">
        <v>20</v>
      </c>
      <c r="C37" s="8">
        <v>73</v>
      </c>
      <c r="D37" s="8"/>
      <c r="N37" t="s">
        <v>23</v>
      </c>
      <c r="O37">
        <v>16</v>
      </c>
      <c r="P37" s="8">
        <v>54</v>
      </c>
      <c r="V37">
        <v>0.36</v>
      </c>
      <c r="W37">
        <v>16</v>
      </c>
      <c r="X37" s="8">
        <v>54</v>
      </c>
    </row>
    <row r="38" spans="1:24" x14ac:dyDescent="0.3">
      <c r="A38">
        <v>2</v>
      </c>
      <c r="B38">
        <v>11</v>
      </c>
      <c r="C38" s="8">
        <v>64</v>
      </c>
      <c r="D38" s="8"/>
      <c r="N38" t="s">
        <v>23</v>
      </c>
      <c r="O38">
        <v>20</v>
      </c>
      <c r="P38" s="8">
        <v>73</v>
      </c>
      <c r="V38">
        <v>0.36</v>
      </c>
      <c r="W38">
        <v>20</v>
      </c>
      <c r="X38" s="8">
        <v>73</v>
      </c>
    </row>
    <row r="39" spans="1:24" x14ac:dyDescent="0.3">
      <c r="A39">
        <v>3</v>
      </c>
      <c r="B39">
        <v>4</v>
      </c>
      <c r="C39" s="8">
        <v>55</v>
      </c>
      <c r="D39" s="8"/>
      <c r="N39" t="s">
        <v>23</v>
      </c>
      <c r="O39">
        <v>11</v>
      </c>
      <c r="P39" s="8">
        <v>64</v>
      </c>
      <c r="V39">
        <v>0.36</v>
      </c>
      <c r="W39">
        <v>11</v>
      </c>
      <c r="X39" s="8">
        <v>64</v>
      </c>
    </row>
    <row r="40" spans="1:24" x14ac:dyDescent="0.3">
      <c r="A40">
        <v>3</v>
      </c>
      <c r="B40">
        <v>19</v>
      </c>
      <c r="C40" s="8">
        <v>55</v>
      </c>
      <c r="D40" s="8"/>
      <c r="N40" t="s">
        <v>23</v>
      </c>
      <c r="O40">
        <v>4</v>
      </c>
      <c r="P40" s="8">
        <v>55</v>
      </c>
      <c r="V40">
        <v>0.36</v>
      </c>
      <c r="W40">
        <v>4</v>
      </c>
      <c r="X40" s="8">
        <v>55</v>
      </c>
    </row>
    <row r="41" spans="1:24" x14ac:dyDescent="0.3">
      <c r="A41">
        <v>3</v>
      </c>
      <c r="B41">
        <v>9</v>
      </c>
      <c r="C41" s="8">
        <v>67</v>
      </c>
      <c r="D41" s="8"/>
      <c r="N41" t="s">
        <v>23</v>
      </c>
      <c r="O41">
        <v>19</v>
      </c>
      <c r="P41" s="8">
        <v>55</v>
      </c>
      <c r="V41">
        <v>0.34</v>
      </c>
      <c r="W41">
        <v>19</v>
      </c>
      <c r="X41" s="8">
        <v>55</v>
      </c>
    </row>
    <row r="42" spans="1:24" x14ac:dyDescent="0.3">
      <c r="A42">
        <v>1</v>
      </c>
      <c r="B42">
        <v>7</v>
      </c>
      <c r="C42" s="8">
        <v>58</v>
      </c>
      <c r="D42" s="8"/>
      <c r="N42" t="s">
        <v>23</v>
      </c>
      <c r="O42">
        <v>9</v>
      </c>
      <c r="P42" s="8">
        <v>67</v>
      </c>
      <c r="V42">
        <v>0.34</v>
      </c>
      <c r="W42">
        <v>9</v>
      </c>
      <c r="X42" s="8">
        <v>67</v>
      </c>
    </row>
    <row r="43" spans="1:24" x14ac:dyDescent="0.3">
      <c r="A43">
        <v>2</v>
      </c>
      <c r="B43">
        <v>10</v>
      </c>
      <c r="C43" s="8">
        <v>43</v>
      </c>
      <c r="D43" s="8"/>
      <c r="N43" t="s">
        <v>23</v>
      </c>
      <c r="O43">
        <v>7</v>
      </c>
      <c r="P43" s="8">
        <v>58</v>
      </c>
      <c r="V43">
        <v>0.34</v>
      </c>
      <c r="W43">
        <v>7</v>
      </c>
      <c r="X43" s="8">
        <v>58</v>
      </c>
    </row>
    <row r="44" spans="1:24" x14ac:dyDescent="0.3">
      <c r="A44">
        <v>1</v>
      </c>
      <c r="B44">
        <v>1</v>
      </c>
      <c r="C44" s="8">
        <v>29</v>
      </c>
      <c r="D44" s="8"/>
      <c r="N44" t="s">
        <v>23</v>
      </c>
      <c r="O44">
        <v>10</v>
      </c>
      <c r="P44" s="8">
        <v>43</v>
      </c>
      <c r="V44">
        <v>0.36</v>
      </c>
      <c r="W44">
        <v>10</v>
      </c>
      <c r="X44" s="8">
        <v>43</v>
      </c>
    </row>
    <row r="45" spans="1:24" x14ac:dyDescent="0.3">
      <c r="A45">
        <v>1</v>
      </c>
      <c r="B45">
        <v>5</v>
      </c>
      <c r="C45" s="8">
        <v>17</v>
      </c>
      <c r="D45" s="8"/>
      <c r="N45" t="s">
        <v>23</v>
      </c>
      <c r="O45">
        <v>1</v>
      </c>
      <c r="P45" s="8">
        <v>29</v>
      </c>
      <c r="V45">
        <v>0.32</v>
      </c>
      <c r="W45">
        <v>1</v>
      </c>
      <c r="X45" s="8">
        <v>29</v>
      </c>
    </row>
    <row r="46" spans="1:24" x14ac:dyDescent="0.3">
      <c r="A46">
        <v>1</v>
      </c>
      <c r="B46">
        <v>11</v>
      </c>
      <c r="C46" s="8">
        <v>20</v>
      </c>
      <c r="D46" s="8"/>
      <c r="N46" t="s">
        <v>23</v>
      </c>
      <c r="O46">
        <v>5</v>
      </c>
      <c r="P46" s="8">
        <v>17</v>
      </c>
      <c r="V46">
        <v>0.3</v>
      </c>
      <c r="W46">
        <v>5</v>
      </c>
      <c r="X46" s="8">
        <v>17</v>
      </c>
    </row>
    <row r="47" spans="1:24" x14ac:dyDescent="0.3">
      <c r="A47">
        <v>1</v>
      </c>
      <c r="B47">
        <v>0</v>
      </c>
      <c r="C47" s="8">
        <v>9</v>
      </c>
      <c r="D47" s="8"/>
      <c r="N47" t="s">
        <v>23</v>
      </c>
      <c r="O47">
        <v>11</v>
      </c>
      <c r="P47" s="8">
        <v>20</v>
      </c>
      <c r="V47">
        <v>0.26</v>
      </c>
      <c r="W47">
        <v>11</v>
      </c>
      <c r="X47" s="8">
        <v>20</v>
      </c>
    </row>
    <row r="48" spans="1:24" x14ac:dyDescent="0.3">
      <c r="A48">
        <v>1</v>
      </c>
      <c r="B48">
        <v>0</v>
      </c>
      <c r="C48" s="8">
        <v>8</v>
      </c>
      <c r="D48" s="8"/>
      <c r="N48" t="s">
        <v>23</v>
      </c>
      <c r="O48">
        <v>0</v>
      </c>
      <c r="P48" s="8">
        <v>9</v>
      </c>
      <c r="V48">
        <v>0.24</v>
      </c>
      <c r="W48">
        <v>0</v>
      </c>
      <c r="X48" s="8">
        <v>9</v>
      </c>
    </row>
    <row r="49" spans="1:24" x14ac:dyDescent="0.3">
      <c r="A49">
        <v>1</v>
      </c>
      <c r="B49">
        <v>0</v>
      </c>
      <c r="C49" s="8">
        <v>5</v>
      </c>
      <c r="D49" s="8"/>
      <c r="N49" t="s">
        <v>23</v>
      </c>
      <c r="O49">
        <v>0</v>
      </c>
      <c r="P49" s="8">
        <v>8</v>
      </c>
      <c r="V49">
        <v>0.22</v>
      </c>
      <c r="W49">
        <v>0</v>
      </c>
      <c r="X49" s="8">
        <v>8</v>
      </c>
    </row>
    <row r="50" spans="1:24" x14ac:dyDescent="0.3">
      <c r="A50">
        <v>1</v>
      </c>
      <c r="B50">
        <v>0</v>
      </c>
      <c r="C50" s="8">
        <v>2</v>
      </c>
      <c r="D50" s="8"/>
      <c r="N50" t="s">
        <v>24</v>
      </c>
      <c r="O50">
        <v>0</v>
      </c>
      <c r="P50" s="8">
        <v>5</v>
      </c>
      <c r="V50">
        <v>0.22</v>
      </c>
      <c r="W50">
        <v>0</v>
      </c>
      <c r="X50" s="8">
        <v>5</v>
      </c>
    </row>
    <row r="51" spans="1:24" x14ac:dyDescent="0.3">
      <c r="A51">
        <v>1</v>
      </c>
      <c r="B51">
        <v>0</v>
      </c>
      <c r="C51" s="8">
        <v>1</v>
      </c>
      <c r="D51" s="8"/>
      <c r="N51" t="s">
        <v>24</v>
      </c>
      <c r="O51">
        <v>0</v>
      </c>
      <c r="P51" s="8">
        <v>2</v>
      </c>
      <c r="V51">
        <v>0.2</v>
      </c>
      <c r="W51">
        <v>0</v>
      </c>
      <c r="X51" s="8">
        <v>2</v>
      </c>
    </row>
    <row r="52" spans="1:24" x14ac:dyDescent="0.3">
      <c r="A52">
        <v>1</v>
      </c>
      <c r="B52">
        <v>0</v>
      </c>
      <c r="C52" s="8">
        <v>3</v>
      </c>
      <c r="D52" s="8"/>
      <c r="N52" t="s">
        <v>24</v>
      </c>
      <c r="O52">
        <v>0</v>
      </c>
      <c r="P52" s="8">
        <v>1</v>
      </c>
      <c r="V52">
        <v>0.16</v>
      </c>
      <c r="W52">
        <v>0</v>
      </c>
      <c r="X52" s="8">
        <v>1</v>
      </c>
    </row>
    <row r="53" spans="1:24" x14ac:dyDescent="0.3">
      <c r="A53">
        <v>1</v>
      </c>
      <c r="B53">
        <v>0</v>
      </c>
      <c r="C53" s="8">
        <v>30</v>
      </c>
      <c r="D53" s="8"/>
      <c r="N53" t="s">
        <v>24</v>
      </c>
      <c r="O53">
        <v>0</v>
      </c>
      <c r="P53" s="8">
        <v>3</v>
      </c>
      <c r="V53">
        <v>0.16</v>
      </c>
      <c r="W53">
        <v>0</v>
      </c>
      <c r="X53" s="8">
        <v>3</v>
      </c>
    </row>
    <row r="54" spans="1:24" x14ac:dyDescent="0.3">
      <c r="A54">
        <v>1</v>
      </c>
      <c r="B54">
        <v>1</v>
      </c>
      <c r="C54" s="8">
        <v>63</v>
      </c>
      <c r="D54" s="8"/>
      <c r="N54" t="s">
        <v>24</v>
      </c>
      <c r="O54">
        <v>0</v>
      </c>
      <c r="P54" s="8">
        <v>30</v>
      </c>
      <c r="V54">
        <v>0.14000000000000001</v>
      </c>
      <c r="W54">
        <v>0</v>
      </c>
      <c r="X54" s="8">
        <v>30</v>
      </c>
    </row>
    <row r="55" spans="1:24" x14ac:dyDescent="0.3">
      <c r="A55">
        <v>1</v>
      </c>
      <c r="B55">
        <v>1</v>
      </c>
      <c r="C55" s="8">
        <v>153</v>
      </c>
      <c r="D55" s="8"/>
      <c r="N55" t="s">
        <v>24</v>
      </c>
      <c r="O55">
        <v>1</v>
      </c>
      <c r="P55" s="8">
        <v>63</v>
      </c>
      <c r="V55">
        <v>0.14000000000000001</v>
      </c>
      <c r="W55">
        <v>1</v>
      </c>
      <c r="X55" s="8">
        <v>63</v>
      </c>
    </row>
    <row r="56" spans="1:24" x14ac:dyDescent="0.3">
      <c r="A56">
        <v>1</v>
      </c>
      <c r="B56">
        <v>7</v>
      </c>
      <c r="C56" s="8">
        <v>81</v>
      </c>
      <c r="D56" s="8"/>
      <c r="N56" t="s">
        <v>24</v>
      </c>
      <c r="O56">
        <v>1</v>
      </c>
      <c r="P56" s="8">
        <v>153</v>
      </c>
      <c r="V56">
        <v>0.14000000000000001</v>
      </c>
      <c r="W56">
        <v>1</v>
      </c>
      <c r="X56" s="8">
        <v>153</v>
      </c>
    </row>
    <row r="57" spans="1:24" x14ac:dyDescent="0.3">
      <c r="A57">
        <v>1</v>
      </c>
      <c r="B57">
        <v>11</v>
      </c>
      <c r="C57" s="8">
        <v>33</v>
      </c>
      <c r="D57" s="8"/>
      <c r="N57" t="s">
        <v>24</v>
      </c>
      <c r="O57">
        <v>7</v>
      </c>
      <c r="P57" s="8">
        <v>81</v>
      </c>
      <c r="V57">
        <v>0.16</v>
      </c>
      <c r="W57">
        <v>7</v>
      </c>
      <c r="X57" s="8">
        <v>81</v>
      </c>
    </row>
    <row r="58" spans="1:24" x14ac:dyDescent="0.3">
      <c r="A58">
        <v>1</v>
      </c>
      <c r="B58">
        <v>10</v>
      </c>
      <c r="C58" s="8">
        <v>41</v>
      </c>
      <c r="D58" s="8"/>
      <c r="N58" t="s">
        <v>24</v>
      </c>
      <c r="O58">
        <v>11</v>
      </c>
      <c r="P58" s="8">
        <v>33</v>
      </c>
      <c r="V58">
        <v>0.18</v>
      </c>
      <c r="W58">
        <v>11</v>
      </c>
      <c r="X58" s="8">
        <v>33</v>
      </c>
    </row>
    <row r="59" spans="1:24" x14ac:dyDescent="0.3">
      <c r="A59">
        <v>1</v>
      </c>
      <c r="B59">
        <v>13</v>
      </c>
      <c r="C59" s="8">
        <v>48</v>
      </c>
      <c r="D59" s="8"/>
      <c r="N59" t="s">
        <v>24</v>
      </c>
      <c r="O59">
        <v>10</v>
      </c>
      <c r="P59" s="8">
        <v>41</v>
      </c>
      <c r="V59">
        <v>0.2</v>
      </c>
      <c r="W59">
        <v>10</v>
      </c>
      <c r="X59" s="8">
        <v>41</v>
      </c>
    </row>
    <row r="60" spans="1:24" x14ac:dyDescent="0.3">
      <c r="A60">
        <v>1</v>
      </c>
      <c r="B60">
        <v>8</v>
      </c>
      <c r="C60" s="8">
        <v>53</v>
      </c>
      <c r="D60" s="8"/>
      <c r="N60" t="s">
        <v>24</v>
      </c>
      <c r="O60">
        <v>13</v>
      </c>
      <c r="P60" s="8">
        <v>48</v>
      </c>
      <c r="V60">
        <v>0.22</v>
      </c>
      <c r="W60">
        <v>13</v>
      </c>
      <c r="X60" s="8">
        <v>48</v>
      </c>
    </row>
    <row r="61" spans="1:24" x14ac:dyDescent="0.3">
      <c r="A61">
        <v>1</v>
      </c>
      <c r="B61">
        <v>11</v>
      </c>
      <c r="C61" s="8">
        <v>66</v>
      </c>
      <c r="D61" s="8"/>
      <c r="N61" t="s">
        <v>24</v>
      </c>
      <c r="O61">
        <v>8</v>
      </c>
      <c r="P61" s="8">
        <v>53</v>
      </c>
      <c r="V61">
        <v>0.24</v>
      </c>
      <c r="W61">
        <v>8</v>
      </c>
      <c r="X61" s="8">
        <v>53</v>
      </c>
    </row>
    <row r="62" spans="1:24" x14ac:dyDescent="0.3">
      <c r="A62">
        <v>1</v>
      </c>
      <c r="B62">
        <v>14</v>
      </c>
      <c r="C62" s="8">
        <v>58</v>
      </c>
      <c r="D62" s="8"/>
      <c r="N62" t="s">
        <v>24</v>
      </c>
      <c r="O62">
        <v>11</v>
      </c>
      <c r="P62" s="8">
        <v>66</v>
      </c>
      <c r="V62">
        <v>0.26</v>
      </c>
      <c r="W62">
        <v>11</v>
      </c>
      <c r="X62" s="8">
        <v>66</v>
      </c>
    </row>
    <row r="63" spans="1:24" x14ac:dyDescent="0.3">
      <c r="A63">
        <v>1</v>
      </c>
      <c r="B63">
        <v>9</v>
      </c>
      <c r="C63" s="8">
        <v>67</v>
      </c>
      <c r="D63" s="8"/>
      <c r="N63" t="s">
        <v>24</v>
      </c>
      <c r="O63">
        <v>14</v>
      </c>
      <c r="P63" s="8">
        <v>58</v>
      </c>
      <c r="V63">
        <v>0.26</v>
      </c>
      <c r="W63">
        <v>14</v>
      </c>
      <c r="X63" s="8">
        <v>58</v>
      </c>
    </row>
    <row r="64" spans="1:24" x14ac:dyDescent="0.3">
      <c r="A64">
        <v>1</v>
      </c>
      <c r="B64">
        <v>11</v>
      </c>
      <c r="C64" s="8">
        <v>146</v>
      </c>
      <c r="D64" s="8"/>
      <c r="N64" t="s">
        <v>24</v>
      </c>
      <c r="O64">
        <v>9</v>
      </c>
      <c r="P64" s="8">
        <v>67</v>
      </c>
      <c r="V64">
        <v>0.26</v>
      </c>
      <c r="W64">
        <v>9</v>
      </c>
      <c r="X64" s="8">
        <v>67</v>
      </c>
    </row>
    <row r="65" spans="1:24" x14ac:dyDescent="0.3">
      <c r="A65">
        <v>1</v>
      </c>
      <c r="B65">
        <v>9</v>
      </c>
      <c r="C65" s="8">
        <v>148</v>
      </c>
      <c r="D65" s="8"/>
      <c r="N65" t="s">
        <v>24</v>
      </c>
      <c r="O65">
        <v>11</v>
      </c>
      <c r="P65" s="8">
        <v>146</v>
      </c>
      <c r="V65">
        <v>0.24</v>
      </c>
      <c r="W65">
        <v>11</v>
      </c>
      <c r="X65" s="8">
        <v>146</v>
      </c>
    </row>
    <row r="66" spans="1:24" x14ac:dyDescent="0.3">
      <c r="A66">
        <v>1</v>
      </c>
      <c r="B66">
        <v>8</v>
      </c>
      <c r="C66" s="8">
        <v>102</v>
      </c>
      <c r="D66" s="8"/>
      <c r="N66" t="s">
        <v>24</v>
      </c>
      <c r="O66">
        <v>9</v>
      </c>
      <c r="P66" s="8">
        <v>148</v>
      </c>
      <c r="V66">
        <v>0.24</v>
      </c>
      <c r="W66">
        <v>9</v>
      </c>
      <c r="X66" s="8">
        <v>148</v>
      </c>
    </row>
    <row r="67" spans="1:24" x14ac:dyDescent="0.3">
      <c r="A67">
        <v>1</v>
      </c>
      <c r="B67">
        <v>3</v>
      </c>
      <c r="C67" s="8">
        <v>49</v>
      </c>
      <c r="D67" s="8"/>
      <c r="N67" t="s">
        <v>24</v>
      </c>
      <c r="O67">
        <v>8</v>
      </c>
      <c r="P67" s="8">
        <v>102</v>
      </c>
      <c r="V67">
        <v>0.2</v>
      </c>
      <c r="W67">
        <v>8</v>
      </c>
      <c r="X67" s="8">
        <v>102</v>
      </c>
    </row>
    <row r="68" spans="1:24" x14ac:dyDescent="0.3">
      <c r="A68">
        <v>1</v>
      </c>
      <c r="B68">
        <v>3</v>
      </c>
      <c r="C68" s="8">
        <v>49</v>
      </c>
      <c r="D68" s="8"/>
      <c r="N68" t="s">
        <v>24</v>
      </c>
      <c r="O68">
        <v>3</v>
      </c>
      <c r="P68" s="8">
        <v>49</v>
      </c>
      <c r="V68">
        <v>0.2</v>
      </c>
      <c r="W68">
        <v>3</v>
      </c>
      <c r="X68" s="8">
        <v>49</v>
      </c>
    </row>
    <row r="69" spans="1:24" x14ac:dyDescent="0.3">
      <c r="A69">
        <v>1</v>
      </c>
      <c r="B69">
        <v>0</v>
      </c>
      <c r="C69" s="8">
        <v>20</v>
      </c>
      <c r="D69" s="8"/>
      <c r="N69" t="s">
        <v>24</v>
      </c>
      <c r="O69">
        <v>3</v>
      </c>
      <c r="P69" s="8">
        <v>49</v>
      </c>
      <c r="V69">
        <v>0.18</v>
      </c>
      <c r="W69">
        <v>3</v>
      </c>
      <c r="X69" s="8">
        <v>49</v>
      </c>
    </row>
    <row r="70" spans="1:24" x14ac:dyDescent="0.3">
      <c r="A70">
        <v>1</v>
      </c>
      <c r="B70">
        <v>1</v>
      </c>
      <c r="C70" s="8">
        <v>11</v>
      </c>
      <c r="D70" s="8"/>
      <c r="N70" t="s">
        <v>24</v>
      </c>
      <c r="O70">
        <v>0</v>
      </c>
      <c r="P70" s="8">
        <v>20</v>
      </c>
      <c r="V70">
        <v>0.14000000000000001</v>
      </c>
      <c r="W70">
        <v>0</v>
      </c>
      <c r="X70" s="8">
        <v>20</v>
      </c>
    </row>
    <row r="71" spans="1:24" x14ac:dyDescent="0.3">
      <c r="A71">
        <v>1</v>
      </c>
      <c r="B71">
        <v>0</v>
      </c>
      <c r="C71" s="8">
        <v>5</v>
      </c>
      <c r="D71" s="8"/>
      <c r="N71" t="s">
        <v>24</v>
      </c>
      <c r="O71">
        <v>1</v>
      </c>
      <c r="P71" s="8">
        <v>11</v>
      </c>
      <c r="V71">
        <v>0.18</v>
      </c>
      <c r="W71">
        <v>1</v>
      </c>
      <c r="X71" s="8">
        <v>11</v>
      </c>
    </row>
    <row r="72" spans="1:24" x14ac:dyDescent="0.3">
      <c r="A72">
        <v>1</v>
      </c>
      <c r="B72">
        <v>0</v>
      </c>
      <c r="C72" s="8">
        <v>2</v>
      </c>
      <c r="D72" s="8"/>
      <c r="N72" t="s">
        <v>25</v>
      </c>
      <c r="O72">
        <v>0</v>
      </c>
      <c r="P72" s="8">
        <v>5</v>
      </c>
      <c r="V72">
        <v>0.16</v>
      </c>
      <c r="W72">
        <v>0</v>
      </c>
      <c r="X72" s="8">
        <v>5</v>
      </c>
    </row>
    <row r="73" spans="1:24" x14ac:dyDescent="0.3">
      <c r="A73">
        <v>1</v>
      </c>
      <c r="B73">
        <v>0</v>
      </c>
      <c r="C73" s="8">
        <v>1</v>
      </c>
      <c r="D73" s="8"/>
      <c r="N73" t="s">
        <v>25</v>
      </c>
      <c r="O73">
        <v>0</v>
      </c>
      <c r="P73" s="8">
        <v>2</v>
      </c>
      <c r="V73">
        <v>0.16</v>
      </c>
      <c r="W73">
        <v>0</v>
      </c>
      <c r="X73" s="8">
        <v>2</v>
      </c>
    </row>
    <row r="74" spans="1:24" x14ac:dyDescent="0.3">
      <c r="A74">
        <v>1</v>
      </c>
      <c r="B74">
        <v>0</v>
      </c>
      <c r="C74" s="8">
        <v>2</v>
      </c>
      <c r="D74" s="8"/>
      <c r="N74" t="s">
        <v>25</v>
      </c>
      <c r="O74">
        <v>0</v>
      </c>
      <c r="P74" s="8">
        <v>1</v>
      </c>
      <c r="V74">
        <v>0.14000000000000001</v>
      </c>
      <c r="W74">
        <v>0</v>
      </c>
      <c r="X74" s="8">
        <v>1</v>
      </c>
    </row>
    <row r="75" spans="1:24" x14ac:dyDescent="0.3">
      <c r="A75">
        <v>1</v>
      </c>
      <c r="B75">
        <v>0</v>
      </c>
      <c r="C75" s="8">
        <v>4</v>
      </c>
      <c r="D75" s="8"/>
      <c r="N75" t="s">
        <v>25</v>
      </c>
      <c r="O75">
        <v>0</v>
      </c>
      <c r="P75" s="8">
        <v>2</v>
      </c>
      <c r="V75">
        <v>0.14000000000000001</v>
      </c>
      <c r="W75">
        <v>0</v>
      </c>
      <c r="X75" s="8">
        <v>2</v>
      </c>
    </row>
    <row r="76" spans="1:24" x14ac:dyDescent="0.3">
      <c r="A76">
        <v>1</v>
      </c>
      <c r="B76">
        <v>0</v>
      </c>
      <c r="C76" s="8">
        <v>36</v>
      </c>
      <c r="D76" s="8"/>
      <c r="N76" t="s">
        <v>25</v>
      </c>
      <c r="O76">
        <v>0</v>
      </c>
      <c r="P76" s="8">
        <v>4</v>
      </c>
      <c r="V76">
        <v>0.12</v>
      </c>
      <c r="W76">
        <v>0</v>
      </c>
      <c r="X76" s="8">
        <v>4</v>
      </c>
    </row>
    <row r="77" spans="1:24" x14ac:dyDescent="0.3">
      <c r="A77">
        <v>1</v>
      </c>
      <c r="B77">
        <v>2</v>
      </c>
      <c r="C77" s="8">
        <v>92</v>
      </c>
      <c r="D77" s="8"/>
      <c r="N77" t="s">
        <v>25</v>
      </c>
      <c r="O77">
        <v>0</v>
      </c>
      <c r="P77" s="8">
        <v>36</v>
      </c>
      <c r="V77">
        <v>0.12</v>
      </c>
      <c r="W77">
        <v>0</v>
      </c>
      <c r="X77" s="8">
        <v>36</v>
      </c>
    </row>
    <row r="78" spans="1:24" x14ac:dyDescent="0.3">
      <c r="A78">
        <v>1</v>
      </c>
      <c r="B78">
        <v>2</v>
      </c>
      <c r="C78" s="8">
        <v>177</v>
      </c>
      <c r="D78" s="8"/>
      <c r="N78" t="s">
        <v>25</v>
      </c>
      <c r="O78">
        <v>2</v>
      </c>
      <c r="P78" s="8">
        <v>92</v>
      </c>
      <c r="V78">
        <v>0.12</v>
      </c>
      <c r="W78">
        <v>2</v>
      </c>
      <c r="X78" s="8">
        <v>92</v>
      </c>
    </row>
    <row r="79" spans="1:24" x14ac:dyDescent="0.3">
      <c r="A79">
        <v>1</v>
      </c>
      <c r="B79">
        <v>2</v>
      </c>
      <c r="C79" s="8">
        <v>98</v>
      </c>
      <c r="D79" s="8"/>
      <c r="N79" t="s">
        <v>25</v>
      </c>
      <c r="O79">
        <v>2</v>
      </c>
      <c r="P79" s="8">
        <v>177</v>
      </c>
      <c r="V79">
        <v>0.14000000000000001</v>
      </c>
      <c r="W79">
        <v>2</v>
      </c>
      <c r="X79" s="8">
        <v>177</v>
      </c>
    </row>
    <row r="80" spans="1:24" x14ac:dyDescent="0.3">
      <c r="A80">
        <v>2</v>
      </c>
      <c r="B80">
        <v>5</v>
      </c>
      <c r="C80" s="8">
        <v>37</v>
      </c>
      <c r="D80" s="8"/>
      <c r="N80" t="s">
        <v>25</v>
      </c>
      <c r="O80">
        <v>2</v>
      </c>
      <c r="P80" s="8">
        <v>98</v>
      </c>
      <c r="V80">
        <v>0.16</v>
      </c>
      <c r="W80">
        <v>2</v>
      </c>
      <c r="X80" s="8">
        <v>98</v>
      </c>
    </row>
    <row r="81" spans="1:24" x14ac:dyDescent="0.3">
      <c r="A81">
        <v>1</v>
      </c>
      <c r="B81">
        <v>7</v>
      </c>
      <c r="C81" s="8">
        <v>50</v>
      </c>
      <c r="D81" s="8"/>
      <c r="N81" t="s">
        <v>25</v>
      </c>
      <c r="O81">
        <v>5</v>
      </c>
      <c r="P81" s="8">
        <v>37</v>
      </c>
      <c r="V81">
        <v>0.16</v>
      </c>
      <c r="W81">
        <v>5</v>
      </c>
      <c r="X81" s="8">
        <v>37</v>
      </c>
    </row>
    <row r="82" spans="1:24" x14ac:dyDescent="0.3">
      <c r="A82">
        <v>1</v>
      </c>
      <c r="B82">
        <v>12</v>
      </c>
      <c r="C82" s="8">
        <v>66</v>
      </c>
      <c r="D82" s="8"/>
      <c r="N82" t="s">
        <v>25</v>
      </c>
      <c r="O82">
        <v>7</v>
      </c>
      <c r="P82" s="8">
        <v>50</v>
      </c>
      <c r="V82">
        <v>0.22</v>
      </c>
      <c r="W82">
        <v>7</v>
      </c>
      <c r="X82" s="8">
        <v>50</v>
      </c>
    </row>
    <row r="83" spans="1:24" x14ac:dyDescent="0.3">
      <c r="A83">
        <v>1</v>
      </c>
      <c r="B83">
        <v>18</v>
      </c>
      <c r="C83" s="8">
        <v>79</v>
      </c>
      <c r="D83" s="8"/>
      <c r="N83" t="s">
        <v>25</v>
      </c>
      <c r="O83">
        <v>12</v>
      </c>
      <c r="P83" s="8">
        <v>66</v>
      </c>
      <c r="V83">
        <v>0.22</v>
      </c>
      <c r="W83">
        <v>12</v>
      </c>
      <c r="X83" s="8">
        <v>66</v>
      </c>
    </row>
    <row r="84" spans="1:24" x14ac:dyDescent="0.3">
      <c r="A84">
        <v>1</v>
      </c>
      <c r="B84">
        <v>9</v>
      </c>
      <c r="C84" s="8">
        <v>54</v>
      </c>
      <c r="D84" s="8"/>
      <c r="N84" t="s">
        <v>25</v>
      </c>
      <c r="O84">
        <v>18</v>
      </c>
      <c r="P84" s="8">
        <v>79</v>
      </c>
      <c r="V84">
        <v>0.24</v>
      </c>
      <c r="W84">
        <v>18</v>
      </c>
      <c r="X84" s="8">
        <v>79</v>
      </c>
    </row>
    <row r="85" spans="1:24" x14ac:dyDescent="0.3">
      <c r="A85">
        <v>1</v>
      </c>
      <c r="B85">
        <v>17</v>
      </c>
      <c r="C85" s="8">
        <v>48</v>
      </c>
      <c r="D85" s="8"/>
      <c r="N85" t="s">
        <v>25</v>
      </c>
      <c r="O85">
        <v>9</v>
      </c>
      <c r="P85" s="8">
        <v>54</v>
      </c>
      <c r="V85">
        <v>0.26</v>
      </c>
      <c r="W85">
        <v>9</v>
      </c>
      <c r="X85" s="8">
        <v>54</v>
      </c>
    </row>
    <row r="86" spans="1:24" x14ac:dyDescent="0.3">
      <c r="A86">
        <v>1</v>
      </c>
      <c r="B86">
        <v>15</v>
      </c>
      <c r="C86" s="8">
        <v>68</v>
      </c>
      <c r="D86" s="8"/>
      <c r="N86" t="s">
        <v>25</v>
      </c>
      <c r="O86">
        <v>17</v>
      </c>
      <c r="P86" s="8">
        <v>48</v>
      </c>
      <c r="V86">
        <v>0.28000000000000003</v>
      </c>
      <c r="W86">
        <v>17</v>
      </c>
      <c r="X86" s="8">
        <v>48</v>
      </c>
    </row>
    <row r="87" spans="1:24" x14ac:dyDescent="0.3">
      <c r="A87">
        <v>1</v>
      </c>
      <c r="B87">
        <v>10</v>
      </c>
      <c r="C87" s="8">
        <v>202</v>
      </c>
      <c r="D87" s="8"/>
      <c r="N87" t="s">
        <v>25</v>
      </c>
      <c r="O87">
        <v>15</v>
      </c>
      <c r="P87" s="8">
        <v>68</v>
      </c>
      <c r="V87">
        <v>0.3</v>
      </c>
      <c r="W87">
        <v>15</v>
      </c>
      <c r="X87" s="8">
        <v>68</v>
      </c>
    </row>
    <row r="88" spans="1:24" x14ac:dyDescent="0.3">
      <c r="A88">
        <v>1</v>
      </c>
      <c r="B88">
        <v>3</v>
      </c>
      <c r="C88" s="8">
        <v>179</v>
      </c>
      <c r="D88" s="8"/>
      <c r="N88" t="s">
        <v>25</v>
      </c>
      <c r="O88">
        <v>10</v>
      </c>
      <c r="P88" s="8">
        <v>202</v>
      </c>
      <c r="V88">
        <v>0.28000000000000003</v>
      </c>
      <c r="W88">
        <v>10</v>
      </c>
      <c r="X88" s="8">
        <v>202</v>
      </c>
    </row>
    <row r="89" spans="1:24" x14ac:dyDescent="0.3">
      <c r="A89">
        <v>1</v>
      </c>
      <c r="B89">
        <v>2</v>
      </c>
      <c r="C89" s="8">
        <v>110</v>
      </c>
      <c r="D89" s="8"/>
      <c r="N89" t="s">
        <v>25</v>
      </c>
      <c r="O89">
        <v>3</v>
      </c>
      <c r="P89" s="8">
        <v>179</v>
      </c>
      <c r="V89">
        <v>0.26</v>
      </c>
      <c r="W89">
        <v>3</v>
      </c>
      <c r="X89" s="8">
        <v>179</v>
      </c>
    </row>
    <row r="90" spans="1:24" x14ac:dyDescent="0.3">
      <c r="A90">
        <v>1</v>
      </c>
      <c r="B90">
        <v>1</v>
      </c>
      <c r="C90" s="8">
        <v>53</v>
      </c>
      <c r="D90" s="8"/>
      <c r="N90" t="s">
        <v>25</v>
      </c>
      <c r="O90">
        <v>2</v>
      </c>
      <c r="P90" s="8">
        <v>110</v>
      </c>
      <c r="V90">
        <v>0.24</v>
      </c>
      <c r="W90">
        <v>2</v>
      </c>
      <c r="X90" s="8">
        <v>110</v>
      </c>
    </row>
    <row r="91" spans="1:24" x14ac:dyDescent="0.3">
      <c r="A91">
        <v>1</v>
      </c>
      <c r="B91">
        <v>0</v>
      </c>
      <c r="C91" s="8">
        <v>48</v>
      </c>
      <c r="D91" s="8"/>
      <c r="N91" t="s">
        <v>25</v>
      </c>
      <c r="O91">
        <v>1</v>
      </c>
      <c r="P91" s="8">
        <v>53</v>
      </c>
      <c r="V91">
        <v>0.24</v>
      </c>
      <c r="W91">
        <v>1</v>
      </c>
      <c r="X91" s="8">
        <v>53</v>
      </c>
    </row>
    <row r="92" spans="1:24" x14ac:dyDescent="0.3">
      <c r="A92">
        <v>1</v>
      </c>
      <c r="B92">
        <v>1</v>
      </c>
      <c r="C92" s="8">
        <v>34</v>
      </c>
      <c r="D92" s="8"/>
      <c r="N92" t="s">
        <v>25</v>
      </c>
      <c r="O92">
        <v>0</v>
      </c>
      <c r="P92" s="8">
        <v>48</v>
      </c>
      <c r="V92">
        <v>0.22</v>
      </c>
      <c r="W92">
        <v>0</v>
      </c>
      <c r="X92" s="8">
        <v>48</v>
      </c>
    </row>
    <row r="93" spans="1:24" x14ac:dyDescent="0.3">
      <c r="A93">
        <v>1</v>
      </c>
      <c r="B93">
        <v>2</v>
      </c>
      <c r="C93" s="8">
        <v>9</v>
      </c>
      <c r="D93" s="8"/>
      <c r="N93" t="s">
        <v>25</v>
      </c>
      <c r="O93">
        <v>1</v>
      </c>
      <c r="P93" s="8">
        <v>34</v>
      </c>
      <c r="V93">
        <v>0.22</v>
      </c>
      <c r="W93">
        <v>1</v>
      </c>
      <c r="X93" s="8">
        <v>34</v>
      </c>
    </row>
    <row r="94" spans="1:24" x14ac:dyDescent="0.3">
      <c r="A94">
        <v>1</v>
      </c>
      <c r="B94">
        <v>0</v>
      </c>
      <c r="C94" s="8">
        <v>6</v>
      </c>
      <c r="D94" s="8"/>
      <c r="N94" t="s">
        <v>25</v>
      </c>
      <c r="O94">
        <v>2</v>
      </c>
      <c r="P94" s="8">
        <v>9</v>
      </c>
      <c r="V94">
        <v>0.2</v>
      </c>
      <c r="W94">
        <v>2</v>
      </c>
      <c r="X94" s="8">
        <v>9</v>
      </c>
    </row>
    <row r="95" spans="1:24" x14ac:dyDescent="0.3">
      <c r="A95">
        <v>1</v>
      </c>
      <c r="B95">
        <v>0</v>
      </c>
      <c r="C95" s="8">
        <v>6</v>
      </c>
      <c r="D95" s="8"/>
      <c r="N95" t="s">
        <v>26</v>
      </c>
      <c r="O95">
        <v>0</v>
      </c>
      <c r="P95" s="8">
        <v>6</v>
      </c>
      <c r="V95">
        <v>0.2</v>
      </c>
      <c r="W95">
        <v>0</v>
      </c>
      <c r="X95" s="8">
        <v>6</v>
      </c>
    </row>
    <row r="96" spans="1:24" x14ac:dyDescent="0.3">
      <c r="A96">
        <v>1</v>
      </c>
      <c r="B96">
        <v>0</v>
      </c>
      <c r="C96" s="8">
        <v>2</v>
      </c>
      <c r="D96" s="8"/>
      <c r="N96" t="s">
        <v>26</v>
      </c>
      <c r="O96">
        <v>0</v>
      </c>
      <c r="P96" s="8">
        <v>6</v>
      </c>
      <c r="V96">
        <v>0.16</v>
      </c>
      <c r="W96">
        <v>0</v>
      </c>
      <c r="X96" s="8">
        <v>6</v>
      </c>
    </row>
    <row r="97" spans="1:24" x14ac:dyDescent="0.3">
      <c r="A97">
        <v>1</v>
      </c>
      <c r="B97">
        <v>0</v>
      </c>
      <c r="C97" s="8">
        <v>2</v>
      </c>
      <c r="D97" s="8"/>
      <c r="N97" t="s">
        <v>26</v>
      </c>
      <c r="O97">
        <v>0</v>
      </c>
      <c r="P97" s="8">
        <v>2</v>
      </c>
      <c r="V97">
        <v>0.16</v>
      </c>
      <c r="W97">
        <v>0</v>
      </c>
      <c r="X97" s="8">
        <v>2</v>
      </c>
    </row>
    <row r="98" spans="1:24" x14ac:dyDescent="0.3">
      <c r="A98">
        <v>1</v>
      </c>
      <c r="B98">
        <v>0</v>
      </c>
      <c r="C98" s="8">
        <v>3</v>
      </c>
      <c r="D98" s="8"/>
      <c r="N98" t="s">
        <v>26</v>
      </c>
      <c r="O98">
        <v>0</v>
      </c>
      <c r="P98" s="8">
        <v>2</v>
      </c>
      <c r="V98">
        <v>0.24</v>
      </c>
      <c r="W98">
        <v>0</v>
      </c>
      <c r="X98" s="8">
        <v>2</v>
      </c>
    </row>
    <row r="99" spans="1:24" x14ac:dyDescent="0.3">
      <c r="A99">
        <v>1</v>
      </c>
      <c r="B99">
        <v>0</v>
      </c>
      <c r="C99" s="8">
        <v>33</v>
      </c>
      <c r="D99" s="8"/>
      <c r="N99" t="s">
        <v>26</v>
      </c>
      <c r="O99">
        <v>0</v>
      </c>
      <c r="P99" s="8">
        <v>3</v>
      </c>
      <c r="V99">
        <v>0.22</v>
      </c>
      <c r="W99">
        <v>0</v>
      </c>
      <c r="X99" s="8">
        <v>3</v>
      </c>
    </row>
    <row r="100" spans="1:24" x14ac:dyDescent="0.3">
      <c r="A100">
        <v>1</v>
      </c>
      <c r="B100">
        <v>1</v>
      </c>
      <c r="C100" s="8">
        <v>87</v>
      </c>
      <c r="D100" s="8"/>
      <c r="N100" t="s">
        <v>26</v>
      </c>
      <c r="O100">
        <v>0</v>
      </c>
      <c r="P100" s="8">
        <v>33</v>
      </c>
      <c r="V100">
        <v>0.2</v>
      </c>
      <c r="W100">
        <v>0</v>
      </c>
      <c r="X100" s="8">
        <v>33</v>
      </c>
    </row>
    <row r="101" spans="1:24" x14ac:dyDescent="0.3">
      <c r="A101">
        <v>1</v>
      </c>
      <c r="B101">
        <v>3</v>
      </c>
      <c r="C101" s="8">
        <v>192</v>
      </c>
      <c r="D101" s="8"/>
      <c r="N101" t="s">
        <v>26</v>
      </c>
      <c r="O101">
        <v>1</v>
      </c>
      <c r="P101" s="8">
        <v>87</v>
      </c>
      <c r="V101">
        <v>0.18</v>
      </c>
      <c r="W101">
        <v>1</v>
      </c>
      <c r="X101" s="8">
        <v>87</v>
      </c>
    </row>
    <row r="102" spans="1:24" x14ac:dyDescent="0.3">
      <c r="A102">
        <v>1</v>
      </c>
      <c r="B102">
        <v>6</v>
      </c>
      <c r="C102" s="8">
        <v>109</v>
      </c>
      <c r="D102" s="8"/>
      <c r="N102" t="s">
        <v>26</v>
      </c>
      <c r="O102">
        <v>3</v>
      </c>
      <c r="P102" s="8">
        <v>192</v>
      </c>
      <c r="V102">
        <v>0.2</v>
      </c>
      <c r="W102">
        <v>3</v>
      </c>
      <c r="X102" s="8">
        <v>192</v>
      </c>
    </row>
    <row r="103" spans="1:24" x14ac:dyDescent="0.3">
      <c r="A103">
        <v>1</v>
      </c>
      <c r="B103">
        <v>4</v>
      </c>
      <c r="C103" s="8">
        <v>53</v>
      </c>
      <c r="D103" s="8"/>
      <c r="N103" t="s">
        <v>26</v>
      </c>
      <c r="O103">
        <v>6</v>
      </c>
      <c r="P103" s="8">
        <v>109</v>
      </c>
      <c r="V103">
        <v>0.22</v>
      </c>
      <c r="W103">
        <v>6</v>
      </c>
      <c r="X103" s="8">
        <v>109</v>
      </c>
    </row>
    <row r="104" spans="1:24" x14ac:dyDescent="0.3">
      <c r="A104">
        <v>1</v>
      </c>
      <c r="B104">
        <v>12</v>
      </c>
      <c r="C104" s="8">
        <v>34</v>
      </c>
      <c r="D104" s="8"/>
      <c r="N104" t="s">
        <v>26</v>
      </c>
      <c r="O104">
        <v>4</v>
      </c>
      <c r="P104" s="8">
        <v>53</v>
      </c>
      <c r="V104">
        <v>0.22</v>
      </c>
      <c r="W104">
        <v>4</v>
      </c>
      <c r="X104" s="8">
        <v>53</v>
      </c>
    </row>
    <row r="105" spans="1:24" x14ac:dyDescent="0.3">
      <c r="A105">
        <v>1</v>
      </c>
      <c r="B105">
        <v>5</v>
      </c>
      <c r="C105" s="8">
        <v>74</v>
      </c>
      <c r="D105" s="8"/>
      <c r="N105" t="s">
        <v>26</v>
      </c>
      <c r="O105">
        <v>12</v>
      </c>
      <c r="P105" s="8">
        <v>34</v>
      </c>
      <c r="V105">
        <v>0.26</v>
      </c>
      <c r="W105">
        <v>12</v>
      </c>
      <c r="X105" s="8">
        <v>34</v>
      </c>
    </row>
    <row r="106" spans="1:24" x14ac:dyDescent="0.3">
      <c r="A106">
        <v>1</v>
      </c>
      <c r="B106">
        <v>6</v>
      </c>
      <c r="C106" s="8">
        <v>65</v>
      </c>
      <c r="D106" s="8"/>
      <c r="N106" t="s">
        <v>26</v>
      </c>
      <c r="O106">
        <v>5</v>
      </c>
      <c r="P106" s="8">
        <v>74</v>
      </c>
      <c r="V106">
        <v>0.26</v>
      </c>
      <c r="W106">
        <v>5</v>
      </c>
      <c r="X106" s="8">
        <v>74</v>
      </c>
    </row>
    <row r="107" spans="1:24" x14ac:dyDescent="0.3">
      <c r="A107">
        <v>1</v>
      </c>
      <c r="B107">
        <v>10</v>
      </c>
      <c r="C107" s="8">
        <v>52</v>
      </c>
      <c r="D107" s="8"/>
      <c r="N107" t="s">
        <v>26</v>
      </c>
      <c r="O107">
        <v>6</v>
      </c>
      <c r="P107" s="8">
        <v>65</v>
      </c>
      <c r="V107">
        <v>0.28000000000000003</v>
      </c>
      <c r="W107">
        <v>6</v>
      </c>
      <c r="X107" s="8">
        <v>65</v>
      </c>
    </row>
    <row r="108" spans="1:24" x14ac:dyDescent="0.3">
      <c r="A108">
        <v>1</v>
      </c>
      <c r="B108">
        <v>7</v>
      </c>
      <c r="C108" s="8">
        <v>55</v>
      </c>
      <c r="D108" s="8"/>
      <c r="N108" t="s">
        <v>26</v>
      </c>
      <c r="O108">
        <v>10</v>
      </c>
      <c r="P108" s="8">
        <v>52</v>
      </c>
      <c r="V108">
        <v>0.3</v>
      </c>
      <c r="W108">
        <v>10</v>
      </c>
      <c r="X108" s="8">
        <v>52</v>
      </c>
    </row>
    <row r="109" spans="1:24" x14ac:dyDescent="0.3">
      <c r="A109">
        <v>1</v>
      </c>
      <c r="B109">
        <v>4</v>
      </c>
      <c r="C109" s="8">
        <v>85</v>
      </c>
      <c r="D109" s="8"/>
      <c r="N109" t="s">
        <v>26</v>
      </c>
      <c r="O109">
        <v>7</v>
      </c>
      <c r="P109" s="8">
        <v>55</v>
      </c>
      <c r="V109">
        <v>0.3</v>
      </c>
      <c r="W109">
        <v>7</v>
      </c>
      <c r="X109" s="8">
        <v>55</v>
      </c>
    </row>
    <row r="110" spans="1:24" x14ac:dyDescent="0.3">
      <c r="A110">
        <v>1</v>
      </c>
      <c r="B110">
        <v>4</v>
      </c>
      <c r="C110" s="8">
        <v>186</v>
      </c>
      <c r="D110" s="8"/>
      <c r="N110" t="s">
        <v>26</v>
      </c>
      <c r="O110">
        <v>4</v>
      </c>
      <c r="P110" s="8">
        <v>85</v>
      </c>
      <c r="V110">
        <v>0.3</v>
      </c>
      <c r="W110">
        <v>4</v>
      </c>
      <c r="X110" s="8">
        <v>85</v>
      </c>
    </row>
    <row r="111" spans="1:24" x14ac:dyDescent="0.3">
      <c r="A111">
        <v>1</v>
      </c>
      <c r="B111">
        <v>3</v>
      </c>
      <c r="C111" s="8">
        <v>166</v>
      </c>
      <c r="D111" s="8"/>
      <c r="N111" t="s">
        <v>26</v>
      </c>
      <c r="O111">
        <v>4</v>
      </c>
      <c r="P111" s="8">
        <v>186</v>
      </c>
      <c r="V111">
        <v>0.24</v>
      </c>
      <c r="W111">
        <v>4</v>
      </c>
      <c r="X111" s="8">
        <v>186</v>
      </c>
    </row>
    <row r="112" spans="1:24" x14ac:dyDescent="0.3">
      <c r="A112">
        <v>1</v>
      </c>
      <c r="B112">
        <v>5</v>
      </c>
      <c r="C112" s="8">
        <v>127</v>
      </c>
      <c r="D112" s="8"/>
      <c r="N112" t="s">
        <v>26</v>
      </c>
      <c r="O112">
        <v>3</v>
      </c>
      <c r="P112" s="8">
        <v>166</v>
      </c>
      <c r="V112">
        <v>0.24</v>
      </c>
      <c r="W112">
        <v>3</v>
      </c>
      <c r="X112" s="8">
        <v>166</v>
      </c>
    </row>
    <row r="113" spans="1:24" x14ac:dyDescent="0.3">
      <c r="A113">
        <v>1</v>
      </c>
      <c r="B113">
        <v>7</v>
      </c>
      <c r="C113" s="8">
        <v>82</v>
      </c>
      <c r="D113" s="8"/>
      <c r="N113" t="s">
        <v>26</v>
      </c>
      <c r="O113">
        <v>5</v>
      </c>
      <c r="P113" s="8">
        <v>127</v>
      </c>
      <c r="V113">
        <v>0.24</v>
      </c>
      <c r="W113">
        <v>5</v>
      </c>
      <c r="X113" s="8">
        <v>127</v>
      </c>
    </row>
    <row r="114" spans="1:24" x14ac:dyDescent="0.3">
      <c r="A114">
        <v>1</v>
      </c>
      <c r="B114">
        <v>3</v>
      </c>
      <c r="C114" s="8">
        <v>40</v>
      </c>
      <c r="D114" s="8"/>
      <c r="N114" t="s">
        <v>26</v>
      </c>
      <c r="O114">
        <v>7</v>
      </c>
      <c r="P114" s="8">
        <v>82</v>
      </c>
      <c r="V114">
        <v>0.22</v>
      </c>
      <c r="W114">
        <v>7</v>
      </c>
      <c r="X114" s="8">
        <v>82</v>
      </c>
    </row>
    <row r="115" spans="1:24" x14ac:dyDescent="0.3">
      <c r="A115">
        <v>1</v>
      </c>
      <c r="B115">
        <v>1</v>
      </c>
      <c r="C115" s="8">
        <v>41</v>
      </c>
      <c r="D115" s="8"/>
      <c r="N115" t="s">
        <v>26</v>
      </c>
      <c r="O115">
        <v>3</v>
      </c>
      <c r="P115" s="8">
        <v>40</v>
      </c>
      <c r="V115">
        <v>0.2</v>
      </c>
      <c r="W115">
        <v>3</v>
      </c>
      <c r="X115" s="8">
        <v>40</v>
      </c>
    </row>
    <row r="116" spans="1:24" x14ac:dyDescent="0.3">
      <c r="A116">
        <v>1</v>
      </c>
      <c r="B116">
        <v>1</v>
      </c>
      <c r="C116" s="8">
        <v>18</v>
      </c>
      <c r="D116" s="8"/>
      <c r="N116" t="s">
        <v>26</v>
      </c>
      <c r="O116">
        <v>1</v>
      </c>
      <c r="P116" s="8">
        <v>41</v>
      </c>
      <c r="V116">
        <v>0.18</v>
      </c>
      <c r="W116">
        <v>1</v>
      </c>
      <c r="X116" s="8">
        <v>41</v>
      </c>
    </row>
    <row r="117" spans="1:24" x14ac:dyDescent="0.3">
      <c r="A117">
        <v>1</v>
      </c>
      <c r="B117">
        <v>0</v>
      </c>
      <c r="C117" s="8">
        <v>11</v>
      </c>
      <c r="D117" s="8"/>
      <c r="N117" t="s">
        <v>26</v>
      </c>
      <c r="O117">
        <v>1</v>
      </c>
      <c r="P117" s="8">
        <v>18</v>
      </c>
      <c r="V117">
        <v>0.2</v>
      </c>
      <c r="W117">
        <v>1</v>
      </c>
      <c r="X117" s="8">
        <v>18</v>
      </c>
    </row>
    <row r="118" spans="1:24" x14ac:dyDescent="0.3">
      <c r="A118">
        <v>1</v>
      </c>
      <c r="B118">
        <v>0</v>
      </c>
      <c r="C118" s="8">
        <v>4</v>
      </c>
      <c r="D118" s="8"/>
      <c r="N118" t="s">
        <v>27</v>
      </c>
      <c r="O118">
        <v>0</v>
      </c>
      <c r="P118" s="8">
        <v>11</v>
      </c>
      <c r="V118">
        <v>0.18</v>
      </c>
      <c r="W118">
        <v>0</v>
      </c>
      <c r="X118" s="8">
        <v>11</v>
      </c>
    </row>
    <row r="119" spans="1:24" x14ac:dyDescent="0.3">
      <c r="A119">
        <v>1</v>
      </c>
      <c r="B119">
        <v>0</v>
      </c>
      <c r="C119" s="8">
        <v>2</v>
      </c>
      <c r="D119" s="8"/>
      <c r="N119" t="s">
        <v>27</v>
      </c>
      <c r="O119">
        <v>0</v>
      </c>
      <c r="P119" s="8">
        <v>4</v>
      </c>
      <c r="V119">
        <v>0.16</v>
      </c>
      <c r="W119">
        <v>0</v>
      </c>
      <c r="X119" s="8">
        <v>4</v>
      </c>
    </row>
    <row r="120" spans="1:24" x14ac:dyDescent="0.3">
      <c r="A120">
        <v>2</v>
      </c>
      <c r="B120">
        <v>0</v>
      </c>
      <c r="C120" s="8">
        <v>1</v>
      </c>
      <c r="D120" s="8"/>
      <c r="N120" t="s">
        <v>27</v>
      </c>
      <c r="O120">
        <v>0</v>
      </c>
      <c r="P120" s="8">
        <v>2</v>
      </c>
      <c r="V120">
        <v>0.16</v>
      </c>
      <c r="W120">
        <v>0</v>
      </c>
      <c r="X120" s="8">
        <v>2</v>
      </c>
    </row>
    <row r="121" spans="1:24" x14ac:dyDescent="0.3">
      <c r="A121">
        <v>2</v>
      </c>
      <c r="B121">
        <v>0</v>
      </c>
      <c r="C121" s="8">
        <v>4</v>
      </c>
      <c r="D121" s="8"/>
      <c r="N121" t="s">
        <v>27</v>
      </c>
      <c r="O121">
        <v>0</v>
      </c>
      <c r="P121" s="8">
        <v>1</v>
      </c>
      <c r="V121">
        <v>0.16</v>
      </c>
      <c r="W121">
        <v>0</v>
      </c>
      <c r="X121" s="8">
        <v>1</v>
      </c>
    </row>
    <row r="122" spans="1:24" x14ac:dyDescent="0.3">
      <c r="A122">
        <v>2</v>
      </c>
      <c r="B122">
        <v>0</v>
      </c>
      <c r="C122" s="8">
        <v>36</v>
      </c>
      <c r="D122" s="8"/>
      <c r="N122" t="s">
        <v>27</v>
      </c>
      <c r="O122">
        <v>0</v>
      </c>
      <c r="P122" s="8">
        <v>4</v>
      </c>
      <c r="V122">
        <v>0.14000000000000001</v>
      </c>
      <c r="W122">
        <v>0</v>
      </c>
      <c r="X122" s="8">
        <v>4</v>
      </c>
    </row>
    <row r="123" spans="1:24" x14ac:dyDescent="0.3">
      <c r="A123">
        <v>2</v>
      </c>
      <c r="B123">
        <v>0</v>
      </c>
      <c r="C123" s="8">
        <v>95</v>
      </c>
      <c r="D123" s="8"/>
      <c r="N123" t="s">
        <v>27</v>
      </c>
      <c r="O123">
        <v>0</v>
      </c>
      <c r="P123" s="8">
        <v>36</v>
      </c>
      <c r="V123">
        <v>0.14000000000000001</v>
      </c>
      <c r="W123">
        <v>0</v>
      </c>
      <c r="X123" s="8">
        <v>36</v>
      </c>
    </row>
    <row r="124" spans="1:24" x14ac:dyDescent="0.3">
      <c r="A124">
        <v>1</v>
      </c>
      <c r="B124">
        <v>3</v>
      </c>
      <c r="C124" s="8">
        <v>216</v>
      </c>
      <c r="D124" s="8"/>
      <c r="N124" t="s">
        <v>27</v>
      </c>
      <c r="O124">
        <v>0</v>
      </c>
      <c r="P124" s="8">
        <v>95</v>
      </c>
      <c r="V124">
        <v>0.16</v>
      </c>
      <c r="W124">
        <v>0</v>
      </c>
      <c r="X124" s="8">
        <v>95</v>
      </c>
    </row>
    <row r="125" spans="1:24" x14ac:dyDescent="0.3">
      <c r="A125">
        <v>2</v>
      </c>
      <c r="B125">
        <v>6</v>
      </c>
      <c r="C125" s="8">
        <v>116</v>
      </c>
      <c r="D125" s="8"/>
      <c r="N125" t="s">
        <v>27</v>
      </c>
      <c r="O125">
        <v>3</v>
      </c>
      <c r="P125" s="8">
        <v>216</v>
      </c>
      <c r="V125">
        <v>0.16</v>
      </c>
      <c r="W125">
        <v>3</v>
      </c>
      <c r="X125" s="8">
        <v>216</v>
      </c>
    </row>
    <row r="126" spans="1:24" x14ac:dyDescent="0.3">
      <c r="A126">
        <v>1</v>
      </c>
      <c r="B126">
        <v>3</v>
      </c>
      <c r="C126" s="8">
        <v>42</v>
      </c>
      <c r="D126" s="8"/>
      <c r="N126" t="s">
        <v>27</v>
      </c>
      <c r="O126">
        <v>6</v>
      </c>
      <c r="P126" s="8">
        <v>116</v>
      </c>
      <c r="V126">
        <v>0.18</v>
      </c>
      <c r="W126">
        <v>6</v>
      </c>
      <c r="X126" s="8">
        <v>116</v>
      </c>
    </row>
    <row r="127" spans="1:24" x14ac:dyDescent="0.3">
      <c r="A127">
        <v>1</v>
      </c>
      <c r="B127">
        <v>2</v>
      </c>
      <c r="C127" s="8">
        <v>57</v>
      </c>
      <c r="D127" s="8"/>
      <c r="N127" t="s">
        <v>27</v>
      </c>
      <c r="O127">
        <v>3</v>
      </c>
      <c r="P127" s="8">
        <v>42</v>
      </c>
      <c r="V127">
        <v>0.2</v>
      </c>
      <c r="W127">
        <v>3</v>
      </c>
      <c r="X127" s="8">
        <v>42</v>
      </c>
    </row>
    <row r="128" spans="1:24" x14ac:dyDescent="0.3">
      <c r="A128">
        <v>1</v>
      </c>
      <c r="B128">
        <v>6</v>
      </c>
      <c r="C128" s="8">
        <v>78</v>
      </c>
      <c r="D128" s="8"/>
      <c r="N128" t="s">
        <v>27</v>
      </c>
      <c r="O128">
        <v>2</v>
      </c>
      <c r="P128" s="8">
        <v>57</v>
      </c>
      <c r="V128">
        <v>0.22</v>
      </c>
      <c r="W128">
        <v>2</v>
      </c>
      <c r="X128" s="8">
        <v>57</v>
      </c>
    </row>
    <row r="129" spans="1:24" x14ac:dyDescent="0.3">
      <c r="A129">
        <v>1</v>
      </c>
      <c r="B129">
        <v>12</v>
      </c>
      <c r="C129" s="8">
        <v>55</v>
      </c>
      <c r="D129" s="8"/>
      <c r="N129" t="s">
        <v>27</v>
      </c>
      <c r="O129">
        <v>6</v>
      </c>
      <c r="P129" s="8">
        <v>78</v>
      </c>
      <c r="V129">
        <v>0.26</v>
      </c>
      <c r="W129">
        <v>6</v>
      </c>
      <c r="X129" s="8">
        <v>78</v>
      </c>
    </row>
    <row r="130" spans="1:24" x14ac:dyDescent="0.3">
      <c r="A130">
        <v>1</v>
      </c>
      <c r="B130">
        <v>11</v>
      </c>
      <c r="C130" s="8">
        <v>59</v>
      </c>
      <c r="D130" s="8"/>
      <c r="N130" t="s">
        <v>27</v>
      </c>
      <c r="O130">
        <v>12</v>
      </c>
      <c r="P130" s="8">
        <v>55</v>
      </c>
      <c r="V130">
        <v>0.26</v>
      </c>
      <c r="W130">
        <v>12</v>
      </c>
      <c r="X130" s="8">
        <v>55</v>
      </c>
    </row>
    <row r="131" spans="1:24" x14ac:dyDescent="0.3">
      <c r="A131">
        <v>1</v>
      </c>
      <c r="B131">
        <v>8</v>
      </c>
      <c r="C131" s="8">
        <v>54</v>
      </c>
      <c r="D131" s="8"/>
      <c r="N131" t="s">
        <v>27</v>
      </c>
      <c r="O131">
        <v>11</v>
      </c>
      <c r="P131" s="8">
        <v>59</v>
      </c>
      <c r="V131">
        <v>0.28000000000000003</v>
      </c>
      <c r="W131">
        <v>11</v>
      </c>
      <c r="X131" s="8">
        <v>59</v>
      </c>
    </row>
    <row r="132" spans="1:24" x14ac:dyDescent="0.3">
      <c r="A132">
        <v>1</v>
      </c>
      <c r="B132">
        <v>12</v>
      </c>
      <c r="C132" s="8">
        <v>74</v>
      </c>
      <c r="D132" s="8"/>
      <c r="N132" t="s">
        <v>27</v>
      </c>
      <c r="O132">
        <v>8</v>
      </c>
      <c r="P132" s="8">
        <v>54</v>
      </c>
      <c r="V132">
        <v>0.28000000000000003</v>
      </c>
      <c r="W132">
        <v>8</v>
      </c>
      <c r="X132" s="8">
        <v>54</v>
      </c>
    </row>
    <row r="133" spans="1:24" x14ac:dyDescent="0.3">
      <c r="A133">
        <v>1</v>
      </c>
      <c r="B133">
        <v>9</v>
      </c>
      <c r="C133" s="8">
        <v>163</v>
      </c>
      <c r="D133" s="8"/>
      <c r="N133" t="s">
        <v>27</v>
      </c>
      <c r="O133">
        <v>12</v>
      </c>
      <c r="P133" s="8">
        <v>74</v>
      </c>
      <c r="V133">
        <v>0.26</v>
      </c>
      <c r="W133">
        <v>12</v>
      </c>
      <c r="X133" s="8">
        <v>74</v>
      </c>
    </row>
    <row r="134" spans="1:24" x14ac:dyDescent="0.3">
      <c r="A134">
        <v>1</v>
      </c>
      <c r="B134">
        <v>5</v>
      </c>
      <c r="C134" s="8">
        <v>158</v>
      </c>
      <c r="D134" s="8"/>
      <c r="N134" t="s">
        <v>27</v>
      </c>
      <c r="O134">
        <v>9</v>
      </c>
      <c r="P134" s="8">
        <v>163</v>
      </c>
      <c r="V134">
        <v>0.22</v>
      </c>
      <c r="W134">
        <v>9</v>
      </c>
      <c r="X134" s="8">
        <v>163</v>
      </c>
    </row>
    <row r="135" spans="1:24" x14ac:dyDescent="0.3">
      <c r="A135">
        <v>1</v>
      </c>
      <c r="B135">
        <v>3</v>
      </c>
      <c r="C135" s="8">
        <v>109</v>
      </c>
      <c r="D135" s="8"/>
      <c r="N135" t="s">
        <v>27</v>
      </c>
      <c r="O135">
        <v>5</v>
      </c>
      <c r="P135" s="8">
        <v>158</v>
      </c>
      <c r="V135">
        <v>0.22</v>
      </c>
      <c r="W135">
        <v>5</v>
      </c>
      <c r="X135" s="8">
        <v>158</v>
      </c>
    </row>
    <row r="136" spans="1:24" x14ac:dyDescent="0.3">
      <c r="A136">
        <v>1</v>
      </c>
      <c r="B136">
        <v>3</v>
      </c>
      <c r="C136" s="8">
        <v>66</v>
      </c>
      <c r="D136" s="8"/>
      <c r="N136" t="s">
        <v>27</v>
      </c>
      <c r="O136">
        <v>3</v>
      </c>
      <c r="P136" s="8">
        <v>109</v>
      </c>
      <c r="V136">
        <v>0.22</v>
      </c>
      <c r="W136">
        <v>3</v>
      </c>
      <c r="X136" s="8">
        <v>109</v>
      </c>
    </row>
    <row r="137" spans="1:24" x14ac:dyDescent="0.3">
      <c r="A137">
        <v>2</v>
      </c>
      <c r="B137">
        <v>0</v>
      </c>
      <c r="C137" s="8">
        <v>48</v>
      </c>
      <c r="D137" s="8"/>
      <c r="N137" t="s">
        <v>27</v>
      </c>
      <c r="O137">
        <v>3</v>
      </c>
      <c r="P137" s="8">
        <v>66</v>
      </c>
      <c r="V137">
        <v>0.2</v>
      </c>
      <c r="W137">
        <v>3</v>
      </c>
      <c r="X137" s="8">
        <v>66</v>
      </c>
    </row>
    <row r="138" spans="1:24" x14ac:dyDescent="0.3">
      <c r="A138">
        <v>2</v>
      </c>
      <c r="B138">
        <v>1</v>
      </c>
      <c r="C138" s="8">
        <v>51</v>
      </c>
      <c r="D138" s="8"/>
      <c r="N138" t="s">
        <v>27</v>
      </c>
      <c r="O138">
        <v>0</v>
      </c>
      <c r="P138" s="8">
        <v>48</v>
      </c>
      <c r="V138">
        <v>0.22</v>
      </c>
      <c r="W138">
        <v>0</v>
      </c>
      <c r="X138" s="8">
        <v>48</v>
      </c>
    </row>
    <row r="139" spans="1:24" x14ac:dyDescent="0.3">
      <c r="A139">
        <v>2</v>
      </c>
      <c r="B139">
        <v>4</v>
      </c>
      <c r="C139" s="8">
        <v>19</v>
      </c>
      <c r="D139" s="8"/>
      <c r="N139" t="s">
        <v>27</v>
      </c>
      <c r="O139">
        <v>1</v>
      </c>
      <c r="P139" s="8">
        <v>51</v>
      </c>
      <c r="V139">
        <v>0.22</v>
      </c>
      <c r="W139">
        <v>1</v>
      </c>
      <c r="X139" s="8">
        <v>51</v>
      </c>
    </row>
    <row r="140" spans="1:24" x14ac:dyDescent="0.3">
      <c r="A140">
        <v>2</v>
      </c>
      <c r="B140">
        <v>4</v>
      </c>
      <c r="C140" s="8">
        <v>13</v>
      </c>
      <c r="D140" s="8"/>
      <c r="N140" t="s">
        <v>27</v>
      </c>
      <c r="O140">
        <v>4</v>
      </c>
      <c r="P140" s="8">
        <v>19</v>
      </c>
      <c r="V140">
        <v>0.2</v>
      </c>
      <c r="W140">
        <v>4</v>
      </c>
      <c r="X140" s="8">
        <v>19</v>
      </c>
    </row>
    <row r="141" spans="1:24" x14ac:dyDescent="0.3">
      <c r="A141">
        <v>2</v>
      </c>
      <c r="B141">
        <v>2</v>
      </c>
      <c r="C141" s="8">
        <v>5</v>
      </c>
      <c r="D141" s="8"/>
      <c r="N141" t="s">
        <v>28</v>
      </c>
      <c r="O141">
        <v>4</v>
      </c>
      <c r="P141" s="8">
        <v>13</v>
      </c>
      <c r="V141">
        <v>0.2</v>
      </c>
      <c r="W141">
        <v>4</v>
      </c>
      <c r="X141" s="8">
        <v>13</v>
      </c>
    </row>
    <row r="142" spans="1:24" x14ac:dyDescent="0.3">
      <c r="A142">
        <v>2</v>
      </c>
      <c r="B142">
        <v>0</v>
      </c>
      <c r="C142" s="8">
        <v>1</v>
      </c>
      <c r="D142" s="8"/>
      <c r="N142" t="s">
        <v>28</v>
      </c>
      <c r="O142">
        <v>2</v>
      </c>
      <c r="P142" s="8">
        <v>5</v>
      </c>
      <c r="V142">
        <v>0.2</v>
      </c>
      <c r="W142">
        <v>2</v>
      </c>
      <c r="X142" s="8">
        <v>5</v>
      </c>
    </row>
    <row r="143" spans="1:24" x14ac:dyDescent="0.3">
      <c r="A143">
        <v>2</v>
      </c>
      <c r="B143">
        <v>0</v>
      </c>
      <c r="C143" s="8">
        <v>1</v>
      </c>
      <c r="D143" s="8"/>
      <c r="N143" t="s">
        <v>28</v>
      </c>
      <c r="O143">
        <v>0</v>
      </c>
      <c r="P143" s="8">
        <v>1</v>
      </c>
      <c r="V143">
        <v>0.2</v>
      </c>
      <c r="W143">
        <v>0</v>
      </c>
      <c r="X143" s="8">
        <v>1</v>
      </c>
    </row>
    <row r="144" spans="1:24" x14ac:dyDescent="0.3">
      <c r="A144">
        <v>3</v>
      </c>
      <c r="B144">
        <v>0</v>
      </c>
      <c r="C144" s="8">
        <v>5</v>
      </c>
      <c r="D144" s="8"/>
      <c r="N144" t="s">
        <v>28</v>
      </c>
      <c r="O144">
        <v>0</v>
      </c>
      <c r="P144" s="8">
        <v>1</v>
      </c>
      <c r="V144">
        <v>0.2</v>
      </c>
      <c r="W144">
        <v>0</v>
      </c>
      <c r="X144" s="8">
        <v>1</v>
      </c>
    </row>
    <row r="145" spans="1:24" x14ac:dyDescent="0.3">
      <c r="A145">
        <v>2</v>
      </c>
      <c r="B145">
        <v>8</v>
      </c>
      <c r="C145" s="8">
        <v>26</v>
      </c>
      <c r="D145" s="8"/>
      <c r="N145" t="s">
        <v>28</v>
      </c>
      <c r="O145">
        <v>0</v>
      </c>
      <c r="P145" s="8">
        <v>5</v>
      </c>
      <c r="V145">
        <v>0.22</v>
      </c>
      <c r="W145">
        <v>0</v>
      </c>
      <c r="X145" s="8">
        <v>5</v>
      </c>
    </row>
    <row r="146" spans="1:24" x14ac:dyDescent="0.3">
      <c r="A146">
        <v>1</v>
      </c>
      <c r="B146">
        <v>8</v>
      </c>
      <c r="C146" s="8">
        <v>76</v>
      </c>
      <c r="D146" s="8"/>
      <c r="N146" t="s">
        <v>28</v>
      </c>
      <c r="O146">
        <v>8</v>
      </c>
      <c r="P146" s="8">
        <v>26</v>
      </c>
      <c r="V146">
        <v>0.2</v>
      </c>
      <c r="W146">
        <v>8</v>
      </c>
      <c r="X146" s="8">
        <v>26</v>
      </c>
    </row>
    <row r="147" spans="1:24" x14ac:dyDescent="0.3">
      <c r="A147">
        <v>1</v>
      </c>
      <c r="B147">
        <v>20</v>
      </c>
      <c r="C147" s="8">
        <v>190</v>
      </c>
      <c r="D147" s="8"/>
      <c r="N147" t="s">
        <v>28</v>
      </c>
      <c r="O147">
        <v>8</v>
      </c>
      <c r="P147" s="8">
        <v>76</v>
      </c>
      <c r="V147">
        <v>0.2</v>
      </c>
      <c r="W147">
        <v>8</v>
      </c>
      <c r="X147" s="8">
        <v>76</v>
      </c>
    </row>
    <row r="148" spans="1:24" x14ac:dyDescent="0.3">
      <c r="A148">
        <v>1</v>
      </c>
      <c r="B148">
        <v>9</v>
      </c>
      <c r="C148" s="8">
        <v>125</v>
      </c>
      <c r="D148" s="8"/>
      <c r="N148" t="s">
        <v>28</v>
      </c>
      <c r="O148">
        <v>20</v>
      </c>
      <c r="P148" s="8">
        <v>190</v>
      </c>
      <c r="V148">
        <v>0.2</v>
      </c>
      <c r="W148">
        <v>20</v>
      </c>
      <c r="X148" s="8">
        <v>190</v>
      </c>
    </row>
    <row r="149" spans="1:24" x14ac:dyDescent="0.3">
      <c r="A149">
        <v>1</v>
      </c>
      <c r="B149">
        <v>16</v>
      </c>
      <c r="C149" s="8">
        <v>47</v>
      </c>
      <c r="D149" s="8"/>
      <c r="N149" t="s">
        <v>28</v>
      </c>
      <c r="O149">
        <v>9</v>
      </c>
      <c r="P149" s="8">
        <v>125</v>
      </c>
      <c r="V149">
        <v>0.2</v>
      </c>
      <c r="W149">
        <v>9</v>
      </c>
      <c r="X149" s="8">
        <v>125</v>
      </c>
    </row>
    <row r="150" spans="1:24" x14ac:dyDescent="0.3">
      <c r="A150">
        <v>2</v>
      </c>
      <c r="B150">
        <v>19</v>
      </c>
      <c r="C150" s="8">
        <v>48</v>
      </c>
      <c r="D150" s="8"/>
      <c r="N150" t="s">
        <v>28</v>
      </c>
      <c r="O150">
        <v>16</v>
      </c>
      <c r="P150" s="8">
        <v>47</v>
      </c>
      <c r="V150">
        <v>0.22</v>
      </c>
      <c r="W150">
        <v>16</v>
      </c>
      <c r="X150" s="8">
        <v>47</v>
      </c>
    </row>
    <row r="151" spans="1:24" x14ac:dyDescent="0.3">
      <c r="A151">
        <v>2</v>
      </c>
      <c r="B151">
        <v>9</v>
      </c>
      <c r="C151" s="8">
        <v>50</v>
      </c>
      <c r="D151" s="8"/>
      <c r="N151" t="s">
        <v>28</v>
      </c>
      <c r="O151">
        <v>19</v>
      </c>
      <c r="P151" s="8">
        <v>48</v>
      </c>
      <c r="V151">
        <v>0.2</v>
      </c>
      <c r="W151">
        <v>19</v>
      </c>
      <c r="X151" s="8">
        <v>48</v>
      </c>
    </row>
    <row r="152" spans="1:24" x14ac:dyDescent="0.3">
      <c r="A152">
        <v>2</v>
      </c>
      <c r="B152">
        <v>9</v>
      </c>
      <c r="C152" s="8">
        <v>64</v>
      </c>
      <c r="D152" s="8"/>
      <c r="N152" t="s">
        <v>28</v>
      </c>
      <c r="O152">
        <v>9</v>
      </c>
      <c r="P152" s="8">
        <v>50</v>
      </c>
      <c r="V152">
        <v>0.2</v>
      </c>
      <c r="W152">
        <v>9</v>
      </c>
      <c r="X152" s="8">
        <v>50</v>
      </c>
    </row>
    <row r="153" spans="1:24" x14ac:dyDescent="0.3">
      <c r="A153">
        <v>2</v>
      </c>
      <c r="B153">
        <v>7</v>
      </c>
      <c r="C153" s="8">
        <v>43</v>
      </c>
      <c r="D153" s="8"/>
      <c r="N153" t="s">
        <v>28</v>
      </c>
      <c r="O153">
        <v>9</v>
      </c>
      <c r="P153" s="8">
        <v>64</v>
      </c>
      <c r="V153">
        <v>0.2</v>
      </c>
      <c r="W153">
        <v>9</v>
      </c>
      <c r="X153" s="8">
        <v>64</v>
      </c>
    </row>
    <row r="154" spans="1:24" x14ac:dyDescent="0.3">
      <c r="A154">
        <v>2</v>
      </c>
      <c r="B154">
        <v>9</v>
      </c>
      <c r="C154" s="8">
        <v>63</v>
      </c>
      <c r="D154" s="8"/>
      <c r="N154" t="s">
        <v>28</v>
      </c>
      <c r="O154">
        <v>7</v>
      </c>
      <c r="P154" s="8">
        <v>43</v>
      </c>
      <c r="V154">
        <v>0.2</v>
      </c>
      <c r="W154">
        <v>7</v>
      </c>
      <c r="X154" s="8">
        <v>43</v>
      </c>
    </row>
    <row r="155" spans="1:24" x14ac:dyDescent="0.3">
      <c r="A155">
        <v>2</v>
      </c>
      <c r="B155">
        <v>5</v>
      </c>
      <c r="C155" s="8">
        <v>82</v>
      </c>
      <c r="D155" s="8"/>
      <c r="N155" t="s">
        <v>28</v>
      </c>
      <c r="O155">
        <v>9</v>
      </c>
      <c r="P155" s="8">
        <v>63</v>
      </c>
      <c r="V155">
        <v>0.2</v>
      </c>
      <c r="W155">
        <v>9</v>
      </c>
      <c r="X155" s="8">
        <v>63</v>
      </c>
    </row>
    <row r="156" spans="1:24" x14ac:dyDescent="0.3">
      <c r="A156">
        <v>2</v>
      </c>
      <c r="B156">
        <v>9</v>
      </c>
      <c r="C156" s="8">
        <v>178</v>
      </c>
      <c r="D156" s="8"/>
      <c r="N156" t="s">
        <v>28</v>
      </c>
      <c r="O156">
        <v>5</v>
      </c>
      <c r="P156" s="8">
        <v>82</v>
      </c>
      <c r="V156">
        <v>0.2</v>
      </c>
      <c r="W156">
        <v>5</v>
      </c>
      <c r="X156" s="8">
        <v>82</v>
      </c>
    </row>
    <row r="157" spans="1:24" x14ac:dyDescent="0.3">
      <c r="A157">
        <v>1</v>
      </c>
      <c r="B157">
        <v>7</v>
      </c>
      <c r="C157" s="8">
        <v>116</v>
      </c>
      <c r="D157" s="8"/>
      <c r="N157" t="s">
        <v>28</v>
      </c>
      <c r="O157">
        <v>9</v>
      </c>
      <c r="P157" s="8">
        <v>178</v>
      </c>
      <c r="V157">
        <v>0.2</v>
      </c>
      <c r="W157">
        <v>9</v>
      </c>
      <c r="X157" s="8">
        <v>178</v>
      </c>
    </row>
    <row r="158" spans="1:24" x14ac:dyDescent="0.3">
      <c r="A158">
        <v>1</v>
      </c>
      <c r="B158">
        <v>3</v>
      </c>
      <c r="C158" s="8">
        <v>92</v>
      </c>
      <c r="D158" s="8"/>
      <c r="N158" t="s">
        <v>28</v>
      </c>
      <c r="O158">
        <v>7</v>
      </c>
      <c r="P158" s="8">
        <v>116</v>
      </c>
      <c r="V158">
        <v>0.2</v>
      </c>
      <c r="W158">
        <v>7</v>
      </c>
      <c r="X158" s="8">
        <v>116</v>
      </c>
    </row>
    <row r="159" spans="1:24" x14ac:dyDescent="0.3">
      <c r="A159">
        <v>1</v>
      </c>
      <c r="B159">
        <v>1</v>
      </c>
      <c r="C159" s="8">
        <v>50</v>
      </c>
      <c r="D159" s="8"/>
      <c r="N159" t="s">
        <v>28</v>
      </c>
      <c r="O159">
        <v>3</v>
      </c>
      <c r="P159" s="8">
        <v>92</v>
      </c>
      <c r="V159">
        <v>0.16</v>
      </c>
      <c r="W159">
        <v>3</v>
      </c>
      <c r="X159" s="8">
        <v>92</v>
      </c>
    </row>
    <row r="160" spans="1:24" x14ac:dyDescent="0.3">
      <c r="A160">
        <v>1</v>
      </c>
      <c r="B160">
        <v>0</v>
      </c>
      <c r="C160" s="8">
        <v>39</v>
      </c>
      <c r="D160" s="8"/>
      <c r="N160" t="s">
        <v>28</v>
      </c>
      <c r="O160">
        <v>1</v>
      </c>
      <c r="P160" s="8">
        <v>50</v>
      </c>
      <c r="V160">
        <v>0.18</v>
      </c>
      <c r="W160">
        <v>1</v>
      </c>
      <c r="X160" s="8">
        <v>50</v>
      </c>
    </row>
    <row r="161" spans="1:24" x14ac:dyDescent="0.3">
      <c r="A161">
        <v>2</v>
      </c>
      <c r="B161">
        <v>2</v>
      </c>
      <c r="C161" s="8">
        <v>34</v>
      </c>
      <c r="D161" s="8"/>
      <c r="N161" t="s">
        <v>28</v>
      </c>
      <c r="O161">
        <v>0</v>
      </c>
      <c r="P161" s="8">
        <v>39</v>
      </c>
      <c r="V161">
        <v>0.18</v>
      </c>
      <c r="W161">
        <v>0</v>
      </c>
      <c r="X161" s="8">
        <v>39</v>
      </c>
    </row>
    <row r="162" spans="1:24" x14ac:dyDescent="0.3">
      <c r="A162">
        <v>2</v>
      </c>
      <c r="B162">
        <v>1</v>
      </c>
      <c r="C162" s="8">
        <v>14</v>
      </c>
      <c r="D162" s="8"/>
      <c r="N162" t="s">
        <v>28</v>
      </c>
      <c r="O162">
        <v>2</v>
      </c>
      <c r="P162" s="8">
        <v>34</v>
      </c>
      <c r="V162">
        <v>0.18</v>
      </c>
      <c r="W162">
        <v>2</v>
      </c>
      <c r="X162" s="8">
        <v>34</v>
      </c>
    </row>
    <row r="163" spans="1:24" x14ac:dyDescent="0.3">
      <c r="A163">
        <v>2</v>
      </c>
      <c r="B163">
        <v>1</v>
      </c>
      <c r="C163" s="8">
        <v>24</v>
      </c>
      <c r="D163" s="8"/>
      <c r="N163" t="s">
        <v>28</v>
      </c>
      <c r="O163">
        <v>1</v>
      </c>
      <c r="P163" s="8">
        <v>14</v>
      </c>
      <c r="V163">
        <v>0.18</v>
      </c>
      <c r="W163">
        <v>1</v>
      </c>
      <c r="X163" s="8">
        <v>14</v>
      </c>
    </row>
    <row r="164" spans="1:24" x14ac:dyDescent="0.3">
      <c r="A164">
        <v>2</v>
      </c>
      <c r="B164">
        <v>1</v>
      </c>
      <c r="C164" s="8">
        <v>15</v>
      </c>
      <c r="D164" s="8"/>
      <c r="N164" t="s">
        <v>19</v>
      </c>
      <c r="O164">
        <v>1</v>
      </c>
      <c r="P164" s="8">
        <v>24</v>
      </c>
      <c r="V164">
        <v>0.18</v>
      </c>
      <c r="W164">
        <v>1</v>
      </c>
      <c r="X164" s="8">
        <v>24</v>
      </c>
    </row>
    <row r="165" spans="1:24" x14ac:dyDescent="0.3">
      <c r="A165">
        <v>2</v>
      </c>
      <c r="B165">
        <v>3</v>
      </c>
      <c r="C165" s="8">
        <v>13</v>
      </c>
      <c r="D165" s="8"/>
      <c r="N165" t="s">
        <v>19</v>
      </c>
      <c r="O165">
        <v>1</v>
      </c>
      <c r="P165" s="8">
        <v>15</v>
      </c>
      <c r="V165">
        <v>0.18</v>
      </c>
      <c r="W165">
        <v>1</v>
      </c>
      <c r="X165" s="8">
        <v>15</v>
      </c>
    </row>
    <row r="166" spans="1:24" x14ac:dyDescent="0.3">
      <c r="A166">
        <v>3</v>
      </c>
      <c r="B166">
        <v>0</v>
      </c>
      <c r="C166" s="8">
        <v>7</v>
      </c>
      <c r="D166" s="8"/>
      <c r="N166" t="s">
        <v>19</v>
      </c>
      <c r="O166">
        <v>3</v>
      </c>
      <c r="P166" s="8">
        <v>13</v>
      </c>
      <c r="V166">
        <v>0.18</v>
      </c>
      <c r="W166">
        <v>3</v>
      </c>
      <c r="X166" s="8">
        <v>13</v>
      </c>
    </row>
    <row r="167" spans="1:24" x14ac:dyDescent="0.3">
      <c r="A167">
        <v>3</v>
      </c>
      <c r="B167">
        <v>0</v>
      </c>
      <c r="C167" s="8">
        <v>1</v>
      </c>
      <c r="D167" s="8"/>
      <c r="N167" t="s">
        <v>19</v>
      </c>
      <c r="O167">
        <v>0</v>
      </c>
      <c r="P167" s="8">
        <v>7</v>
      </c>
      <c r="V167">
        <v>0.18</v>
      </c>
      <c r="W167">
        <v>0</v>
      </c>
      <c r="X167" s="8">
        <v>7</v>
      </c>
    </row>
    <row r="168" spans="1:24" x14ac:dyDescent="0.3">
      <c r="A168">
        <v>2</v>
      </c>
      <c r="B168">
        <v>0</v>
      </c>
      <c r="C168" s="8">
        <v>5</v>
      </c>
      <c r="D168" s="8"/>
      <c r="N168" t="s">
        <v>19</v>
      </c>
      <c r="O168">
        <v>0</v>
      </c>
      <c r="P168" s="8">
        <v>1</v>
      </c>
      <c r="V168">
        <v>0.18</v>
      </c>
      <c r="W168">
        <v>0</v>
      </c>
      <c r="X168" s="8">
        <v>1</v>
      </c>
    </row>
    <row r="169" spans="1:24" x14ac:dyDescent="0.3">
      <c r="A169">
        <v>2</v>
      </c>
      <c r="B169">
        <v>0</v>
      </c>
      <c r="C169" s="8">
        <v>2</v>
      </c>
      <c r="D169" s="8"/>
      <c r="N169" t="s">
        <v>19</v>
      </c>
      <c r="O169">
        <v>0</v>
      </c>
      <c r="P169" s="8">
        <v>5</v>
      </c>
      <c r="V169">
        <v>0.16</v>
      </c>
      <c r="W169">
        <v>0</v>
      </c>
      <c r="X169" s="8">
        <v>5</v>
      </c>
    </row>
    <row r="170" spans="1:24" x14ac:dyDescent="0.3">
      <c r="A170">
        <v>2</v>
      </c>
      <c r="B170">
        <v>1</v>
      </c>
      <c r="C170" s="8">
        <v>8</v>
      </c>
      <c r="D170" s="8"/>
      <c r="N170" t="s">
        <v>19</v>
      </c>
      <c r="O170">
        <v>0</v>
      </c>
      <c r="P170" s="8">
        <v>2</v>
      </c>
      <c r="V170">
        <v>0.16</v>
      </c>
      <c r="W170">
        <v>0</v>
      </c>
      <c r="X170" s="8">
        <v>2</v>
      </c>
    </row>
    <row r="171" spans="1:24" x14ac:dyDescent="0.3">
      <c r="A171">
        <v>3</v>
      </c>
      <c r="B171">
        <v>0</v>
      </c>
      <c r="C171" s="8">
        <v>15</v>
      </c>
      <c r="D171" s="8"/>
      <c r="N171" t="s">
        <v>19</v>
      </c>
      <c r="O171">
        <v>1</v>
      </c>
      <c r="P171" s="8">
        <v>8</v>
      </c>
      <c r="V171">
        <v>0.16</v>
      </c>
      <c r="W171">
        <v>1</v>
      </c>
      <c r="X171" s="8">
        <v>8</v>
      </c>
    </row>
    <row r="172" spans="1:24" x14ac:dyDescent="0.3">
      <c r="A172">
        <v>3</v>
      </c>
      <c r="B172">
        <v>0</v>
      </c>
      <c r="C172" s="8">
        <v>20</v>
      </c>
      <c r="D172" s="8"/>
      <c r="N172" t="s">
        <v>19</v>
      </c>
      <c r="O172">
        <v>0</v>
      </c>
      <c r="P172" s="8">
        <v>15</v>
      </c>
      <c r="V172">
        <v>0.16</v>
      </c>
      <c r="W172">
        <v>0</v>
      </c>
      <c r="X172" s="8">
        <v>15</v>
      </c>
    </row>
    <row r="173" spans="1:24" x14ac:dyDescent="0.3">
      <c r="A173">
        <v>2</v>
      </c>
      <c r="B173">
        <v>5</v>
      </c>
      <c r="C173" s="8">
        <v>56</v>
      </c>
      <c r="D173" s="8"/>
      <c r="N173" t="s">
        <v>19</v>
      </c>
      <c r="O173">
        <v>0</v>
      </c>
      <c r="P173" s="8">
        <v>20</v>
      </c>
      <c r="V173">
        <v>0.16</v>
      </c>
      <c r="W173">
        <v>0</v>
      </c>
      <c r="X173" s="8">
        <v>20</v>
      </c>
    </row>
    <row r="174" spans="1:24" x14ac:dyDescent="0.3">
      <c r="A174">
        <v>2</v>
      </c>
      <c r="B174">
        <v>2</v>
      </c>
      <c r="C174" s="8">
        <v>60</v>
      </c>
      <c r="D174" s="8"/>
      <c r="N174" t="s">
        <v>19</v>
      </c>
      <c r="O174">
        <v>5</v>
      </c>
      <c r="P174" s="8">
        <v>56</v>
      </c>
      <c r="V174">
        <v>0.18</v>
      </c>
      <c r="W174">
        <v>5</v>
      </c>
      <c r="X174" s="8">
        <v>56</v>
      </c>
    </row>
    <row r="175" spans="1:24" x14ac:dyDescent="0.3">
      <c r="A175">
        <v>2</v>
      </c>
      <c r="B175">
        <v>8</v>
      </c>
      <c r="C175" s="8">
        <v>90</v>
      </c>
      <c r="D175" s="8"/>
      <c r="N175" t="s">
        <v>19</v>
      </c>
      <c r="O175">
        <v>2</v>
      </c>
      <c r="P175" s="8">
        <v>60</v>
      </c>
      <c r="V175">
        <v>0.2</v>
      </c>
      <c r="W175">
        <v>2</v>
      </c>
      <c r="X175" s="8">
        <v>60</v>
      </c>
    </row>
    <row r="176" spans="1:24" x14ac:dyDescent="0.3">
      <c r="A176">
        <v>1</v>
      </c>
      <c r="B176">
        <v>7</v>
      </c>
      <c r="C176" s="8">
        <v>95</v>
      </c>
      <c r="D176" s="8"/>
      <c r="N176" t="s">
        <v>19</v>
      </c>
      <c r="O176">
        <v>8</v>
      </c>
      <c r="P176" s="8">
        <v>90</v>
      </c>
      <c r="V176">
        <v>0.2</v>
      </c>
      <c r="W176">
        <v>8</v>
      </c>
      <c r="X176" s="8">
        <v>90</v>
      </c>
    </row>
    <row r="177" spans="1:24" x14ac:dyDescent="0.3">
      <c r="A177">
        <v>1</v>
      </c>
      <c r="B177">
        <v>12</v>
      </c>
      <c r="C177" s="8">
        <v>83</v>
      </c>
      <c r="D177" s="8"/>
      <c r="N177" t="s">
        <v>19</v>
      </c>
      <c r="O177">
        <v>7</v>
      </c>
      <c r="P177" s="8">
        <v>95</v>
      </c>
      <c r="V177">
        <v>0.2</v>
      </c>
      <c r="W177">
        <v>7</v>
      </c>
      <c r="X177" s="8">
        <v>95</v>
      </c>
    </row>
    <row r="178" spans="1:24" x14ac:dyDescent="0.3">
      <c r="A178">
        <v>1</v>
      </c>
      <c r="B178">
        <v>5</v>
      </c>
      <c r="C178" s="8">
        <v>69</v>
      </c>
      <c r="D178" s="8"/>
      <c r="N178" t="s">
        <v>19</v>
      </c>
      <c r="O178">
        <v>12</v>
      </c>
      <c r="P178" s="8">
        <v>83</v>
      </c>
      <c r="V178">
        <v>0.2</v>
      </c>
      <c r="W178">
        <v>12</v>
      </c>
      <c r="X178" s="8">
        <v>83</v>
      </c>
    </row>
    <row r="179" spans="1:24" x14ac:dyDescent="0.3">
      <c r="A179">
        <v>1</v>
      </c>
      <c r="B179">
        <v>8</v>
      </c>
      <c r="C179" s="8">
        <v>68</v>
      </c>
      <c r="D179" s="8"/>
      <c r="N179" t="s">
        <v>19</v>
      </c>
      <c r="O179">
        <v>5</v>
      </c>
      <c r="P179" s="8">
        <v>69</v>
      </c>
      <c r="V179">
        <v>0.2</v>
      </c>
      <c r="W179">
        <v>5</v>
      </c>
      <c r="X179" s="8">
        <v>69</v>
      </c>
    </row>
    <row r="180" spans="1:24" x14ac:dyDescent="0.3">
      <c r="A180">
        <v>1</v>
      </c>
      <c r="B180">
        <v>5</v>
      </c>
      <c r="C180" s="8">
        <v>64</v>
      </c>
      <c r="D180" s="8"/>
      <c r="N180" t="s">
        <v>19</v>
      </c>
      <c r="O180">
        <v>8</v>
      </c>
      <c r="P180" s="8">
        <v>68</v>
      </c>
      <c r="V180">
        <v>0.18</v>
      </c>
      <c r="W180">
        <v>8</v>
      </c>
      <c r="X180" s="8">
        <v>68</v>
      </c>
    </row>
    <row r="181" spans="1:24" x14ac:dyDescent="0.3">
      <c r="A181">
        <v>1</v>
      </c>
      <c r="B181">
        <v>3</v>
      </c>
      <c r="C181" s="8">
        <v>52</v>
      </c>
      <c r="D181" s="8"/>
      <c r="N181" t="s">
        <v>19</v>
      </c>
      <c r="O181">
        <v>5</v>
      </c>
      <c r="P181" s="8">
        <v>64</v>
      </c>
      <c r="V181">
        <v>0.16</v>
      </c>
      <c r="W181">
        <v>5</v>
      </c>
      <c r="X181" s="8">
        <v>64</v>
      </c>
    </row>
    <row r="182" spans="1:24" x14ac:dyDescent="0.3">
      <c r="A182">
        <v>1</v>
      </c>
      <c r="B182">
        <v>4</v>
      </c>
      <c r="C182" s="8">
        <v>26</v>
      </c>
      <c r="D182" s="8"/>
      <c r="N182" t="s">
        <v>19</v>
      </c>
      <c r="O182">
        <v>3</v>
      </c>
      <c r="P182" s="8">
        <v>52</v>
      </c>
      <c r="V182">
        <v>0.14000000000000001</v>
      </c>
      <c r="W182">
        <v>3</v>
      </c>
      <c r="X182" s="8">
        <v>52</v>
      </c>
    </row>
    <row r="183" spans="1:24" x14ac:dyDescent="0.3">
      <c r="A183">
        <v>1</v>
      </c>
      <c r="B183">
        <v>0</v>
      </c>
      <c r="C183" s="8">
        <v>28</v>
      </c>
      <c r="D183" s="8"/>
      <c r="N183" t="s">
        <v>19</v>
      </c>
      <c r="O183">
        <v>4</v>
      </c>
      <c r="P183" s="8">
        <v>26</v>
      </c>
      <c r="V183">
        <v>0.14000000000000001</v>
      </c>
      <c r="W183">
        <v>4</v>
      </c>
      <c r="X183" s="8">
        <v>26</v>
      </c>
    </row>
    <row r="184" spans="1:24" x14ac:dyDescent="0.3">
      <c r="A184">
        <v>1</v>
      </c>
      <c r="B184">
        <v>2</v>
      </c>
      <c r="C184" s="8">
        <v>35</v>
      </c>
      <c r="D184" s="8"/>
      <c r="N184" t="s">
        <v>19</v>
      </c>
      <c r="O184">
        <v>0</v>
      </c>
      <c r="P184" s="8">
        <v>28</v>
      </c>
      <c r="V184">
        <v>0.12</v>
      </c>
      <c r="W184">
        <v>0</v>
      </c>
      <c r="X184" s="8">
        <v>28</v>
      </c>
    </row>
    <row r="185" spans="1:24" x14ac:dyDescent="0.3">
      <c r="A185">
        <v>1</v>
      </c>
      <c r="B185">
        <v>1</v>
      </c>
      <c r="C185" s="8">
        <v>33</v>
      </c>
      <c r="D185" s="8"/>
      <c r="N185" t="s">
        <v>19</v>
      </c>
      <c r="O185">
        <v>2</v>
      </c>
      <c r="P185" s="8">
        <v>35</v>
      </c>
      <c r="V185">
        <v>0.12</v>
      </c>
      <c r="W185">
        <v>2</v>
      </c>
      <c r="X185" s="8">
        <v>35</v>
      </c>
    </row>
    <row r="186" spans="1:24" x14ac:dyDescent="0.3">
      <c r="A186">
        <v>1</v>
      </c>
      <c r="B186">
        <v>0</v>
      </c>
      <c r="C186" s="8">
        <v>22</v>
      </c>
      <c r="D186" s="8"/>
      <c r="N186" t="s">
        <v>19</v>
      </c>
      <c r="O186">
        <v>1</v>
      </c>
      <c r="P186" s="8">
        <v>33</v>
      </c>
      <c r="V186">
        <v>0.12</v>
      </c>
      <c r="W186">
        <v>1</v>
      </c>
      <c r="X186" s="8">
        <v>33</v>
      </c>
    </row>
    <row r="187" spans="1:24" x14ac:dyDescent="0.3">
      <c r="A187">
        <v>1</v>
      </c>
      <c r="B187">
        <v>1</v>
      </c>
      <c r="C187" s="8">
        <v>24</v>
      </c>
      <c r="D187" s="8"/>
      <c r="N187" t="s">
        <v>19</v>
      </c>
      <c r="O187">
        <v>0</v>
      </c>
      <c r="P187" s="8">
        <v>22</v>
      </c>
      <c r="V187">
        <v>0.1</v>
      </c>
      <c r="W187">
        <v>0</v>
      </c>
      <c r="X187" s="8">
        <v>22</v>
      </c>
    </row>
    <row r="188" spans="1:24" x14ac:dyDescent="0.3">
      <c r="A188">
        <v>1</v>
      </c>
      <c r="B188">
        <v>0</v>
      </c>
      <c r="C188" s="8">
        <v>12</v>
      </c>
      <c r="D188" s="8"/>
      <c r="N188" t="s">
        <v>23</v>
      </c>
      <c r="O188">
        <v>1</v>
      </c>
      <c r="P188" s="8">
        <v>24</v>
      </c>
      <c r="V188">
        <v>0.1</v>
      </c>
      <c r="W188">
        <v>1</v>
      </c>
      <c r="X188" s="8">
        <v>24</v>
      </c>
    </row>
    <row r="189" spans="1:24" x14ac:dyDescent="0.3">
      <c r="A189">
        <v>1</v>
      </c>
      <c r="B189">
        <v>0</v>
      </c>
      <c r="C189" s="8">
        <v>11</v>
      </c>
      <c r="D189" s="8"/>
      <c r="N189" t="s">
        <v>23</v>
      </c>
      <c r="O189">
        <v>0</v>
      </c>
      <c r="P189" s="8">
        <v>12</v>
      </c>
      <c r="V189">
        <v>0.1</v>
      </c>
      <c r="W189">
        <v>0</v>
      </c>
      <c r="X189" s="8">
        <v>12</v>
      </c>
    </row>
    <row r="190" spans="1:24" x14ac:dyDescent="0.3">
      <c r="A190">
        <v>1</v>
      </c>
      <c r="B190">
        <v>0</v>
      </c>
      <c r="C190" s="8">
        <v>4</v>
      </c>
      <c r="D190" s="8"/>
      <c r="N190" t="s">
        <v>23</v>
      </c>
      <c r="O190">
        <v>0</v>
      </c>
      <c r="P190" s="8">
        <v>11</v>
      </c>
      <c r="V190">
        <v>0.1</v>
      </c>
      <c r="W190">
        <v>0</v>
      </c>
      <c r="X190" s="8">
        <v>11</v>
      </c>
    </row>
    <row r="191" spans="1:24" x14ac:dyDescent="0.3">
      <c r="A191">
        <v>1</v>
      </c>
      <c r="B191">
        <v>0</v>
      </c>
      <c r="C191" s="8">
        <v>1</v>
      </c>
      <c r="D191" s="8"/>
      <c r="N191" t="s">
        <v>23</v>
      </c>
      <c r="O191">
        <v>0</v>
      </c>
      <c r="P191" s="8">
        <v>4</v>
      </c>
      <c r="V191">
        <v>0.1</v>
      </c>
      <c r="W191">
        <v>0</v>
      </c>
      <c r="X191" s="8">
        <v>4</v>
      </c>
    </row>
    <row r="192" spans="1:24" x14ac:dyDescent="0.3">
      <c r="A192">
        <v>1</v>
      </c>
      <c r="B192">
        <v>0</v>
      </c>
      <c r="C192" s="8">
        <v>1</v>
      </c>
      <c r="D192" s="8"/>
      <c r="N192" t="s">
        <v>23</v>
      </c>
      <c r="O192">
        <v>0</v>
      </c>
      <c r="P192" s="8">
        <v>1</v>
      </c>
      <c r="V192">
        <v>0.08</v>
      </c>
      <c r="W192">
        <v>0</v>
      </c>
      <c r="X192" s="8">
        <v>1</v>
      </c>
    </row>
    <row r="193" spans="1:24" x14ac:dyDescent="0.3">
      <c r="A193">
        <v>1</v>
      </c>
      <c r="B193">
        <v>0</v>
      </c>
      <c r="C193" s="8">
        <v>1</v>
      </c>
      <c r="D193" s="8"/>
      <c r="N193" t="s">
        <v>23</v>
      </c>
      <c r="O193">
        <v>0</v>
      </c>
      <c r="P193" s="8">
        <v>1</v>
      </c>
      <c r="V193">
        <v>0.08</v>
      </c>
      <c r="W193">
        <v>0</v>
      </c>
      <c r="X193" s="8">
        <v>1</v>
      </c>
    </row>
    <row r="194" spans="1:24" x14ac:dyDescent="0.3">
      <c r="A194">
        <v>1</v>
      </c>
      <c r="B194">
        <v>1</v>
      </c>
      <c r="C194" s="8">
        <v>5</v>
      </c>
      <c r="D194" s="8"/>
      <c r="N194" t="s">
        <v>23</v>
      </c>
      <c r="O194">
        <v>0</v>
      </c>
      <c r="P194" s="8">
        <v>1</v>
      </c>
      <c r="V194">
        <v>0.1</v>
      </c>
      <c r="W194">
        <v>0</v>
      </c>
      <c r="X194" s="8">
        <v>1</v>
      </c>
    </row>
    <row r="195" spans="1:24" x14ac:dyDescent="0.3">
      <c r="A195">
        <v>1</v>
      </c>
      <c r="B195">
        <v>0</v>
      </c>
      <c r="C195" s="8">
        <v>10</v>
      </c>
      <c r="D195" s="8"/>
      <c r="N195" t="s">
        <v>23</v>
      </c>
      <c r="O195">
        <v>1</v>
      </c>
      <c r="P195" s="8">
        <v>5</v>
      </c>
      <c r="V195">
        <v>0.08</v>
      </c>
      <c r="W195">
        <v>1</v>
      </c>
      <c r="X195" s="8">
        <v>5</v>
      </c>
    </row>
    <row r="196" spans="1:24" x14ac:dyDescent="0.3">
      <c r="A196">
        <v>1</v>
      </c>
      <c r="B196">
        <v>0</v>
      </c>
      <c r="C196" s="8">
        <v>19</v>
      </c>
      <c r="D196" s="8"/>
      <c r="N196" t="s">
        <v>23</v>
      </c>
      <c r="O196">
        <v>0</v>
      </c>
      <c r="P196" s="8">
        <v>10</v>
      </c>
      <c r="V196">
        <v>0.1</v>
      </c>
      <c r="W196">
        <v>0</v>
      </c>
      <c r="X196" s="8">
        <v>10</v>
      </c>
    </row>
    <row r="197" spans="1:24" x14ac:dyDescent="0.3">
      <c r="A197">
        <v>1</v>
      </c>
      <c r="B197">
        <v>0</v>
      </c>
      <c r="C197" s="8">
        <v>49</v>
      </c>
      <c r="D197" s="8"/>
      <c r="N197" t="s">
        <v>23</v>
      </c>
      <c r="O197">
        <v>0</v>
      </c>
      <c r="P197" s="8">
        <v>19</v>
      </c>
      <c r="V197">
        <v>0.12</v>
      </c>
      <c r="W197">
        <v>0</v>
      </c>
      <c r="X197" s="8">
        <v>19</v>
      </c>
    </row>
    <row r="198" spans="1:24" x14ac:dyDescent="0.3">
      <c r="A198">
        <v>1</v>
      </c>
      <c r="B198">
        <v>2</v>
      </c>
      <c r="C198" s="8">
        <v>47</v>
      </c>
      <c r="D198" s="8"/>
      <c r="N198" t="s">
        <v>23</v>
      </c>
      <c r="O198">
        <v>0</v>
      </c>
      <c r="P198" s="8">
        <v>49</v>
      </c>
      <c r="V198">
        <v>0.14000000000000001</v>
      </c>
      <c r="W198">
        <v>0</v>
      </c>
      <c r="X198" s="8">
        <v>49</v>
      </c>
    </row>
    <row r="199" spans="1:24" x14ac:dyDescent="0.3">
      <c r="A199">
        <v>1</v>
      </c>
      <c r="B199">
        <v>4</v>
      </c>
      <c r="C199" s="8">
        <v>79</v>
      </c>
      <c r="D199" s="8"/>
      <c r="N199" t="s">
        <v>23</v>
      </c>
      <c r="O199">
        <v>2</v>
      </c>
      <c r="P199" s="8">
        <v>47</v>
      </c>
      <c r="V199">
        <v>0.16</v>
      </c>
      <c r="W199">
        <v>2</v>
      </c>
      <c r="X199" s="8">
        <v>47</v>
      </c>
    </row>
    <row r="200" spans="1:24" x14ac:dyDescent="0.3">
      <c r="A200">
        <v>1</v>
      </c>
      <c r="B200">
        <v>6</v>
      </c>
      <c r="C200" s="8">
        <v>69</v>
      </c>
      <c r="D200" s="8"/>
      <c r="N200" t="s">
        <v>23</v>
      </c>
      <c r="O200">
        <v>4</v>
      </c>
      <c r="P200" s="8">
        <v>79</v>
      </c>
      <c r="V200">
        <v>0.18</v>
      </c>
      <c r="W200">
        <v>4</v>
      </c>
      <c r="X200" s="8">
        <v>79</v>
      </c>
    </row>
    <row r="201" spans="1:24" x14ac:dyDescent="0.3">
      <c r="A201">
        <v>1</v>
      </c>
      <c r="B201">
        <v>8</v>
      </c>
      <c r="C201" s="8">
        <v>64</v>
      </c>
      <c r="D201" s="8"/>
      <c r="N201" t="s">
        <v>23</v>
      </c>
      <c r="O201">
        <v>6</v>
      </c>
      <c r="P201" s="8">
        <v>69</v>
      </c>
      <c r="V201">
        <v>0.2</v>
      </c>
      <c r="W201">
        <v>6</v>
      </c>
      <c r="X201" s="8">
        <v>69</v>
      </c>
    </row>
    <row r="202" spans="1:24" x14ac:dyDescent="0.3">
      <c r="A202">
        <v>1</v>
      </c>
      <c r="B202">
        <v>5</v>
      </c>
      <c r="C202" s="8">
        <v>77</v>
      </c>
      <c r="D202" s="8"/>
      <c r="N202" t="s">
        <v>23</v>
      </c>
      <c r="O202">
        <v>8</v>
      </c>
      <c r="P202" s="8">
        <v>64</v>
      </c>
      <c r="V202">
        <v>0.22</v>
      </c>
      <c r="W202">
        <v>8</v>
      </c>
      <c r="X202" s="8">
        <v>64</v>
      </c>
    </row>
    <row r="203" spans="1:24" x14ac:dyDescent="0.3">
      <c r="A203">
        <v>1</v>
      </c>
      <c r="B203">
        <v>13</v>
      </c>
      <c r="C203" s="8">
        <v>79</v>
      </c>
      <c r="D203" s="8"/>
      <c r="N203" t="s">
        <v>23</v>
      </c>
      <c r="O203">
        <v>5</v>
      </c>
      <c r="P203" s="8">
        <v>77</v>
      </c>
      <c r="V203">
        <v>0.22</v>
      </c>
      <c r="W203">
        <v>5</v>
      </c>
      <c r="X203" s="8">
        <v>77</v>
      </c>
    </row>
    <row r="204" spans="1:24" x14ac:dyDescent="0.3">
      <c r="A204">
        <v>1</v>
      </c>
      <c r="B204">
        <v>3</v>
      </c>
      <c r="C204" s="8">
        <v>59</v>
      </c>
      <c r="D204" s="8"/>
      <c r="N204" t="s">
        <v>23</v>
      </c>
      <c r="O204">
        <v>13</v>
      </c>
      <c r="P204" s="8">
        <v>79</v>
      </c>
      <c r="V204">
        <v>0.2</v>
      </c>
      <c r="W204">
        <v>13</v>
      </c>
      <c r="X204" s="8">
        <v>79</v>
      </c>
    </row>
    <row r="205" spans="1:24" x14ac:dyDescent="0.3">
      <c r="A205">
        <v>1</v>
      </c>
      <c r="B205">
        <v>4</v>
      </c>
      <c r="C205" s="8">
        <v>44</v>
      </c>
      <c r="D205" s="8"/>
      <c r="N205" t="s">
        <v>23</v>
      </c>
      <c r="O205">
        <v>3</v>
      </c>
      <c r="P205" s="8">
        <v>59</v>
      </c>
      <c r="V205">
        <v>0.18</v>
      </c>
      <c r="W205">
        <v>3</v>
      </c>
      <c r="X205" s="8">
        <v>59</v>
      </c>
    </row>
    <row r="206" spans="1:24" x14ac:dyDescent="0.3">
      <c r="A206">
        <v>1</v>
      </c>
      <c r="B206">
        <v>1</v>
      </c>
      <c r="C206" s="8">
        <v>40</v>
      </c>
      <c r="D206" s="8"/>
      <c r="N206" t="s">
        <v>23</v>
      </c>
      <c r="O206">
        <v>4</v>
      </c>
      <c r="P206" s="8">
        <v>44</v>
      </c>
      <c r="V206">
        <v>0.16</v>
      </c>
      <c r="W206">
        <v>4</v>
      </c>
      <c r="X206" s="8">
        <v>44</v>
      </c>
    </row>
    <row r="207" spans="1:24" x14ac:dyDescent="0.3">
      <c r="A207">
        <v>1</v>
      </c>
      <c r="B207">
        <v>0</v>
      </c>
      <c r="C207" s="8">
        <v>38</v>
      </c>
      <c r="D207" s="8"/>
      <c r="N207" t="s">
        <v>23</v>
      </c>
      <c r="O207">
        <v>1</v>
      </c>
      <c r="P207" s="8">
        <v>40</v>
      </c>
      <c r="V207">
        <v>0.16</v>
      </c>
      <c r="W207">
        <v>1</v>
      </c>
      <c r="X207" s="8">
        <v>40</v>
      </c>
    </row>
    <row r="208" spans="1:24" x14ac:dyDescent="0.3">
      <c r="A208">
        <v>1</v>
      </c>
      <c r="B208">
        <v>1</v>
      </c>
      <c r="C208" s="8">
        <v>19</v>
      </c>
      <c r="D208" s="8"/>
      <c r="N208" t="s">
        <v>23</v>
      </c>
      <c r="O208">
        <v>0</v>
      </c>
      <c r="P208" s="8">
        <v>38</v>
      </c>
      <c r="V208">
        <v>0.14000000000000001</v>
      </c>
      <c r="W208">
        <v>0</v>
      </c>
      <c r="X208" s="8">
        <v>38</v>
      </c>
    </row>
    <row r="209" spans="1:24" x14ac:dyDescent="0.3">
      <c r="A209">
        <v>1</v>
      </c>
      <c r="B209">
        <v>5</v>
      </c>
      <c r="C209" s="8">
        <v>10</v>
      </c>
      <c r="D209" s="8"/>
      <c r="N209" t="s">
        <v>23</v>
      </c>
      <c r="O209">
        <v>1</v>
      </c>
      <c r="P209" s="8">
        <v>19</v>
      </c>
      <c r="V209">
        <v>0.14000000000000001</v>
      </c>
      <c r="W209">
        <v>1</v>
      </c>
      <c r="X209" s="8">
        <v>19</v>
      </c>
    </row>
    <row r="210" spans="1:24" x14ac:dyDescent="0.3">
      <c r="A210">
        <v>1</v>
      </c>
      <c r="B210">
        <v>0</v>
      </c>
      <c r="C210" s="8">
        <v>6</v>
      </c>
      <c r="D210" s="8"/>
      <c r="N210" t="s">
        <v>23</v>
      </c>
      <c r="O210">
        <v>5</v>
      </c>
      <c r="P210" s="8">
        <v>10</v>
      </c>
      <c r="V210">
        <v>0.14000000000000001</v>
      </c>
      <c r="W210">
        <v>5</v>
      </c>
      <c r="X210" s="8">
        <v>10</v>
      </c>
    </row>
    <row r="211" spans="1:24" x14ac:dyDescent="0.3">
      <c r="A211">
        <v>1</v>
      </c>
      <c r="B211">
        <v>2</v>
      </c>
      <c r="C211" s="8">
        <v>3</v>
      </c>
      <c r="D211" s="8"/>
      <c r="N211" t="s">
        <v>24</v>
      </c>
      <c r="O211">
        <v>0</v>
      </c>
      <c r="P211" s="8">
        <v>6</v>
      </c>
      <c r="V211">
        <v>0.12</v>
      </c>
      <c r="W211">
        <v>0</v>
      </c>
      <c r="X211" s="8">
        <v>6</v>
      </c>
    </row>
    <row r="212" spans="1:24" x14ac:dyDescent="0.3">
      <c r="A212">
        <v>1</v>
      </c>
      <c r="B212">
        <v>1</v>
      </c>
      <c r="C212" s="8">
        <v>0</v>
      </c>
      <c r="D212" s="8"/>
      <c r="N212" t="s">
        <v>24</v>
      </c>
      <c r="O212">
        <v>2</v>
      </c>
      <c r="P212" s="8">
        <v>3</v>
      </c>
      <c r="V212">
        <v>0.12</v>
      </c>
      <c r="W212">
        <v>2</v>
      </c>
      <c r="X212" s="8">
        <v>3</v>
      </c>
    </row>
    <row r="213" spans="1:24" x14ac:dyDescent="0.3">
      <c r="A213">
        <v>1</v>
      </c>
      <c r="B213">
        <v>0</v>
      </c>
      <c r="C213" s="8">
        <v>3</v>
      </c>
      <c r="D213" s="8"/>
      <c r="N213" t="s">
        <v>24</v>
      </c>
      <c r="O213">
        <v>1</v>
      </c>
      <c r="P213" s="8">
        <v>0</v>
      </c>
      <c r="V213">
        <v>0.12</v>
      </c>
      <c r="W213">
        <v>1</v>
      </c>
      <c r="X213" s="8">
        <v>0</v>
      </c>
    </row>
    <row r="214" spans="1:24" x14ac:dyDescent="0.3">
      <c r="A214">
        <v>1</v>
      </c>
      <c r="B214">
        <v>0</v>
      </c>
      <c r="C214" s="8">
        <v>1</v>
      </c>
      <c r="D214" s="8"/>
      <c r="N214" t="s">
        <v>24</v>
      </c>
      <c r="O214">
        <v>0</v>
      </c>
      <c r="P214" s="8">
        <v>3</v>
      </c>
      <c r="V214">
        <v>0.12</v>
      </c>
      <c r="W214">
        <v>0</v>
      </c>
      <c r="X214" s="8">
        <v>3</v>
      </c>
    </row>
    <row r="215" spans="1:24" x14ac:dyDescent="0.3">
      <c r="A215">
        <v>1</v>
      </c>
      <c r="B215">
        <v>1</v>
      </c>
      <c r="C215" s="8">
        <v>2</v>
      </c>
      <c r="D215" s="8"/>
      <c r="N215" t="s">
        <v>24</v>
      </c>
      <c r="O215">
        <v>0</v>
      </c>
      <c r="P215" s="8">
        <v>1</v>
      </c>
      <c r="V215">
        <v>0.12</v>
      </c>
      <c r="W215">
        <v>0</v>
      </c>
      <c r="X215" s="8">
        <v>1</v>
      </c>
    </row>
    <row r="216" spans="1:24" x14ac:dyDescent="0.3">
      <c r="A216">
        <v>1</v>
      </c>
      <c r="B216">
        <v>0</v>
      </c>
      <c r="C216" s="8">
        <v>3</v>
      </c>
      <c r="D216" s="8"/>
      <c r="N216" t="s">
        <v>24</v>
      </c>
      <c r="O216">
        <v>1</v>
      </c>
      <c r="P216" s="8">
        <v>2</v>
      </c>
      <c r="V216">
        <v>0.1</v>
      </c>
      <c r="W216">
        <v>1</v>
      </c>
      <c r="X216" s="8">
        <v>2</v>
      </c>
    </row>
    <row r="217" spans="1:24" x14ac:dyDescent="0.3">
      <c r="A217">
        <v>1</v>
      </c>
      <c r="B217">
        <v>0</v>
      </c>
      <c r="C217" s="8">
        <v>31</v>
      </c>
      <c r="D217" s="8"/>
      <c r="N217" t="s">
        <v>24</v>
      </c>
      <c r="O217">
        <v>0</v>
      </c>
      <c r="P217" s="8">
        <v>3</v>
      </c>
      <c r="V217">
        <v>0.1</v>
      </c>
      <c r="W217">
        <v>0</v>
      </c>
      <c r="X217" s="8">
        <v>3</v>
      </c>
    </row>
    <row r="218" spans="1:24" x14ac:dyDescent="0.3">
      <c r="A218">
        <v>1</v>
      </c>
      <c r="B218">
        <v>2</v>
      </c>
      <c r="C218" s="8">
        <v>75</v>
      </c>
      <c r="D218" s="8"/>
      <c r="N218" t="s">
        <v>24</v>
      </c>
      <c r="O218">
        <v>0</v>
      </c>
      <c r="P218" s="8">
        <v>31</v>
      </c>
      <c r="V218">
        <v>0.12</v>
      </c>
      <c r="W218">
        <v>0</v>
      </c>
      <c r="X218" s="8">
        <v>31</v>
      </c>
    </row>
    <row r="219" spans="1:24" x14ac:dyDescent="0.3">
      <c r="A219">
        <v>2</v>
      </c>
      <c r="B219">
        <v>4</v>
      </c>
      <c r="C219" s="8">
        <v>184</v>
      </c>
      <c r="D219" s="8"/>
      <c r="N219" t="s">
        <v>24</v>
      </c>
      <c r="O219">
        <v>2</v>
      </c>
      <c r="P219" s="8">
        <v>75</v>
      </c>
      <c r="V219">
        <v>0.12</v>
      </c>
      <c r="W219">
        <v>2</v>
      </c>
      <c r="X219" s="8">
        <v>75</v>
      </c>
    </row>
    <row r="220" spans="1:24" x14ac:dyDescent="0.3">
      <c r="A220">
        <v>2</v>
      </c>
      <c r="B220">
        <v>2</v>
      </c>
      <c r="C220" s="8">
        <v>92</v>
      </c>
      <c r="D220" s="8"/>
      <c r="N220" t="s">
        <v>24</v>
      </c>
      <c r="O220">
        <v>4</v>
      </c>
      <c r="P220" s="8">
        <v>184</v>
      </c>
      <c r="V220">
        <v>0.12</v>
      </c>
      <c r="W220">
        <v>4</v>
      </c>
      <c r="X220" s="8">
        <v>184</v>
      </c>
    </row>
    <row r="221" spans="1:24" x14ac:dyDescent="0.3">
      <c r="A221">
        <v>2</v>
      </c>
      <c r="B221">
        <v>0</v>
      </c>
      <c r="C221" s="8">
        <v>31</v>
      </c>
      <c r="D221" s="8"/>
      <c r="N221" t="s">
        <v>24</v>
      </c>
      <c r="O221">
        <v>2</v>
      </c>
      <c r="P221" s="8">
        <v>92</v>
      </c>
      <c r="V221">
        <v>0.14000000000000001</v>
      </c>
      <c r="W221">
        <v>2</v>
      </c>
      <c r="X221" s="8">
        <v>92</v>
      </c>
    </row>
    <row r="222" spans="1:24" x14ac:dyDescent="0.3">
      <c r="A222">
        <v>2</v>
      </c>
      <c r="B222">
        <v>2</v>
      </c>
      <c r="C222" s="8">
        <v>28</v>
      </c>
      <c r="D222" s="8"/>
      <c r="N222" t="s">
        <v>24</v>
      </c>
      <c r="O222">
        <v>0</v>
      </c>
      <c r="P222" s="8">
        <v>31</v>
      </c>
      <c r="V222">
        <v>0.14000000000000001</v>
      </c>
      <c r="W222">
        <v>0</v>
      </c>
      <c r="X222" s="8">
        <v>31</v>
      </c>
    </row>
    <row r="223" spans="1:24" x14ac:dyDescent="0.3">
      <c r="A223">
        <v>2</v>
      </c>
      <c r="B223">
        <v>5</v>
      </c>
      <c r="C223" s="8">
        <v>47</v>
      </c>
      <c r="D223" s="8"/>
      <c r="N223" t="s">
        <v>24</v>
      </c>
      <c r="O223">
        <v>2</v>
      </c>
      <c r="P223" s="8">
        <v>28</v>
      </c>
      <c r="V223">
        <v>0.16</v>
      </c>
      <c r="W223">
        <v>2</v>
      </c>
      <c r="X223" s="8">
        <v>28</v>
      </c>
    </row>
    <row r="224" spans="1:24" x14ac:dyDescent="0.3">
      <c r="A224">
        <v>2</v>
      </c>
      <c r="B224">
        <v>4</v>
      </c>
      <c r="C224" s="8">
        <v>50</v>
      </c>
      <c r="D224" s="8"/>
      <c r="N224" t="s">
        <v>24</v>
      </c>
      <c r="O224">
        <v>5</v>
      </c>
      <c r="P224" s="8">
        <v>47</v>
      </c>
      <c r="V224">
        <v>0.2</v>
      </c>
      <c r="W224">
        <v>5</v>
      </c>
      <c r="X224" s="8">
        <v>47</v>
      </c>
    </row>
    <row r="225" spans="1:24" x14ac:dyDescent="0.3">
      <c r="A225">
        <v>2</v>
      </c>
      <c r="B225">
        <v>0</v>
      </c>
      <c r="C225" s="8">
        <v>47</v>
      </c>
      <c r="D225" s="8"/>
      <c r="N225" t="s">
        <v>24</v>
      </c>
      <c r="O225">
        <v>4</v>
      </c>
      <c r="P225" s="8">
        <v>50</v>
      </c>
      <c r="V225">
        <v>0.2</v>
      </c>
      <c r="W225">
        <v>4</v>
      </c>
      <c r="X225" s="8">
        <v>50</v>
      </c>
    </row>
    <row r="226" spans="1:24" x14ac:dyDescent="0.3">
      <c r="A226">
        <v>2</v>
      </c>
      <c r="B226">
        <v>2</v>
      </c>
      <c r="C226" s="8">
        <v>43</v>
      </c>
      <c r="D226" s="8"/>
      <c r="N226" t="s">
        <v>24</v>
      </c>
      <c r="O226">
        <v>0</v>
      </c>
      <c r="P226" s="8">
        <v>47</v>
      </c>
      <c r="V226">
        <v>0.2</v>
      </c>
      <c r="W226">
        <v>0</v>
      </c>
      <c r="X226" s="8">
        <v>47</v>
      </c>
    </row>
    <row r="227" spans="1:24" x14ac:dyDescent="0.3">
      <c r="A227">
        <v>1</v>
      </c>
      <c r="B227">
        <v>4</v>
      </c>
      <c r="C227" s="8">
        <v>70</v>
      </c>
      <c r="D227" s="8"/>
      <c r="N227" t="s">
        <v>24</v>
      </c>
      <c r="O227">
        <v>2</v>
      </c>
      <c r="P227" s="8">
        <v>43</v>
      </c>
      <c r="V227">
        <v>0.2</v>
      </c>
      <c r="W227">
        <v>2</v>
      </c>
      <c r="X227" s="8">
        <v>43</v>
      </c>
    </row>
    <row r="228" spans="1:24" x14ac:dyDescent="0.3">
      <c r="A228">
        <v>1</v>
      </c>
      <c r="B228">
        <v>4</v>
      </c>
      <c r="C228" s="8">
        <v>174</v>
      </c>
      <c r="D228" s="8"/>
      <c r="N228" t="s">
        <v>24</v>
      </c>
      <c r="O228">
        <v>4</v>
      </c>
      <c r="P228" s="8">
        <v>70</v>
      </c>
      <c r="V228">
        <v>0.2</v>
      </c>
      <c r="W228">
        <v>4</v>
      </c>
      <c r="X228" s="8">
        <v>70</v>
      </c>
    </row>
    <row r="229" spans="1:24" x14ac:dyDescent="0.3">
      <c r="A229">
        <v>1</v>
      </c>
      <c r="B229">
        <v>1</v>
      </c>
      <c r="C229" s="8">
        <v>154</v>
      </c>
      <c r="D229" s="8"/>
      <c r="N229" t="s">
        <v>24</v>
      </c>
      <c r="O229">
        <v>4</v>
      </c>
      <c r="P229" s="8">
        <v>174</v>
      </c>
      <c r="V229">
        <v>0.2</v>
      </c>
      <c r="W229">
        <v>4</v>
      </c>
      <c r="X229" s="8">
        <v>174</v>
      </c>
    </row>
    <row r="230" spans="1:24" x14ac:dyDescent="0.3">
      <c r="A230">
        <v>1</v>
      </c>
      <c r="B230">
        <v>3</v>
      </c>
      <c r="C230" s="8">
        <v>92</v>
      </c>
      <c r="D230" s="8"/>
      <c r="N230" t="s">
        <v>24</v>
      </c>
      <c r="O230">
        <v>1</v>
      </c>
      <c r="P230" s="8">
        <v>154</v>
      </c>
      <c r="V230">
        <v>0.2</v>
      </c>
      <c r="W230">
        <v>1</v>
      </c>
      <c r="X230" s="8">
        <v>154</v>
      </c>
    </row>
    <row r="231" spans="1:24" x14ac:dyDescent="0.3">
      <c r="A231">
        <v>1</v>
      </c>
      <c r="B231">
        <v>1</v>
      </c>
      <c r="C231" s="8">
        <v>73</v>
      </c>
      <c r="D231" s="8"/>
      <c r="N231" t="s">
        <v>24</v>
      </c>
      <c r="O231">
        <v>3</v>
      </c>
      <c r="P231" s="8">
        <v>92</v>
      </c>
      <c r="V231">
        <v>0.16</v>
      </c>
      <c r="W231">
        <v>3</v>
      </c>
      <c r="X231" s="8">
        <v>92</v>
      </c>
    </row>
    <row r="232" spans="1:24" x14ac:dyDescent="0.3">
      <c r="A232">
        <v>1</v>
      </c>
      <c r="B232">
        <v>1</v>
      </c>
      <c r="C232" s="8">
        <v>37</v>
      </c>
      <c r="D232" s="8"/>
      <c r="N232" t="s">
        <v>24</v>
      </c>
      <c r="O232">
        <v>1</v>
      </c>
      <c r="P232" s="8">
        <v>73</v>
      </c>
      <c r="V232">
        <v>0.16</v>
      </c>
      <c r="W232">
        <v>1</v>
      </c>
      <c r="X232" s="8">
        <v>73</v>
      </c>
    </row>
    <row r="233" spans="1:24" x14ac:dyDescent="0.3">
      <c r="A233">
        <v>1</v>
      </c>
      <c r="B233">
        <v>2</v>
      </c>
      <c r="C233" s="8">
        <v>22</v>
      </c>
      <c r="D233" s="8"/>
      <c r="N233" t="s">
        <v>25</v>
      </c>
      <c r="O233">
        <v>1</v>
      </c>
      <c r="P233" s="8">
        <v>37</v>
      </c>
      <c r="V233">
        <v>0.14000000000000001</v>
      </c>
      <c r="W233">
        <v>1</v>
      </c>
      <c r="X233" s="8">
        <v>37</v>
      </c>
    </row>
    <row r="234" spans="1:24" x14ac:dyDescent="0.3">
      <c r="A234">
        <v>1</v>
      </c>
      <c r="B234">
        <v>0</v>
      </c>
      <c r="C234" s="8">
        <v>18</v>
      </c>
      <c r="D234" s="8"/>
      <c r="N234" t="s">
        <v>25</v>
      </c>
      <c r="O234">
        <v>2</v>
      </c>
      <c r="P234" s="8">
        <v>22</v>
      </c>
      <c r="V234">
        <v>0.14000000000000001</v>
      </c>
      <c r="W234">
        <v>2</v>
      </c>
      <c r="X234" s="8">
        <v>22</v>
      </c>
    </row>
    <row r="235" spans="1:24" x14ac:dyDescent="0.3">
      <c r="A235">
        <v>1</v>
      </c>
      <c r="B235">
        <v>2</v>
      </c>
      <c r="C235" s="8">
        <v>10</v>
      </c>
      <c r="D235" s="8"/>
      <c r="N235" t="s">
        <v>25</v>
      </c>
      <c r="O235">
        <v>0</v>
      </c>
      <c r="P235" s="8">
        <v>18</v>
      </c>
      <c r="V235">
        <v>0.14000000000000001</v>
      </c>
      <c r="W235">
        <v>0</v>
      </c>
      <c r="X235" s="8">
        <v>18</v>
      </c>
    </row>
    <row r="236" spans="1:24" x14ac:dyDescent="0.3">
      <c r="A236">
        <v>1</v>
      </c>
      <c r="B236">
        <v>0</v>
      </c>
      <c r="C236" s="8">
        <v>3</v>
      </c>
      <c r="D236" s="8"/>
      <c r="N236" t="s">
        <v>25</v>
      </c>
      <c r="O236">
        <v>2</v>
      </c>
      <c r="P236" s="8">
        <v>10</v>
      </c>
      <c r="V236">
        <v>0.14000000000000001</v>
      </c>
      <c r="W236">
        <v>2</v>
      </c>
      <c r="X236" s="8">
        <v>10</v>
      </c>
    </row>
    <row r="237" spans="1:24" x14ac:dyDescent="0.3">
      <c r="A237">
        <v>2</v>
      </c>
      <c r="B237">
        <v>0</v>
      </c>
      <c r="C237" s="8">
        <v>3</v>
      </c>
      <c r="D237" s="8"/>
      <c r="N237" t="s">
        <v>25</v>
      </c>
      <c r="O237">
        <v>0</v>
      </c>
      <c r="P237" s="8">
        <v>3</v>
      </c>
      <c r="V237">
        <v>0.14000000000000001</v>
      </c>
      <c r="W237">
        <v>0</v>
      </c>
      <c r="X237" s="8">
        <v>3</v>
      </c>
    </row>
    <row r="238" spans="1:24" x14ac:dyDescent="0.3">
      <c r="A238">
        <v>2</v>
      </c>
      <c r="B238">
        <v>0</v>
      </c>
      <c r="C238" s="8">
        <v>6</v>
      </c>
      <c r="D238" s="8"/>
      <c r="N238" t="s">
        <v>25</v>
      </c>
      <c r="O238">
        <v>0</v>
      </c>
      <c r="P238" s="8">
        <v>3</v>
      </c>
      <c r="V238">
        <v>0.16</v>
      </c>
      <c r="W238">
        <v>0</v>
      </c>
      <c r="X238" s="8">
        <v>3</v>
      </c>
    </row>
    <row r="239" spans="1:24" x14ac:dyDescent="0.3">
      <c r="A239">
        <v>2</v>
      </c>
      <c r="B239">
        <v>0</v>
      </c>
      <c r="C239" s="8">
        <v>27</v>
      </c>
      <c r="D239" s="8"/>
      <c r="N239" t="s">
        <v>25</v>
      </c>
      <c r="O239">
        <v>0</v>
      </c>
      <c r="P239" s="8">
        <v>6</v>
      </c>
      <c r="V239">
        <v>0.16</v>
      </c>
      <c r="W239">
        <v>0</v>
      </c>
      <c r="X239" s="8">
        <v>6</v>
      </c>
    </row>
    <row r="240" spans="1:24" x14ac:dyDescent="0.3">
      <c r="A240">
        <v>2</v>
      </c>
      <c r="B240">
        <v>2</v>
      </c>
      <c r="C240" s="8">
        <v>97</v>
      </c>
      <c r="D240" s="8"/>
      <c r="N240" t="s">
        <v>25</v>
      </c>
      <c r="O240">
        <v>0</v>
      </c>
      <c r="P240" s="8">
        <v>27</v>
      </c>
      <c r="V240">
        <v>0.16</v>
      </c>
      <c r="W240">
        <v>0</v>
      </c>
      <c r="X240" s="8">
        <v>27</v>
      </c>
    </row>
    <row r="241" spans="1:24" x14ac:dyDescent="0.3">
      <c r="A241">
        <v>2</v>
      </c>
      <c r="B241">
        <v>3</v>
      </c>
      <c r="C241" s="8">
        <v>214</v>
      </c>
      <c r="D241" s="8"/>
      <c r="N241" t="s">
        <v>25</v>
      </c>
      <c r="O241">
        <v>2</v>
      </c>
      <c r="P241" s="8">
        <v>97</v>
      </c>
      <c r="V241">
        <v>0.16</v>
      </c>
      <c r="W241">
        <v>2</v>
      </c>
      <c r="X241" s="8">
        <v>97</v>
      </c>
    </row>
    <row r="242" spans="1:24" x14ac:dyDescent="0.3">
      <c r="A242">
        <v>2</v>
      </c>
      <c r="B242">
        <v>3</v>
      </c>
      <c r="C242" s="8">
        <v>127</v>
      </c>
      <c r="D242" s="8"/>
      <c r="N242" t="s">
        <v>25</v>
      </c>
      <c r="O242">
        <v>3</v>
      </c>
      <c r="P242" s="8">
        <v>214</v>
      </c>
      <c r="V242">
        <v>0.18</v>
      </c>
      <c r="W242">
        <v>3</v>
      </c>
      <c r="X242" s="8">
        <v>214</v>
      </c>
    </row>
    <row r="243" spans="1:24" x14ac:dyDescent="0.3">
      <c r="A243">
        <v>2</v>
      </c>
      <c r="B243">
        <v>3</v>
      </c>
      <c r="C243" s="8">
        <v>51</v>
      </c>
      <c r="D243" s="8"/>
      <c r="N243" t="s">
        <v>25</v>
      </c>
      <c r="O243">
        <v>3</v>
      </c>
      <c r="P243" s="8">
        <v>127</v>
      </c>
      <c r="V243">
        <v>0.18</v>
      </c>
      <c r="W243">
        <v>3</v>
      </c>
      <c r="X243" s="8">
        <v>127</v>
      </c>
    </row>
    <row r="244" spans="1:24" x14ac:dyDescent="0.3">
      <c r="A244">
        <v>2</v>
      </c>
      <c r="B244">
        <v>4</v>
      </c>
      <c r="C244" s="8">
        <v>31</v>
      </c>
      <c r="D244" s="8"/>
      <c r="N244" t="s">
        <v>25</v>
      </c>
      <c r="O244">
        <v>3</v>
      </c>
      <c r="P244" s="8">
        <v>51</v>
      </c>
      <c r="V244">
        <v>0.2</v>
      </c>
      <c r="W244">
        <v>3</v>
      </c>
      <c r="X244" s="8">
        <v>51</v>
      </c>
    </row>
    <row r="245" spans="1:24" x14ac:dyDescent="0.3">
      <c r="A245">
        <v>2</v>
      </c>
      <c r="B245">
        <v>2</v>
      </c>
      <c r="C245" s="8">
        <v>55</v>
      </c>
      <c r="D245" s="8"/>
      <c r="N245" t="s">
        <v>25</v>
      </c>
      <c r="O245">
        <v>4</v>
      </c>
      <c r="P245" s="8">
        <v>31</v>
      </c>
      <c r="V245">
        <v>0.2</v>
      </c>
      <c r="W245">
        <v>4</v>
      </c>
      <c r="X245" s="8">
        <v>31</v>
      </c>
    </row>
    <row r="246" spans="1:24" x14ac:dyDescent="0.3">
      <c r="A246">
        <v>2</v>
      </c>
      <c r="B246">
        <v>6</v>
      </c>
      <c r="C246" s="8">
        <v>46</v>
      </c>
      <c r="D246" s="8"/>
      <c r="N246" t="s">
        <v>25</v>
      </c>
      <c r="O246">
        <v>2</v>
      </c>
      <c r="P246" s="8">
        <v>55</v>
      </c>
      <c r="V246">
        <v>0.2</v>
      </c>
      <c r="W246">
        <v>2</v>
      </c>
      <c r="X246" s="8">
        <v>55</v>
      </c>
    </row>
    <row r="247" spans="1:24" x14ac:dyDescent="0.3">
      <c r="A247">
        <v>2</v>
      </c>
      <c r="B247">
        <v>3</v>
      </c>
      <c r="C247" s="8">
        <v>60</v>
      </c>
      <c r="D247" s="8"/>
      <c r="N247" t="s">
        <v>25</v>
      </c>
      <c r="O247">
        <v>6</v>
      </c>
      <c r="P247" s="8">
        <v>46</v>
      </c>
      <c r="V247">
        <v>0.2</v>
      </c>
      <c r="W247">
        <v>6</v>
      </c>
      <c r="X247" s="8">
        <v>46</v>
      </c>
    </row>
    <row r="248" spans="1:24" x14ac:dyDescent="0.3">
      <c r="A248">
        <v>2</v>
      </c>
      <c r="B248">
        <v>2</v>
      </c>
      <c r="C248" s="8">
        <v>45</v>
      </c>
      <c r="D248" s="8"/>
      <c r="N248" t="s">
        <v>25</v>
      </c>
      <c r="O248">
        <v>3</v>
      </c>
      <c r="P248" s="8">
        <v>60</v>
      </c>
      <c r="V248">
        <v>0.2</v>
      </c>
      <c r="W248">
        <v>3</v>
      </c>
      <c r="X248" s="8">
        <v>60</v>
      </c>
    </row>
    <row r="249" spans="1:24" x14ac:dyDescent="0.3">
      <c r="A249">
        <v>2</v>
      </c>
      <c r="B249">
        <v>4</v>
      </c>
      <c r="C249" s="8">
        <v>72</v>
      </c>
      <c r="D249" s="8"/>
      <c r="N249" t="s">
        <v>25</v>
      </c>
      <c r="O249">
        <v>2</v>
      </c>
      <c r="P249" s="8">
        <v>45</v>
      </c>
      <c r="V249">
        <v>0.16</v>
      </c>
      <c r="W249">
        <v>2</v>
      </c>
      <c r="X249" s="8">
        <v>45</v>
      </c>
    </row>
    <row r="250" spans="1:24" x14ac:dyDescent="0.3">
      <c r="A250">
        <v>2</v>
      </c>
      <c r="B250">
        <v>6</v>
      </c>
      <c r="C250" s="8">
        <v>130</v>
      </c>
      <c r="D250" s="8"/>
      <c r="N250" t="s">
        <v>25</v>
      </c>
      <c r="O250">
        <v>4</v>
      </c>
      <c r="P250" s="8">
        <v>72</v>
      </c>
      <c r="V250">
        <v>0.16</v>
      </c>
      <c r="W250">
        <v>4</v>
      </c>
      <c r="X250" s="8">
        <v>72</v>
      </c>
    </row>
    <row r="251" spans="1:24" x14ac:dyDescent="0.3">
      <c r="A251">
        <v>3</v>
      </c>
      <c r="B251">
        <v>1</v>
      </c>
      <c r="C251" s="8">
        <v>94</v>
      </c>
      <c r="D251" s="8"/>
      <c r="N251" t="s">
        <v>25</v>
      </c>
      <c r="O251">
        <v>6</v>
      </c>
      <c r="P251" s="8">
        <v>130</v>
      </c>
      <c r="V251">
        <v>0.16</v>
      </c>
      <c r="W251">
        <v>6</v>
      </c>
      <c r="X251" s="8">
        <v>130</v>
      </c>
    </row>
    <row r="252" spans="1:24" x14ac:dyDescent="0.3">
      <c r="A252">
        <v>3</v>
      </c>
      <c r="B252">
        <v>0</v>
      </c>
      <c r="C252" s="8">
        <v>51</v>
      </c>
      <c r="D252" s="8"/>
      <c r="N252" t="s">
        <v>25</v>
      </c>
      <c r="O252">
        <v>1</v>
      </c>
      <c r="P252" s="8">
        <v>94</v>
      </c>
      <c r="V252">
        <v>0.16</v>
      </c>
      <c r="W252">
        <v>1</v>
      </c>
      <c r="X252" s="8">
        <v>94</v>
      </c>
    </row>
    <row r="253" spans="1:24" x14ac:dyDescent="0.3">
      <c r="A253">
        <v>3</v>
      </c>
      <c r="B253">
        <v>0</v>
      </c>
      <c r="C253" s="8">
        <v>32</v>
      </c>
      <c r="D253" s="8"/>
      <c r="N253" t="s">
        <v>25</v>
      </c>
      <c r="O253">
        <v>0</v>
      </c>
      <c r="P253" s="8">
        <v>51</v>
      </c>
      <c r="V253">
        <v>0.16</v>
      </c>
      <c r="W253">
        <v>0</v>
      </c>
      <c r="X253" s="8">
        <v>51</v>
      </c>
    </row>
    <row r="254" spans="1:24" x14ac:dyDescent="0.3">
      <c r="A254">
        <v>3</v>
      </c>
      <c r="B254">
        <v>0</v>
      </c>
      <c r="C254" s="8">
        <v>20</v>
      </c>
      <c r="D254" s="8"/>
      <c r="N254" t="s">
        <v>25</v>
      </c>
      <c r="O254">
        <v>0</v>
      </c>
      <c r="P254" s="8">
        <v>32</v>
      </c>
      <c r="V254">
        <v>0.16</v>
      </c>
      <c r="W254">
        <v>0</v>
      </c>
      <c r="X254" s="8">
        <v>32</v>
      </c>
    </row>
    <row r="255" spans="1:24" x14ac:dyDescent="0.3">
      <c r="A255">
        <v>3</v>
      </c>
      <c r="B255">
        <v>1</v>
      </c>
      <c r="C255" s="8">
        <v>28</v>
      </c>
      <c r="D255" s="8"/>
      <c r="N255" t="s">
        <v>25</v>
      </c>
      <c r="O255">
        <v>0</v>
      </c>
      <c r="P255" s="8">
        <v>20</v>
      </c>
      <c r="V255">
        <v>0.16</v>
      </c>
      <c r="W255">
        <v>0</v>
      </c>
      <c r="X255" s="8">
        <v>20</v>
      </c>
    </row>
    <row r="256" spans="1:24" x14ac:dyDescent="0.3">
      <c r="A256">
        <v>3</v>
      </c>
      <c r="B256">
        <v>1</v>
      </c>
      <c r="C256" s="8">
        <v>18</v>
      </c>
      <c r="D256" s="8"/>
      <c r="N256" t="s">
        <v>26</v>
      </c>
      <c r="O256">
        <v>1</v>
      </c>
      <c r="P256" s="8">
        <v>28</v>
      </c>
      <c r="V256">
        <v>0.16</v>
      </c>
      <c r="W256">
        <v>1</v>
      </c>
      <c r="X256" s="8">
        <v>28</v>
      </c>
    </row>
    <row r="257" spans="1:24" x14ac:dyDescent="0.3">
      <c r="A257">
        <v>2</v>
      </c>
      <c r="B257">
        <v>0</v>
      </c>
      <c r="C257" s="8">
        <v>7</v>
      </c>
      <c r="D257" s="8"/>
      <c r="N257" t="s">
        <v>26</v>
      </c>
      <c r="O257">
        <v>1</v>
      </c>
      <c r="P257" s="8">
        <v>18</v>
      </c>
      <c r="V257">
        <v>0.16</v>
      </c>
      <c r="W257">
        <v>1</v>
      </c>
      <c r="X257" s="8">
        <v>18</v>
      </c>
    </row>
    <row r="258" spans="1:24" x14ac:dyDescent="0.3">
      <c r="A258">
        <v>2</v>
      </c>
      <c r="B258">
        <v>0</v>
      </c>
      <c r="C258" s="8">
        <v>6</v>
      </c>
      <c r="D258" s="8"/>
      <c r="N258" t="s">
        <v>26</v>
      </c>
      <c r="O258">
        <v>0</v>
      </c>
      <c r="P258" s="8">
        <v>7</v>
      </c>
      <c r="V258">
        <v>0.16</v>
      </c>
      <c r="W258">
        <v>0</v>
      </c>
      <c r="X258" s="8">
        <v>7</v>
      </c>
    </row>
    <row r="259" spans="1:24" x14ac:dyDescent="0.3">
      <c r="A259">
        <v>1</v>
      </c>
      <c r="B259">
        <v>0</v>
      </c>
      <c r="C259" s="8">
        <v>1</v>
      </c>
      <c r="D259" s="8"/>
      <c r="N259" t="s">
        <v>26</v>
      </c>
      <c r="O259">
        <v>0</v>
      </c>
      <c r="P259" s="8">
        <v>6</v>
      </c>
      <c r="V259">
        <v>0.16</v>
      </c>
      <c r="W259">
        <v>0</v>
      </c>
      <c r="X259" s="8">
        <v>6</v>
      </c>
    </row>
    <row r="260" spans="1:24" x14ac:dyDescent="0.3">
      <c r="A260">
        <v>1</v>
      </c>
      <c r="B260">
        <v>0</v>
      </c>
      <c r="C260" s="8">
        <v>5</v>
      </c>
      <c r="D260" s="8"/>
      <c r="N260" t="s">
        <v>26</v>
      </c>
      <c r="O260">
        <v>0</v>
      </c>
      <c r="P260" s="8">
        <v>1</v>
      </c>
      <c r="V260">
        <v>0.14000000000000001</v>
      </c>
      <c r="W260">
        <v>0</v>
      </c>
      <c r="X260" s="8">
        <v>1</v>
      </c>
    </row>
    <row r="261" spans="1:24" x14ac:dyDescent="0.3">
      <c r="A261">
        <v>1</v>
      </c>
      <c r="B261">
        <v>0</v>
      </c>
      <c r="C261" s="8">
        <v>16</v>
      </c>
      <c r="D261" s="8"/>
      <c r="N261" t="s">
        <v>26</v>
      </c>
      <c r="O261">
        <v>0</v>
      </c>
      <c r="P261" s="8">
        <v>5</v>
      </c>
      <c r="V261">
        <v>0.14000000000000001</v>
      </c>
      <c r="W261">
        <v>0</v>
      </c>
      <c r="X261" s="8">
        <v>5</v>
      </c>
    </row>
    <row r="262" spans="1:24" x14ac:dyDescent="0.3">
      <c r="A262">
        <v>1</v>
      </c>
      <c r="B262">
        <v>0</v>
      </c>
      <c r="C262" s="8">
        <v>54</v>
      </c>
      <c r="D262" s="8"/>
      <c r="N262" t="s">
        <v>26</v>
      </c>
      <c r="O262">
        <v>0</v>
      </c>
      <c r="P262" s="8">
        <v>16</v>
      </c>
      <c r="V262">
        <v>0.12</v>
      </c>
      <c r="W262">
        <v>0</v>
      </c>
      <c r="X262" s="8">
        <v>16</v>
      </c>
    </row>
    <row r="263" spans="1:24" x14ac:dyDescent="0.3">
      <c r="A263">
        <v>1</v>
      </c>
      <c r="B263">
        <v>3</v>
      </c>
      <c r="C263" s="8">
        <v>125</v>
      </c>
      <c r="D263" s="8"/>
      <c r="N263" t="s">
        <v>26</v>
      </c>
      <c r="O263">
        <v>0</v>
      </c>
      <c r="P263" s="8">
        <v>54</v>
      </c>
      <c r="V263">
        <v>0.14000000000000001</v>
      </c>
      <c r="W263">
        <v>0</v>
      </c>
      <c r="X263" s="8">
        <v>54</v>
      </c>
    </row>
    <row r="264" spans="1:24" x14ac:dyDescent="0.3">
      <c r="A264">
        <v>1</v>
      </c>
      <c r="B264">
        <v>3</v>
      </c>
      <c r="C264" s="8">
        <v>78</v>
      </c>
      <c r="D264" s="8"/>
      <c r="N264" t="s">
        <v>26</v>
      </c>
      <c r="O264">
        <v>3</v>
      </c>
      <c r="P264" s="8">
        <v>125</v>
      </c>
      <c r="V264">
        <v>0.16</v>
      </c>
      <c r="W264">
        <v>3</v>
      </c>
      <c r="X264" s="8">
        <v>125</v>
      </c>
    </row>
    <row r="265" spans="1:24" x14ac:dyDescent="0.3">
      <c r="A265">
        <v>1</v>
      </c>
      <c r="B265">
        <v>0</v>
      </c>
      <c r="C265" s="8">
        <v>39</v>
      </c>
      <c r="D265" s="8"/>
      <c r="N265" t="s">
        <v>26</v>
      </c>
      <c r="O265">
        <v>3</v>
      </c>
      <c r="P265" s="8">
        <v>78</v>
      </c>
      <c r="V265">
        <v>0.16</v>
      </c>
      <c r="W265">
        <v>3</v>
      </c>
      <c r="X265" s="8">
        <v>78</v>
      </c>
    </row>
    <row r="266" spans="1:24" x14ac:dyDescent="0.3">
      <c r="A266">
        <v>1</v>
      </c>
      <c r="B266">
        <v>3</v>
      </c>
      <c r="C266" s="8">
        <v>32</v>
      </c>
      <c r="D266" s="8"/>
      <c r="N266" t="s">
        <v>26</v>
      </c>
      <c r="O266">
        <v>0</v>
      </c>
      <c r="P266" s="8">
        <v>39</v>
      </c>
      <c r="V266">
        <v>0.18</v>
      </c>
      <c r="W266">
        <v>0</v>
      </c>
      <c r="X266" s="8">
        <v>39</v>
      </c>
    </row>
    <row r="267" spans="1:24" x14ac:dyDescent="0.3">
      <c r="A267">
        <v>1</v>
      </c>
      <c r="B267">
        <v>3</v>
      </c>
      <c r="C267" s="8">
        <v>52</v>
      </c>
      <c r="D267" s="8"/>
      <c r="N267" t="s">
        <v>26</v>
      </c>
      <c r="O267">
        <v>3</v>
      </c>
      <c r="P267" s="8">
        <v>32</v>
      </c>
      <c r="V267">
        <v>0.2</v>
      </c>
      <c r="W267">
        <v>3</v>
      </c>
      <c r="X267" s="8">
        <v>32</v>
      </c>
    </row>
    <row r="268" spans="1:24" x14ac:dyDescent="0.3">
      <c r="A268">
        <v>1</v>
      </c>
      <c r="B268">
        <v>0</v>
      </c>
      <c r="C268" s="8">
        <v>49</v>
      </c>
      <c r="D268" s="8"/>
      <c r="N268" t="s">
        <v>26</v>
      </c>
      <c r="O268">
        <v>3</v>
      </c>
      <c r="P268" s="8">
        <v>52</v>
      </c>
      <c r="V268">
        <v>0.2</v>
      </c>
      <c r="W268">
        <v>3</v>
      </c>
      <c r="X268" s="8">
        <v>52</v>
      </c>
    </row>
    <row r="269" spans="1:24" x14ac:dyDescent="0.3">
      <c r="A269">
        <v>1</v>
      </c>
      <c r="B269">
        <v>0</v>
      </c>
      <c r="C269" s="8">
        <v>44</v>
      </c>
      <c r="D269" s="8"/>
      <c r="N269" t="s">
        <v>26</v>
      </c>
      <c r="O269">
        <v>0</v>
      </c>
      <c r="P269" s="8">
        <v>49</v>
      </c>
      <c r="V269">
        <v>0.22</v>
      </c>
      <c r="W269">
        <v>0</v>
      </c>
      <c r="X269" s="8">
        <v>49</v>
      </c>
    </row>
    <row r="270" spans="1:24" x14ac:dyDescent="0.3">
      <c r="A270">
        <v>1</v>
      </c>
      <c r="B270">
        <v>1</v>
      </c>
      <c r="C270" s="8">
        <v>48</v>
      </c>
      <c r="D270" s="8"/>
      <c r="N270" t="s">
        <v>26</v>
      </c>
      <c r="O270">
        <v>0</v>
      </c>
      <c r="P270" s="8">
        <v>44</v>
      </c>
      <c r="V270">
        <v>0.2</v>
      </c>
      <c r="W270">
        <v>0</v>
      </c>
      <c r="X270" s="8">
        <v>44</v>
      </c>
    </row>
    <row r="271" spans="1:24" x14ac:dyDescent="0.3">
      <c r="A271">
        <v>1</v>
      </c>
      <c r="B271">
        <v>5</v>
      </c>
      <c r="C271" s="8">
        <v>63</v>
      </c>
      <c r="D271" s="8"/>
      <c r="N271" t="s">
        <v>26</v>
      </c>
      <c r="O271">
        <v>1</v>
      </c>
      <c r="P271" s="8">
        <v>48</v>
      </c>
      <c r="V271">
        <v>0.2</v>
      </c>
      <c r="W271">
        <v>1</v>
      </c>
      <c r="X271" s="8">
        <v>48</v>
      </c>
    </row>
    <row r="272" spans="1:24" x14ac:dyDescent="0.3">
      <c r="A272">
        <v>1</v>
      </c>
      <c r="B272">
        <v>0</v>
      </c>
      <c r="C272" s="8">
        <v>139</v>
      </c>
      <c r="D272" s="8"/>
      <c r="N272" t="s">
        <v>26</v>
      </c>
      <c r="O272">
        <v>5</v>
      </c>
      <c r="P272" s="8">
        <v>63</v>
      </c>
      <c r="V272">
        <v>0.22</v>
      </c>
      <c r="W272">
        <v>5</v>
      </c>
      <c r="X272" s="8">
        <v>63</v>
      </c>
    </row>
    <row r="273" spans="1:24" x14ac:dyDescent="0.3">
      <c r="A273">
        <v>1</v>
      </c>
      <c r="B273">
        <v>2</v>
      </c>
      <c r="C273" s="8">
        <v>135</v>
      </c>
      <c r="D273" s="8"/>
      <c r="N273" t="s">
        <v>26</v>
      </c>
      <c r="O273">
        <v>0</v>
      </c>
      <c r="P273" s="8">
        <v>139</v>
      </c>
      <c r="V273">
        <v>0.2</v>
      </c>
      <c r="W273">
        <v>0</v>
      </c>
      <c r="X273" s="8">
        <v>139</v>
      </c>
    </row>
    <row r="274" spans="1:24" x14ac:dyDescent="0.3">
      <c r="A274">
        <v>1</v>
      </c>
      <c r="B274">
        <v>1</v>
      </c>
      <c r="C274" s="8">
        <v>82</v>
      </c>
      <c r="D274" s="8"/>
      <c r="N274" t="s">
        <v>26</v>
      </c>
      <c r="O274">
        <v>2</v>
      </c>
      <c r="P274" s="8">
        <v>135</v>
      </c>
      <c r="V274">
        <v>0.2</v>
      </c>
      <c r="W274">
        <v>2</v>
      </c>
      <c r="X274" s="8">
        <v>135</v>
      </c>
    </row>
    <row r="275" spans="1:24" x14ac:dyDescent="0.3">
      <c r="A275">
        <v>1</v>
      </c>
      <c r="B275">
        <v>2</v>
      </c>
      <c r="C275" s="8">
        <v>54</v>
      </c>
      <c r="D275" s="8"/>
      <c r="N275" t="s">
        <v>26</v>
      </c>
      <c r="O275">
        <v>1</v>
      </c>
      <c r="P275" s="8">
        <v>82</v>
      </c>
      <c r="V275">
        <v>0.18</v>
      </c>
      <c r="W275">
        <v>1</v>
      </c>
      <c r="X275" s="8">
        <v>82</v>
      </c>
    </row>
    <row r="276" spans="1:24" x14ac:dyDescent="0.3">
      <c r="A276">
        <v>1</v>
      </c>
      <c r="B276">
        <v>0</v>
      </c>
      <c r="C276" s="8">
        <v>57</v>
      </c>
      <c r="D276" s="8"/>
      <c r="N276" t="s">
        <v>26</v>
      </c>
      <c r="O276">
        <v>2</v>
      </c>
      <c r="P276" s="8">
        <v>54</v>
      </c>
      <c r="V276">
        <v>0.16</v>
      </c>
      <c r="W276">
        <v>2</v>
      </c>
      <c r="X276" s="8">
        <v>54</v>
      </c>
    </row>
    <row r="277" spans="1:24" x14ac:dyDescent="0.3">
      <c r="A277">
        <v>1</v>
      </c>
      <c r="B277">
        <v>1</v>
      </c>
      <c r="C277" s="8">
        <v>32</v>
      </c>
      <c r="D277" s="8"/>
      <c r="N277" t="s">
        <v>26</v>
      </c>
      <c r="O277">
        <v>0</v>
      </c>
      <c r="P277" s="8">
        <v>57</v>
      </c>
      <c r="V277">
        <v>0.16</v>
      </c>
      <c r="W277">
        <v>0</v>
      </c>
      <c r="X277" s="8">
        <v>57</v>
      </c>
    </row>
    <row r="278" spans="1:24" x14ac:dyDescent="0.3">
      <c r="A278">
        <v>1</v>
      </c>
      <c r="B278">
        <v>1</v>
      </c>
      <c r="C278" s="8">
        <v>19</v>
      </c>
      <c r="D278" s="8"/>
      <c r="N278" t="s">
        <v>26</v>
      </c>
      <c r="O278">
        <v>1</v>
      </c>
      <c r="P278" s="8">
        <v>32</v>
      </c>
      <c r="V278">
        <v>0.16</v>
      </c>
      <c r="W278">
        <v>1</v>
      </c>
      <c r="X278" s="8">
        <v>32</v>
      </c>
    </row>
    <row r="279" spans="1:24" x14ac:dyDescent="0.3">
      <c r="A279">
        <v>1</v>
      </c>
      <c r="B279">
        <v>1</v>
      </c>
      <c r="C279" s="8">
        <v>6</v>
      </c>
      <c r="D279" s="8"/>
      <c r="N279" t="s">
        <v>27</v>
      </c>
      <c r="O279">
        <v>1</v>
      </c>
      <c r="P279" s="8">
        <v>19</v>
      </c>
      <c r="V279">
        <v>0.14000000000000001</v>
      </c>
      <c r="W279">
        <v>1</v>
      </c>
      <c r="X279" s="8">
        <v>19</v>
      </c>
    </row>
    <row r="280" spans="1:24" x14ac:dyDescent="0.3">
      <c r="A280">
        <v>1</v>
      </c>
      <c r="B280">
        <v>0</v>
      </c>
      <c r="C280" s="8">
        <v>2</v>
      </c>
      <c r="D280" s="8"/>
      <c r="N280" t="s">
        <v>27</v>
      </c>
      <c r="O280">
        <v>1</v>
      </c>
      <c r="P280" s="8">
        <v>6</v>
      </c>
      <c r="V280">
        <v>0.14000000000000001</v>
      </c>
      <c r="W280">
        <v>1</v>
      </c>
      <c r="X280" s="8">
        <v>6</v>
      </c>
    </row>
    <row r="281" spans="1:24" x14ac:dyDescent="0.3">
      <c r="A281">
        <v>1</v>
      </c>
      <c r="B281">
        <v>0</v>
      </c>
      <c r="C281" s="8">
        <v>2</v>
      </c>
      <c r="D281" s="8"/>
      <c r="N281" t="s">
        <v>27</v>
      </c>
      <c r="O281">
        <v>0</v>
      </c>
      <c r="P281" s="8">
        <v>2</v>
      </c>
      <c r="V281">
        <v>0.14000000000000001</v>
      </c>
      <c r="W281">
        <v>0</v>
      </c>
      <c r="X281" s="8">
        <v>2</v>
      </c>
    </row>
    <row r="282" spans="1:24" x14ac:dyDescent="0.3">
      <c r="A282">
        <v>1</v>
      </c>
      <c r="B282">
        <v>0</v>
      </c>
      <c r="C282" s="8">
        <v>3</v>
      </c>
      <c r="D282" s="8"/>
      <c r="N282" t="s">
        <v>27</v>
      </c>
      <c r="O282">
        <v>0</v>
      </c>
      <c r="P282" s="8">
        <v>2</v>
      </c>
      <c r="V282">
        <v>0.14000000000000001</v>
      </c>
      <c r="W282">
        <v>0</v>
      </c>
      <c r="X282" s="8">
        <v>2</v>
      </c>
    </row>
    <row r="283" spans="1:24" x14ac:dyDescent="0.3">
      <c r="A283">
        <v>1</v>
      </c>
      <c r="B283">
        <v>0</v>
      </c>
      <c r="C283" s="8">
        <v>4</v>
      </c>
      <c r="D283" s="8"/>
      <c r="N283" t="s">
        <v>27</v>
      </c>
      <c r="O283">
        <v>0</v>
      </c>
      <c r="P283" s="8">
        <v>3</v>
      </c>
      <c r="V283">
        <v>0.14000000000000001</v>
      </c>
      <c r="W283">
        <v>0</v>
      </c>
      <c r="X283" s="8">
        <v>3</v>
      </c>
    </row>
    <row r="284" spans="1:24" x14ac:dyDescent="0.3">
      <c r="A284">
        <v>1</v>
      </c>
      <c r="B284">
        <v>0</v>
      </c>
      <c r="C284" s="8">
        <v>3</v>
      </c>
      <c r="D284" s="8"/>
      <c r="N284" t="s">
        <v>27</v>
      </c>
      <c r="O284">
        <v>0</v>
      </c>
      <c r="P284" s="8">
        <v>4</v>
      </c>
      <c r="V284">
        <v>0.14000000000000001</v>
      </c>
      <c r="W284">
        <v>0</v>
      </c>
      <c r="X284" s="8">
        <v>4</v>
      </c>
    </row>
    <row r="285" spans="1:24" x14ac:dyDescent="0.3">
      <c r="A285">
        <v>1</v>
      </c>
      <c r="B285">
        <v>0</v>
      </c>
      <c r="C285" s="8">
        <v>28</v>
      </c>
      <c r="D285" s="8"/>
      <c r="N285" t="s">
        <v>27</v>
      </c>
      <c r="O285">
        <v>0</v>
      </c>
      <c r="P285" s="8">
        <v>3</v>
      </c>
      <c r="V285">
        <v>0.14000000000000001</v>
      </c>
      <c r="W285">
        <v>0</v>
      </c>
      <c r="X285" s="8">
        <v>3</v>
      </c>
    </row>
    <row r="286" spans="1:24" x14ac:dyDescent="0.3">
      <c r="A286">
        <v>1</v>
      </c>
      <c r="B286">
        <v>0</v>
      </c>
      <c r="C286" s="8">
        <v>72</v>
      </c>
      <c r="D286" s="8"/>
      <c r="N286" t="s">
        <v>27</v>
      </c>
      <c r="O286">
        <v>0</v>
      </c>
      <c r="P286" s="8">
        <v>28</v>
      </c>
      <c r="V286">
        <v>0.12</v>
      </c>
      <c r="W286">
        <v>0</v>
      </c>
      <c r="X286" s="8">
        <v>28</v>
      </c>
    </row>
    <row r="287" spans="1:24" x14ac:dyDescent="0.3">
      <c r="A287">
        <v>1</v>
      </c>
      <c r="B287">
        <v>5</v>
      </c>
      <c r="C287" s="8">
        <v>197</v>
      </c>
      <c r="D287" s="8"/>
      <c r="N287" t="s">
        <v>27</v>
      </c>
      <c r="O287">
        <v>0</v>
      </c>
      <c r="P287" s="8">
        <v>72</v>
      </c>
      <c r="V287">
        <v>0.12</v>
      </c>
      <c r="W287">
        <v>0</v>
      </c>
      <c r="X287" s="8">
        <v>72</v>
      </c>
    </row>
    <row r="288" spans="1:24" x14ac:dyDescent="0.3">
      <c r="A288">
        <v>1</v>
      </c>
      <c r="B288">
        <v>2</v>
      </c>
      <c r="C288" s="8">
        <v>137</v>
      </c>
      <c r="D288" s="8"/>
      <c r="N288" t="s">
        <v>27</v>
      </c>
      <c r="O288">
        <v>5</v>
      </c>
      <c r="P288" s="8">
        <v>197</v>
      </c>
      <c r="V288">
        <v>0.14000000000000001</v>
      </c>
      <c r="W288">
        <v>5</v>
      </c>
      <c r="X288" s="8">
        <v>197</v>
      </c>
    </row>
    <row r="289" spans="1:24" x14ac:dyDescent="0.3">
      <c r="A289">
        <v>2</v>
      </c>
      <c r="B289">
        <v>2</v>
      </c>
      <c r="C289" s="8">
        <v>36</v>
      </c>
      <c r="D289" s="8"/>
      <c r="N289" t="s">
        <v>27</v>
      </c>
      <c r="O289">
        <v>2</v>
      </c>
      <c r="P289" s="8">
        <v>137</v>
      </c>
      <c r="V289">
        <v>0.14000000000000001</v>
      </c>
      <c r="W289">
        <v>2</v>
      </c>
      <c r="X289" s="8">
        <v>137</v>
      </c>
    </row>
    <row r="290" spans="1:24" x14ac:dyDescent="0.3">
      <c r="A290">
        <v>2</v>
      </c>
      <c r="B290">
        <v>4</v>
      </c>
      <c r="C290" s="8">
        <v>33</v>
      </c>
      <c r="D290" s="8"/>
      <c r="N290" t="s">
        <v>27</v>
      </c>
      <c r="O290">
        <v>2</v>
      </c>
      <c r="P290" s="8">
        <v>36</v>
      </c>
      <c r="V290">
        <v>0.16</v>
      </c>
      <c r="W290">
        <v>2</v>
      </c>
      <c r="X290" s="8">
        <v>36</v>
      </c>
    </row>
    <row r="291" spans="1:24" x14ac:dyDescent="0.3">
      <c r="A291">
        <v>1</v>
      </c>
      <c r="B291">
        <v>3</v>
      </c>
      <c r="C291" s="8">
        <v>49</v>
      </c>
      <c r="D291" s="8"/>
      <c r="N291" t="s">
        <v>27</v>
      </c>
      <c r="O291">
        <v>4</v>
      </c>
      <c r="P291" s="8">
        <v>33</v>
      </c>
      <c r="V291">
        <v>0.2</v>
      </c>
      <c r="W291">
        <v>4</v>
      </c>
      <c r="X291" s="8">
        <v>33</v>
      </c>
    </row>
    <row r="292" spans="1:24" x14ac:dyDescent="0.3">
      <c r="A292">
        <v>1</v>
      </c>
      <c r="B292">
        <v>2</v>
      </c>
      <c r="C292" s="8">
        <v>81</v>
      </c>
      <c r="D292" s="8"/>
      <c r="N292" t="s">
        <v>27</v>
      </c>
      <c r="O292">
        <v>3</v>
      </c>
      <c r="P292" s="8">
        <v>49</v>
      </c>
      <c r="V292">
        <v>0.2</v>
      </c>
      <c r="W292">
        <v>3</v>
      </c>
      <c r="X292" s="8">
        <v>49</v>
      </c>
    </row>
    <row r="293" spans="1:24" x14ac:dyDescent="0.3">
      <c r="A293">
        <v>1</v>
      </c>
      <c r="B293">
        <v>3</v>
      </c>
      <c r="C293" s="8">
        <v>39</v>
      </c>
      <c r="D293" s="8"/>
      <c r="N293" t="s">
        <v>27</v>
      </c>
      <c r="O293">
        <v>2</v>
      </c>
      <c r="P293" s="8">
        <v>81</v>
      </c>
      <c r="V293">
        <v>0.22</v>
      </c>
      <c r="W293">
        <v>2</v>
      </c>
      <c r="X293" s="8">
        <v>81</v>
      </c>
    </row>
    <row r="294" spans="1:24" x14ac:dyDescent="0.3">
      <c r="A294">
        <v>1</v>
      </c>
      <c r="B294">
        <v>5</v>
      </c>
      <c r="C294" s="8">
        <v>55</v>
      </c>
      <c r="D294" s="8"/>
      <c r="N294" t="s">
        <v>27</v>
      </c>
      <c r="O294">
        <v>3</v>
      </c>
      <c r="P294" s="8">
        <v>39</v>
      </c>
      <c r="V294">
        <v>0.22</v>
      </c>
      <c r="W294">
        <v>3</v>
      </c>
      <c r="X294" s="8">
        <v>39</v>
      </c>
    </row>
    <row r="295" spans="1:24" x14ac:dyDescent="0.3">
      <c r="A295">
        <v>1</v>
      </c>
      <c r="B295">
        <v>2</v>
      </c>
      <c r="C295" s="8">
        <v>76</v>
      </c>
      <c r="D295" s="8"/>
      <c r="N295" t="s">
        <v>27</v>
      </c>
      <c r="O295">
        <v>5</v>
      </c>
      <c r="P295" s="8">
        <v>55</v>
      </c>
      <c r="V295">
        <v>0.24</v>
      </c>
      <c r="W295">
        <v>5</v>
      </c>
      <c r="X295" s="8">
        <v>55</v>
      </c>
    </row>
    <row r="296" spans="1:24" x14ac:dyDescent="0.3">
      <c r="A296">
        <v>1</v>
      </c>
      <c r="B296">
        <v>4</v>
      </c>
      <c r="C296" s="8">
        <v>158</v>
      </c>
      <c r="D296" s="8"/>
      <c r="N296" t="s">
        <v>27</v>
      </c>
      <c r="O296">
        <v>2</v>
      </c>
      <c r="P296" s="8">
        <v>76</v>
      </c>
      <c r="V296">
        <v>0.24</v>
      </c>
      <c r="W296">
        <v>2</v>
      </c>
      <c r="X296" s="8">
        <v>76</v>
      </c>
    </row>
    <row r="297" spans="1:24" x14ac:dyDescent="0.3">
      <c r="A297">
        <v>1</v>
      </c>
      <c r="B297">
        <v>3</v>
      </c>
      <c r="C297" s="8">
        <v>141</v>
      </c>
      <c r="D297" s="8"/>
      <c r="N297" t="s">
        <v>27</v>
      </c>
      <c r="O297">
        <v>4</v>
      </c>
      <c r="P297" s="8">
        <v>158</v>
      </c>
      <c r="V297">
        <v>0.2</v>
      </c>
      <c r="W297">
        <v>4</v>
      </c>
      <c r="X297" s="8">
        <v>158</v>
      </c>
    </row>
    <row r="298" spans="1:24" x14ac:dyDescent="0.3">
      <c r="A298">
        <v>1</v>
      </c>
      <c r="B298">
        <v>1</v>
      </c>
      <c r="C298" s="8">
        <v>98</v>
      </c>
      <c r="D298" s="8"/>
      <c r="N298" t="s">
        <v>27</v>
      </c>
      <c r="O298">
        <v>3</v>
      </c>
      <c r="P298" s="8">
        <v>141</v>
      </c>
      <c r="V298">
        <v>0.2</v>
      </c>
      <c r="W298">
        <v>3</v>
      </c>
      <c r="X298" s="8">
        <v>141</v>
      </c>
    </row>
    <row r="299" spans="1:24" x14ac:dyDescent="0.3">
      <c r="A299">
        <v>1</v>
      </c>
      <c r="B299">
        <v>0</v>
      </c>
      <c r="C299" s="8">
        <v>64</v>
      </c>
      <c r="D299" s="8"/>
      <c r="N299" t="s">
        <v>27</v>
      </c>
      <c r="O299">
        <v>1</v>
      </c>
      <c r="P299" s="8">
        <v>98</v>
      </c>
      <c r="V299">
        <v>0.16</v>
      </c>
      <c r="W299">
        <v>1</v>
      </c>
      <c r="X299" s="8">
        <v>98</v>
      </c>
    </row>
    <row r="300" spans="1:24" x14ac:dyDescent="0.3">
      <c r="A300">
        <v>1</v>
      </c>
      <c r="B300">
        <v>0</v>
      </c>
      <c r="C300" s="8">
        <v>40</v>
      </c>
      <c r="D300" s="8"/>
      <c r="N300" t="s">
        <v>27</v>
      </c>
      <c r="O300">
        <v>0</v>
      </c>
      <c r="P300" s="8">
        <v>64</v>
      </c>
      <c r="V300">
        <v>0.16</v>
      </c>
      <c r="W300">
        <v>0</v>
      </c>
      <c r="X300" s="8">
        <v>64</v>
      </c>
    </row>
    <row r="301" spans="1:24" x14ac:dyDescent="0.3">
      <c r="A301">
        <v>1</v>
      </c>
      <c r="B301">
        <v>0</v>
      </c>
      <c r="C301" s="8">
        <v>30</v>
      </c>
      <c r="D301" s="8"/>
      <c r="N301" t="s">
        <v>27</v>
      </c>
      <c r="O301">
        <v>0</v>
      </c>
      <c r="P301" s="8">
        <v>40</v>
      </c>
      <c r="V301">
        <v>0.14000000000000001</v>
      </c>
      <c r="W301">
        <v>0</v>
      </c>
      <c r="X301" s="8">
        <v>40</v>
      </c>
    </row>
    <row r="302" spans="1:24" x14ac:dyDescent="0.3">
      <c r="A302">
        <v>1</v>
      </c>
      <c r="B302">
        <v>1</v>
      </c>
      <c r="C302" s="8">
        <v>14</v>
      </c>
      <c r="D302" s="8"/>
      <c r="N302" t="s">
        <v>28</v>
      </c>
      <c r="O302">
        <v>0</v>
      </c>
      <c r="P302" s="8">
        <v>30</v>
      </c>
      <c r="V302">
        <v>0.14000000000000001</v>
      </c>
      <c r="W302">
        <v>0</v>
      </c>
      <c r="X302" s="8">
        <v>30</v>
      </c>
    </row>
    <row r="303" spans="1:24" x14ac:dyDescent="0.3">
      <c r="A303">
        <v>1</v>
      </c>
      <c r="B303">
        <v>0</v>
      </c>
      <c r="C303" s="8">
        <v>14</v>
      </c>
      <c r="D303" s="8"/>
      <c r="N303" t="s">
        <v>28</v>
      </c>
      <c r="O303">
        <v>1</v>
      </c>
      <c r="P303" s="8">
        <v>14</v>
      </c>
      <c r="V303">
        <v>0.12</v>
      </c>
      <c r="W303">
        <v>1</v>
      </c>
      <c r="X303" s="8">
        <v>14</v>
      </c>
    </row>
    <row r="304" spans="1:24" x14ac:dyDescent="0.3">
      <c r="A304">
        <v>1</v>
      </c>
      <c r="B304">
        <v>0</v>
      </c>
      <c r="C304" s="8">
        <v>5</v>
      </c>
      <c r="D304" s="8"/>
      <c r="N304" t="s">
        <v>28</v>
      </c>
      <c r="O304">
        <v>0</v>
      </c>
      <c r="P304" s="8">
        <v>14</v>
      </c>
      <c r="V304">
        <v>0.12</v>
      </c>
      <c r="W304">
        <v>0</v>
      </c>
      <c r="X304" s="8">
        <v>14</v>
      </c>
    </row>
    <row r="305" spans="1:24" x14ac:dyDescent="0.3">
      <c r="A305">
        <v>1</v>
      </c>
      <c r="B305">
        <v>0</v>
      </c>
      <c r="C305" s="8">
        <v>1</v>
      </c>
      <c r="D305" s="8"/>
      <c r="N305" t="s">
        <v>28</v>
      </c>
      <c r="O305">
        <v>0</v>
      </c>
      <c r="P305" s="8">
        <v>5</v>
      </c>
      <c r="V305">
        <v>0.1</v>
      </c>
      <c r="W305">
        <v>0</v>
      </c>
      <c r="X305" s="8">
        <v>5</v>
      </c>
    </row>
    <row r="306" spans="1:24" x14ac:dyDescent="0.3">
      <c r="A306">
        <v>1</v>
      </c>
      <c r="B306">
        <v>0</v>
      </c>
      <c r="C306" s="8">
        <v>1</v>
      </c>
      <c r="D306" s="8"/>
      <c r="N306" t="s">
        <v>28</v>
      </c>
      <c r="O306">
        <v>0</v>
      </c>
      <c r="P306" s="8">
        <v>1</v>
      </c>
      <c r="V306">
        <v>0.1</v>
      </c>
      <c r="W306">
        <v>0</v>
      </c>
      <c r="X306" s="8">
        <v>1</v>
      </c>
    </row>
    <row r="307" spans="1:24" x14ac:dyDescent="0.3">
      <c r="A307">
        <v>1</v>
      </c>
      <c r="B307">
        <v>0</v>
      </c>
      <c r="C307" s="8">
        <v>8</v>
      </c>
      <c r="D307" s="8"/>
      <c r="N307" t="s">
        <v>28</v>
      </c>
      <c r="O307">
        <v>0</v>
      </c>
      <c r="P307" s="8">
        <v>1</v>
      </c>
      <c r="V307">
        <v>0.1</v>
      </c>
      <c r="W307">
        <v>0</v>
      </c>
      <c r="X307" s="8">
        <v>1</v>
      </c>
    </row>
    <row r="308" spans="1:24" x14ac:dyDescent="0.3">
      <c r="A308">
        <v>1</v>
      </c>
      <c r="B308">
        <v>0</v>
      </c>
      <c r="C308" s="8">
        <v>17</v>
      </c>
      <c r="D308" s="8"/>
      <c r="N308" t="s">
        <v>28</v>
      </c>
      <c r="O308">
        <v>0</v>
      </c>
      <c r="P308" s="8">
        <v>8</v>
      </c>
      <c r="V308">
        <v>0.1</v>
      </c>
      <c r="W308">
        <v>0</v>
      </c>
      <c r="X308" s="8">
        <v>8</v>
      </c>
    </row>
    <row r="309" spans="1:24" x14ac:dyDescent="0.3">
      <c r="A309">
        <v>1</v>
      </c>
      <c r="B309">
        <v>0</v>
      </c>
      <c r="C309" s="8">
        <v>70</v>
      </c>
      <c r="D309" s="8"/>
      <c r="N309" t="s">
        <v>28</v>
      </c>
      <c r="O309">
        <v>0</v>
      </c>
      <c r="P309" s="8">
        <v>17</v>
      </c>
      <c r="V309">
        <v>0.1</v>
      </c>
      <c r="W309">
        <v>0</v>
      </c>
      <c r="X309" s="8">
        <v>17</v>
      </c>
    </row>
    <row r="310" spans="1:24" x14ac:dyDescent="0.3">
      <c r="A310">
        <v>1</v>
      </c>
      <c r="B310">
        <v>2</v>
      </c>
      <c r="C310" s="8">
        <v>156</v>
      </c>
      <c r="D310" s="8"/>
      <c r="N310" t="s">
        <v>28</v>
      </c>
      <c r="O310">
        <v>0</v>
      </c>
      <c r="P310" s="8">
        <v>70</v>
      </c>
      <c r="V310">
        <v>0.1</v>
      </c>
      <c r="W310">
        <v>0</v>
      </c>
      <c r="X310" s="8">
        <v>70</v>
      </c>
    </row>
    <row r="311" spans="1:24" x14ac:dyDescent="0.3">
      <c r="A311">
        <v>1</v>
      </c>
      <c r="B311">
        <v>0</v>
      </c>
      <c r="C311" s="8">
        <v>117</v>
      </c>
      <c r="D311" s="8"/>
      <c r="N311" t="s">
        <v>28</v>
      </c>
      <c r="O311">
        <v>2</v>
      </c>
      <c r="P311" s="8">
        <v>156</v>
      </c>
      <c r="V311">
        <v>0.12</v>
      </c>
      <c r="W311">
        <v>2</v>
      </c>
      <c r="X311" s="8">
        <v>156</v>
      </c>
    </row>
    <row r="312" spans="1:24" x14ac:dyDescent="0.3">
      <c r="A312">
        <v>1</v>
      </c>
      <c r="B312">
        <v>4</v>
      </c>
      <c r="C312" s="8">
        <v>40</v>
      </c>
      <c r="D312" s="8"/>
      <c r="N312" t="s">
        <v>28</v>
      </c>
      <c r="O312">
        <v>0</v>
      </c>
      <c r="P312" s="8">
        <v>117</v>
      </c>
      <c r="V312">
        <v>0.14000000000000001</v>
      </c>
      <c r="W312">
        <v>0</v>
      </c>
      <c r="X312" s="8">
        <v>117</v>
      </c>
    </row>
    <row r="313" spans="1:24" x14ac:dyDescent="0.3">
      <c r="A313">
        <v>1</v>
      </c>
      <c r="B313">
        <v>6</v>
      </c>
      <c r="C313" s="8">
        <v>47</v>
      </c>
      <c r="D313" s="8"/>
      <c r="N313" t="s">
        <v>28</v>
      </c>
      <c r="O313">
        <v>4</v>
      </c>
      <c r="P313" s="8">
        <v>40</v>
      </c>
      <c r="V313">
        <v>0.18</v>
      </c>
      <c r="W313">
        <v>4</v>
      </c>
      <c r="X313" s="8">
        <v>40</v>
      </c>
    </row>
    <row r="314" spans="1:24" x14ac:dyDescent="0.3">
      <c r="A314">
        <v>1</v>
      </c>
      <c r="B314">
        <v>2</v>
      </c>
      <c r="C314" s="8">
        <v>59</v>
      </c>
      <c r="D314" s="8"/>
      <c r="N314" t="s">
        <v>28</v>
      </c>
      <c r="O314">
        <v>6</v>
      </c>
      <c r="P314" s="8">
        <v>47</v>
      </c>
      <c r="V314">
        <v>0.18</v>
      </c>
      <c r="W314">
        <v>6</v>
      </c>
      <c r="X314" s="8">
        <v>47</v>
      </c>
    </row>
    <row r="315" spans="1:24" x14ac:dyDescent="0.3">
      <c r="A315">
        <v>1</v>
      </c>
      <c r="B315">
        <v>4</v>
      </c>
      <c r="C315" s="8">
        <v>73</v>
      </c>
      <c r="D315" s="8"/>
      <c r="N315" t="s">
        <v>28</v>
      </c>
      <c r="O315">
        <v>2</v>
      </c>
      <c r="P315" s="8">
        <v>59</v>
      </c>
      <c r="V315">
        <v>0.2</v>
      </c>
      <c r="W315">
        <v>2</v>
      </c>
      <c r="X315" s="8">
        <v>59</v>
      </c>
    </row>
    <row r="316" spans="1:24" x14ac:dyDescent="0.3">
      <c r="A316">
        <v>1</v>
      </c>
      <c r="B316">
        <v>5</v>
      </c>
      <c r="C316" s="8">
        <v>59</v>
      </c>
      <c r="D316" s="8"/>
      <c r="N316" t="s">
        <v>28</v>
      </c>
      <c r="O316">
        <v>4</v>
      </c>
      <c r="P316" s="8">
        <v>73</v>
      </c>
      <c r="V316">
        <v>0.22</v>
      </c>
      <c r="W316">
        <v>4</v>
      </c>
      <c r="X316" s="8">
        <v>73</v>
      </c>
    </row>
    <row r="317" spans="1:24" x14ac:dyDescent="0.3">
      <c r="A317">
        <v>1</v>
      </c>
      <c r="B317">
        <v>9</v>
      </c>
      <c r="C317" s="8">
        <v>59</v>
      </c>
      <c r="D317" s="8"/>
      <c r="N317" t="s">
        <v>28</v>
      </c>
      <c r="O317">
        <v>5</v>
      </c>
      <c r="P317" s="8">
        <v>59</v>
      </c>
      <c r="V317">
        <v>0.22</v>
      </c>
      <c r="W317">
        <v>5</v>
      </c>
      <c r="X317" s="8">
        <v>59</v>
      </c>
    </row>
    <row r="318" spans="1:24" x14ac:dyDescent="0.3">
      <c r="A318">
        <v>1</v>
      </c>
      <c r="B318">
        <v>3</v>
      </c>
      <c r="C318" s="8">
        <v>87</v>
      </c>
      <c r="D318" s="8"/>
      <c r="N318" t="s">
        <v>28</v>
      </c>
      <c r="O318">
        <v>9</v>
      </c>
      <c r="P318" s="8">
        <v>59</v>
      </c>
      <c r="V318">
        <v>0.24</v>
      </c>
      <c r="W318">
        <v>9</v>
      </c>
      <c r="X318" s="8">
        <v>59</v>
      </c>
    </row>
    <row r="319" spans="1:24" x14ac:dyDescent="0.3">
      <c r="A319">
        <v>1</v>
      </c>
      <c r="B319">
        <v>4</v>
      </c>
      <c r="C319" s="8">
        <v>155</v>
      </c>
      <c r="D319" s="8"/>
      <c r="N319" t="s">
        <v>28</v>
      </c>
      <c r="O319">
        <v>3</v>
      </c>
      <c r="P319" s="8">
        <v>87</v>
      </c>
      <c r="V319">
        <v>0.22</v>
      </c>
      <c r="W319">
        <v>3</v>
      </c>
      <c r="X319" s="8">
        <v>87</v>
      </c>
    </row>
    <row r="320" spans="1:24" x14ac:dyDescent="0.3">
      <c r="A320">
        <v>1</v>
      </c>
      <c r="B320">
        <v>5</v>
      </c>
      <c r="C320" s="8">
        <v>134</v>
      </c>
      <c r="D320" s="8"/>
      <c r="N320" t="s">
        <v>28</v>
      </c>
      <c r="O320">
        <v>4</v>
      </c>
      <c r="P320" s="8">
        <v>155</v>
      </c>
      <c r="V320">
        <v>0.22</v>
      </c>
      <c r="W320">
        <v>4</v>
      </c>
      <c r="X320" s="8">
        <v>155</v>
      </c>
    </row>
    <row r="321" spans="1:24" x14ac:dyDescent="0.3">
      <c r="A321">
        <v>1</v>
      </c>
      <c r="B321">
        <v>3</v>
      </c>
      <c r="C321" s="8">
        <v>89</v>
      </c>
      <c r="D321" s="8"/>
      <c r="N321" t="s">
        <v>28</v>
      </c>
      <c r="O321">
        <v>5</v>
      </c>
      <c r="P321" s="8">
        <v>134</v>
      </c>
      <c r="V321">
        <v>0.2</v>
      </c>
      <c r="W321">
        <v>5</v>
      </c>
      <c r="X321" s="8">
        <v>134</v>
      </c>
    </row>
    <row r="322" spans="1:24" x14ac:dyDescent="0.3">
      <c r="A322">
        <v>1</v>
      </c>
      <c r="B322">
        <v>0</v>
      </c>
      <c r="C322" s="8">
        <v>68</v>
      </c>
      <c r="D322" s="8"/>
      <c r="N322" t="s">
        <v>28</v>
      </c>
      <c r="O322">
        <v>3</v>
      </c>
      <c r="P322" s="8">
        <v>89</v>
      </c>
      <c r="V322">
        <v>0.16</v>
      </c>
      <c r="W322">
        <v>3</v>
      </c>
      <c r="X322" s="8">
        <v>89</v>
      </c>
    </row>
    <row r="323" spans="1:24" x14ac:dyDescent="0.3">
      <c r="A323">
        <v>1</v>
      </c>
      <c r="B323">
        <v>4</v>
      </c>
      <c r="C323" s="8">
        <v>48</v>
      </c>
      <c r="D323" s="8"/>
      <c r="N323" t="s">
        <v>28</v>
      </c>
      <c r="O323">
        <v>0</v>
      </c>
      <c r="P323" s="8">
        <v>68</v>
      </c>
      <c r="V323">
        <v>0.18</v>
      </c>
      <c r="W323">
        <v>0</v>
      </c>
      <c r="X323" s="8">
        <v>68</v>
      </c>
    </row>
    <row r="324" spans="1:24" x14ac:dyDescent="0.3">
      <c r="A324">
        <v>2</v>
      </c>
      <c r="B324">
        <v>2</v>
      </c>
      <c r="C324" s="8">
        <v>34</v>
      </c>
      <c r="D324" s="8"/>
      <c r="N324" t="s">
        <v>28</v>
      </c>
      <c r="O324">
        <v>4</v>
      </c>
      <c r="P324" s="8">
        <v>48</v>
      </c>
      <c r="V324">
        <v>0.16</v>
      </c>
      <c r="W324">
        <v>4</v>
      </c>
      <c r="X324" s="8">
        <v>48</v>
      </c>
    </row>
    <row r="325" spans="1:24" x14ac:dyDescent="0.3">
      <c r="A325">
        <v>2</v>
      </c>
      <c r="B325">
        <v>1</v>
      </c>
      <c r="C325" s="8">
        <v>26</v>
      </c>
      <c r="D325" s="8"/>
      <c r="N325" t="s">
        <v>19</v>
      </c>
      <c r="O325">
        <v>2</v>
      </c>
      <c r="P325" s="8">
        <v>34</v>
      </c>
      <c r="V325">
        <v>0.16</v>
      </c>
      <c r="W325">
        <v>2</v>
      </c>
      <c r="X325" s="8">
        <v>34</v>
      </c>
    </row>
    <row r="326" spans="1:24" x14ac:dyDescent="0.3">
      <c r="A326">
        <v>1</v>
      </c>
      <c r="B326">
        <v>3</v>
      </c>
      <c r="C326" s="8">
        <v>25</v>
      </c>
      <c r="D326" s="8"/>
      <c r="N326" t="s">
        <v>19</v>
      </c>
      <c r="O326">
        <v>1</v>
      </c>
      <c r="P326" s="8">
        <v>26</v>
      </c>
      <c r="V326">
        <v>0.18</v>
      </c>
      <c r="W326">
        <v>1</v>
      </c>
      <c r="X326" s="8">
        <v>26</v>
      </c>
    </row>
    <row r="327" spans="1:24" x14ac:dyDescent="0.3">
      <c r="A327">
        <v>2</v>
      </c>
      <c r="B327">
        <v>2</v>
      </c>
      <c r="C327" s="8">
        <v>18</v>
      </c>
      <c r="D327" s="8"/>
      <c r="N327" t="s">
        <v>19</v>
      </c>
      <c r="O327">
        <v>3</v>
      </c>
      <c r="P327" s="8">
        <v>25</v>
      </c>
      <c r="V327">
        <v>0.18</v>
      </c>
      <c r="W327">
        <v>3</v>
      </c>
      <c r="X327" s="8">
        <v>25</v>
      </c>
    </row>
    <row r="328" spans="1:24" x14ac:dyDescent="0.3">
      <c r="A328">
        <v>2</v>
      </c>
      <c r="B328">
        <v>0</v>
      </c>
      <c r="C328" s="8">
        <v>12</v>
      </c>
      <c r="D328" s="8"/>
      <c r="N328" t="s">
        <v>19</v>
      </c>
      <c r="O328">
        <v>2</v>
      </c>
      <c r="P328" s="8">
        <v>18</v>
      </c>
      <c r="V328">
        <v>0.16</v>
      </c>
      <c r="W328">
        <v>2</v>
      </c>
      <c r="X328" s="8">
        <v>18</v>
      </c>
    </row>
    <row r="329" spans="1:24" x14ac:dyDescent="0.3">
      <c r="A329">
        <v>2</v>
      </c>
      <c r="B329">
        <v>1</v>
      </c>
      <c r="C329" s="8">
        <v>7</v>
      </c>
      <c r="D329" s="8"/>
      <c r="N329" t="s">
        <v>19</v>
      </c>
      <c r="O329">
        <v>0</v>
      </c>
      <c r="P329" s="8">
        <v>12</v>
      </c>
      <c r="V329">
        <v>0.16</v>
      </c>
      <c r="W329">
        <v>0</v>
      </c>
      <c r="X329" s="8">
        <v>12</v>
      </c>
    </row>
    <row r="330" spans="1:24" x14ac:dyDescent="0.3">
      <c r="A330">
        <v>2</v>
      </c>
      <c r="B330">
        <v>0</v>
      </c>
      <c r="C330" s="8">
        <v>5</v>
      </c>
      <c r="D330" s="8"/>
      <c r="N330" t="s">
        <v>19</v>
      </c>
      <c r="O330">
        <v>1</v>
      </c>
      <c r="P330" s="8">
        <v>7</v>
      </c>
      <c r="V330">
        <v>0.16</v>
      </c>
      <c r="W330">
        <v>1</v>
      </c>
      <c r="X330" s="8">
        <v>7</v>
      </c>
    </row>
    <row r="331" spans="1:24" x14ac:dyDescent="0.3">
      <c r="A331">
        <v>1</v>
      </c>
      <c r="B331">
        <v>0</v>
      </c>
      <c r="C331" s="8">
        <v>1</v>
      </c>
      <c r="D331" s="8"/>
      <c r="N331" t="s">
        <v>19</v>
      </c>
      <c r="O331">
        <v>0</v>
      </c>
      <c r="P331" s="8">
        <v>5</v>
      </c>
      <c r="V331">
        <v>0.16</v>
      </c>
      <c r="W331">
        <v>0</v>
      </c>
      <c r="X331" s="8">
        <v>5</v>
      </c>
    </row>
    <row r="332" spans="1:24" x14ac:dyDescent="0.3">
      <c r="A332">
        <v>1</v>
      </c>
      <c r="B332">
        <v>1</v>
      </c>
      <c r="C332" s="8">
        <v>2</v>
      </c>
      <c r="D332" s="8"/>
      <c r="N332" t="s">
        <v>19</v>
      </c>
      <c r="O332">
        <v>0</v>
      </c>
      <c r="P332" s="8">
        <v>1</v>
      </c>
      <c r="V332">
        <v>0.16</v>
      </c>
      <c r="W332">
        <v>0</v>
      </c>
      <c r="X332" s="8">
        <v>1</v>
      </c>
    </row>
    <row r="333" spans="1:24" x14ac:dyDescent="0.3">
      <c r="A333">
        <v>1</v>
      </c>
      <c r="B333">
        <v>1</v>
      </c>
      <c r="C333" s="8">
        <v>9</v>
      </c>
      <c r="D333" s="8"/>
      <c r="N333" t="s">
        <v>19</v>
      </c>
      <c r="O333">
        <v>1</v>
      </c>
      <c r="P333" s="8">
        <v>2</v>
      </c>
      <c r="V333">
        <v>0.14000000000000001</v>
      </c>
      <c r="W333">
        <v>1</v>
      </c>
      <c r="X333" s="8">
        <v>2</v>
      </c>
    </row>
    <row r="334" spans="1:24" x14ac:dyDescent="0.3">
      <c r="A334">
        <v>1</v>
      </c>
      <c r="B334">
        <v>1</v>
      </c>
      <c r="C334" s="8">
        <v>22</v>
      </c>
      <c r="D334" s="8"/>
      <c r="N334" t="s">
        <v>19</v>
      </c>
      <c r="O334">
        <v>1</v>
      </c>
      <c r="P334" s="8">
        <v>9</v>
      </c>
      <c r="V334">
        <v>0.14000000000000001</v>
      </c>
      <c r="W334">
        <v>1</v>
      </c>
      <c r="X334" s="8">
        <v>9</v>
      </c>
    </row>
    <row r="335" spans="1:24" x14ac:dyDescent="0.3">
      <c r="A335">
        <v>1</v>
      </c>
      <c r="B335">
        <v>2</v>
      </c>
      <c r="C335" s="8">
        <v>31</v>
      </c>
      <c r="D335" s="8"/>
      <c r="N335" t="s">
        <v>19</v>
      </c>
      <c r="O335">
        <v>1</v>
      </c>
      <c r="P335" s="8">
        <v>22</v>
      </c>
      <c r="V335">
        <v>0.14000000000000001</v>
      </c>
      <c r="W335">
        <v>1</v>
      </c>
      <c r="X335" s="8">
        <v>22</v>
      </c>
    </row>
    <row r="336" spans="1:24" x14ac:dyDescent="0.3">
      <c r="A336">
        <v>1</v>
      </c>
      <c r="B336">
        <v>2</v>
      </c>
      <c r="C336" s="8">
        <v>57</v>
      </c>
      <c r="D336" s="8"/>
      <c r="N336" t="s">
        <v>19</v>
      </c>
      <c r="O336">
        <v>2</v>
      </c>
      <c r="P336" s="8">
        <v>31</v>
      </c>
      <c r="V336">
        <v>0.16</v>
      </c>
      <c r="W336">
        <v>2</v>
      </c>
      <c r="X336" s="8">
        <v>31</v>
      </c>
    </row>
    <row r="337" spans="1:24" x14ac:dyDescent="0.3">
      <c r="A337">
        <v>1</v>
      </c>
      <c r="B337">
        <v>18</v>
      </c>
      <c r="C337" s="8">
        <v>54</v>
      </c>
      <c r="D337" s="8"/>
      <c r="N337" t="s">
        <v>19</v>
      </c>
      <c r="O337">
        <v>2</v>
      </c>
      <c r="P337" s="8">
        <v>57</v>
      </c>
      <c r="V337">
        <v>0.18</v>
      </c>
      <c r="W337">
        <v>2</v>
      </c>
      <c r="X337" s="8">
        <v>57</v>
      </c>
    </row>
    <row r="338" spans="1:24" x14ac:dyDescent="0.3">
      <c r="A338">
        <v>1</v>
      </c>
      <c r="B338">
        <v>15</v>
      </c>
      <c r="C338" s="8">
        <v>74</v>
      </c>
      <c r="D338" s="8"/>
      <c r="N338" t="s">
        <v>19</v>
      </c>
      <c r="O338">
        <v>18</v>
      </c>
      <c r="P338" s="8">
        <v>54</v>
      </c>
      <c r="V338">
        <v>0.2</v>
      </c>
      <c r="W338">
        <v>18</v>
      </c>
      <c r="X338" s="8">
        <v>54</v>
      </c>
    </row>
    <row r="339" spans="1:24" x14ac:dyDescent="0.3">
      <c r="A339">
        <v>1</v>
      </c>
      <c r="B339">
        <v>21</v>
      </c>
      <c r="C339" s="8">
        <v>80</v>
      </c>
      <c r="D339" s="8"/>
      <c r="N339" t="s">
        <v>19</v>
      </c>
      <c r="O339">
        <v>15</v>
      </c>
      <c r="P339" s="8">
        <v>74</v>
      </c>
      <c r="V339">
        <v>0.24</v>
      </c>
      <c r="W339">
        <v>15</v>
      </c>
      <c r="X339" s="8">
        <v>74</v>
      </c>
    </row>
    <row r="340" spans="1:24" x14ac:dyDescent="0.3">
      <c r="A340">
        <v>1</v>
      </c>
      <c r="B340">
        <v>26</v>
      </c>
      <c r="C340" s="8">
        <v>92</v>
      </c>
      <c r="D340" s="8"/>
      <c r="N340" t="s">
        <v>19</v>
      </c>
      <c r="O340">
        <v>21</v>
      </c>
      <c r="P340" s="8">
        <v>80</v>
      </c>
      <c r="V340">
        <v>0.28000000000000003</v>
      </c>
      <c r="W340">
        <v>21</v>
      </c>
      <c r="X340" s="8">
        <v>80</v>
      </c>
    </row>
    <row r="341" spans="1:24" x14ac:dyDescent="0.3">
      <c r="A341">
        <v>2</v>
      </c>
      <c r="B341">
        <v>21</v>
      </c>
      <c r="C341" s="8">
        <v>108</v>
      </c>
      <c r="D341" s="8"/>
      <c r="N341" t="s">
        <v>19</v>
      </c>
      <c r="O341">
        <v>26</v>
      </c>
      <c r="P341" s="8">
        <v>92</v>
      </c>
      <c r="V341">
        <v>0.3</v>
      </c>
      <c r="W341">
        <v>26</v>
      </c>
      <c r="X341" s="8">
        <v>92</v>
      </c>
    </row>
    <row r="342" spans="1:24" x14ac:dyDescent="0.3">
      <c r="A342">
        <v>2</v>
      </c>
      <c r="B342">
        <v>33</v>
      </c>
      <c r="C342" s="8">
        <v>95</v>
      </c>
      <c r="D342" s="8"/>
      <c r="N342" t="s">
        <v>19</v>
      </c>
      <c r="O342">
        <v>21</v>
      </c>
      <c r="P342" s="8">
        <v>108</v>
      </c>
      <c r="V342">
        <v>0.32</v>
      </c>
      <c r="W342">
        <v>21</v>
      </c>
      <c r="X342" s="8">
        <v>108</v>
      </c>
    </row>
    <row r="343" spans="1:24" x14ac:dyDescent="0.3">
      <c r="A343">
        <v>2</v>
      </c>
      <c r="B343">
        <v>29</v>
      </c>
      <c r="C343" s="8">
        <v>54</v>
      </c>
      <c r="D343" s="8"/>
      <c r="N343" t="s">
        <v>19</v>
      </c>
      <c r="O343">
        <v>33</v>
      </c>
      <c r="P343" s="8">
        <v>95</v>
      </c>
      <c r="V343">
        <v>0.34</v>
      </c>
      <c r="W343">
        <v>33</v>
      </c>
      <c r="X343" s="8">
        <v>95</v>
      </c>
    </row>
    <row r="344" spans="1:24" x14ac:dyDescent="0.3">
      <c r="A344">
        <v>2</v>
      </c>
      <c r="B344">
        <v>15</v>
      </c>
      <c r="C344" s="8">
        <v>69</v>
      </c>
      <c r="D344" s="8"/>
      <c r="N344" t="s">
        <v>19</v>
      </c>
      <c r="O344">
        <v>29</v>
      </c>
      <c r="P344" s="8">
        <v>54</v>
      </c>
      <c r="V344">
        <v>0.32</v>
      </c>
      <c r="W344">
        <v>29</v>
      </c>
      <c r="X344" s="8">
        <v>54</v>
      </c>
    </row>
    <row r="345" spans="1:24" x14ac:dyDescent="0.3">
      <c r="A345">
        <v>2</v>
      </c>
      <c r="B345">
        <v>14</v>
      </c>
      <c r="C345" s="8">
        <v>60</v>
      </c>
      <c r="D345" s="8"/>
      <c r="N345" t="s">
        <v>19</v>
      </c>
      <c r="O345">
        <v>15</v>
      </c>
      <c r="P345" s="8">
        <v>69</v>
      </c>
      <c r="V345">
        <v>0.3</v>
      </c>
      <c r="W345">
        <v>15</v>
      </c>
      <c r="X345" s="8">
        <v>69</v>
      </c>
    </row>
    <row r="346" spans="1:24" x14ac:dyDescent="0.3">
      <c r="A346">
        <v>2</v>
      </c>
      <c r="B346">
        <v>6</v>
      </c>
      <c r="C346" s="8">
        <v>35</v>
      </c>
      <c r="D346" s="8"/>
      <c r="N346" t="s">
        <v>19</v>
      </c>
      <c r="O346">
        <v>14</v>
      </c>
      <c r="P346" s="8">
        <v>60</v>
      </c>
      <c r="V346">
        <v>0.32</v>
      </c>
      <c r="W346">
        <v>14</v>
      </c>
      <c r="X346" s="8">
        <v>60</v>
      </c>
    </row>
    <row r="347" spans="1:24" x14ac:dyDescent="0.3">
      <c r="A347">
        <v>2</v>
      </c>
      <c r="B347">
        <v>6</v>
      </c>
      <c r="C347" s="8">
        <v>51</v>
      </c>
      <c r="D347" s="8"/>
      <c r="N347" t="s">
        <v>19</v>
      </c>
      <c r="O347">
        <v>6</v>
      </c>
      <c r="P347" s="8">
        <v>35</v>
      </c>
      <c r="V347">
        <v>0.32</v>
      </c>
      <c r="W347">
        <v>6</v>
      </c>
      <c r="X347" s="8">
        <v>35</v>
      </c>
    </row>
    <row r="348" spans="1:24" x14ac:dyDescent="0.3">
      <c r="A348">
        <v>2</v>
      </c>
      <c r="B348">
        <v>0</v>
      </c>
      <c r="C348" s="8">
        <v>26</v>
      </c>
      <c r="D348" s="8"/>
      <c r="N348" t="s">
        <v>19</v>
      </c>
      <c r="O348">
        <v>6</v>
      </c>
      <c r="P348" s="8">
        <v>51</v>
      </c>
      <c r="V348">
        <v>0.32</v>
      </c>
      <c r="W348">
        <v>6</v>
      </c>
      <c r="X348" s="8">
        <v>51</v>
      </c>
    </row>
    <row r="349" spans="1:24" x14ac:dyDescent="0.3">
      <c r="A349">
        <v>1</v>
      </c>
      <c r="B349">
        <v>5</v>
      </c>
      <c r="C349" s="8">
        <v>39</v>
      </c>
      <c r="D349" s="8"/>
      <c r="N349" t="s">
        <v>23</v>
      </c>
      <c r="O349">
        <v>0</v>
      </c>
      <c r="P349" s="8">
        <v>26</v>
      </c>
      <c r="V349">
        <v>0.3</v>
      </c>
      <c r="W349">
        <v>0</v>
      </c>
      <c r="X349" s="8">
        <v>26</v>
      </c>
    </row>
    <row r="350" spans="1:24" x14ac:dyDescent="0.3">
      <c r="A350">
        <v>1</v>
      </c>
      <c r="B350">
        <v>6</v>
      </c>
      <c r="C350" s="8">
        <v>33</v>
      </c>
      <c r="D350" s="8"/>
      <c r="N350" t="s">
        <v>23</v>
      </c>
      <c r="O350">
        <v>5</v>
      </c>
      <c r="P350" s="8">
        <v>39</v>
      </c>
      <c r="V350">
        <v>0.3</v>
      </c>
      <c r="W350">
        <v>5</v>
      </c>
      <c r="X350" s="8">
        <v>39</v>
      </c>
    </row>
    <row r="351" spans="1:24" x14ac:dyDescent="0.3">
      <c r="A351">
        <v>1</v>
      </c>
      <c r="B351">
        <v>4</v>
      </c>
      <c r="C351" s="8">
        <v>19</v>
      </c>
      <c r="D351" s="8"/>
      <c r="N351" t="s">
        <v>23</v>
      </c>
      <c r="O351">
        <v>6</v>
      </c>
      <c r="P351" s="8">
        <v>33</v>
      </c>
      <c r="V351">
        <v>0.26</v>
      </c>
      <c r="W351">
        <v>6</v>
      </c>
      <c r="X351" s="8">
        <v>33</v>
      </c>
    </row>
    <row r="352" spans="1:24" x14ac:dyDescent="0.3">
      <c r="A352">
        <v>1</v>
      </c>
      <c r="B352">
        <v>3</v>
      </c>
      <c r="C352" s="8">
        <v>13</v>
      </c>
      <c r="D352" s="8"/>
      <c r="N352" t="s">
        <v>23</v>
      </c>
      <c r="O352">
        <v>4</v>
      </c>
      <c r="P352" s="8">
        <v>19</v>
      </c>
      <c r="V352">
        <v>0.26</v>
      </c>
      <c r="W352">
        <v>4</v>
      </c>
      <c r="X352" s="8">
        <v>19</v>
      </c>
    </row>
    <row r="353" spans="1:24" x14ac:dyDescent="0.3">
      <c r="A353">
        <v>1</v>
      </c>
      <c r="B353">
        <v>9</v>
      </c>
      <c r="C353" s="8">
        <v>6</v>
      </c>
      <c r="D353" s="8"/>
      <c r="N353" t="s">
        <v>23</v>
      </c>
      <c r="O353">
        <v>3</v>
      </c>
      <c r="P353" s="8">
        <v>13</v>
      </c>
      <c r="V353">
        <v>0.26</v>
      </c>
      <c r="W353">
        <v>3</v>
      </c>
      <c r="X353" s="8">
        <v>13</v>
      </c>
    </row>
    <row r="354" spans="1:24" x14ac:dyDescent="0.3">
      <c r="A354">
        <v>1</v>
      </c>
      <c r="B354">
        <v>0</v>
      </c>
      <c r="C354" s="8">
        <v>1</v>
      </c>
      <c r="D354" s="8"/>
      <c r="N354" t="s">
        <v>23</v>
      </c>
      <c r="O354">
        <v>9</v>
      </c>
      <c r="P354" s="8">
        <v>6</v>
      </c>
      <c r="V354">
        <v>0.22</v>
      </c>
      <c r="W354">
        <v>9</v>
      </c>
      <c r="X354" s="8">
        <v>6</v>
      </c>
    </row>
    <row r="355" spans="1:24" x14ac:dyDescent="0.3">
      <c r="A355">
        <v>2</v>
      </c>
      <c r="B355">
        <v>1</v>
      </c>
      <c r="C355" s="8">
        <v>1</v>
      </c>
      <c r="D355" s="8"/>
      <c r="N355" t="s">
        <v>23</v>
      </c>
      <c r="O355">
        <v>0</v>
      </c>
      <c r="P355" s="8">
        <v>1</v>
      </c>
      <c r="V355">
        <v>0.26</v>
      </c>
      <c r="W355">
        <v>0</v>
      </c>
      <c r="X355" s="8">
        <v>1</v>
      </c>
    </row>
    <row r="356" spans="1:24" x14ac:dyDescent="0.3">
      <c r="A356">
        <v>2</v>
      </c>
      <c r="B356">
        <v>0</v>
      </c>
      <c r="C356" s="8">
        <v>1</v>
      </c>
      <c r="D356" s="8"/>
      <c r="N356" t="s">
        <v>23</v>
      </c>
      <c r="O356">
        <v>1</v>
      </c>
      <c r="P356" s="8">
        <v>1</v>
      </c>
      <c r="V356">
        <v>0.26</v>
      </c>
      <c r="W356">
        <v>1</v>
      </c>
      <c r="X356" s="8">
        <v>1</v>
      </c>
    </row>
    <row r="357" spans="1:24" x14ac:dyDescent="0.3">
      <c r="A357">
        <v>2</v>
      </c>
      <c r="B357">
        <v>0</v>
      </c>
      <c r="C357" s="8">
        <v>3</v>
      </c>
      <c r="D357" s="8"/>
      <c r="N357" t="s">
        <v>23</v>
      </c>
      <c r="O357">
        <v>0</v>
      </c>
      <c r="P357" s="8">
        <v>1</v>
      </c>
      <c r="V357">
        <v>0.26</v>
      </c>
      <c r="W357">
        <v>0</v>
      </c>
      <c r="X357" s="8">
        <v>1</v>
      </c>
    </row>
    <row r="358" spans="1:24" x14ac:dyDescent="0.3">
      <c r="A358">
        <v>1</v>
      </c>
      <c r="B358">
        <v>0</v>
      </c>
      <c r="C358" s="8">
        <v>18</v>
      </c>
      <c r="D358" s="8"/>
      <c r="N358" t="s">
        <v>23</v>
      </c>
      <c r="O358">
        <v>0</v>
      </c>
      <c r="P358" s="8">
        <v>3</v>
      </c>
      <c r="V358">
        <v>0.24</v>
      </c>
      <c r="W358">
        <v>0</v>
      </c>
      <c r="X358" s="8">
        <v>3</v>
      </c>
    </row>
    <row r="359" spans="1:24" x14ac:dyDescent="0.3">
      <c r="A359">
        <v>1</v>
      </c>
      <c r="B359">
        <v>3</v>
      </c>
      <c r="C359" s="8">
        <v>29</v>
      </c>
      <c r="D359" s="8"/>
      <c r="N359" t="s">
        <v>23</v>
      </c>
      <c r="O359">
        <v>0</v>
      </c>
      <c r="P359" s="8">
        <v>18</v>
      </c>
      <c r="V359">
        <v>0.22</v>
      </c>
      <c r="W359">
        <v>0</v>
      </c>
      <c r="X359" s="8">
        <v>18</v>
      </c>
    </row>
    <row r="360" spans="1:24" x14ac:dyDescent="0.3">
      <c r="A360">
        <v>1</v>
      </c>
      <c r="B360">
        <v>8</v>
      </c>
      <c r="C360" s="8">
        <v>71</v>
      </c>
      <c r="D360" s="8"/>
      <c r="N360" t="s">
        <v>23</v>
      </c>
      <c r="O360">
        <v>3</v>
      </c>
      <c r="P360" s="8">
        <v>29</v>
      </c>
      <c r="V360">
        <v>0.22</v>
      </c>
      <c r="W360">
        <v>3</v>
      </c>
      <c r="X360" s="8">
        <v>29</v>
      </c>
    </row>
    <row r="361" spans="1:24" x14ac:dyDescent="0.3">
      <c r="A361">
        <v>1</v>
      </c>
      <c r="B361">
        <v>23</v>
      </c>
      <c r="C361" s="8">
        <v>70</v>
      </c>
      <c r="D361" s="8"/>
      <c r="N361" t="s">
        <v>23</v>
      </c>
      <c r="O361">
        <v>8</v>
      </c>
      <c r="P361" s="8">
        <v>71</v>
      </c>
      <c r="V361">
        <v>0.22</v>
      </c>
      <c r="W361">
        <v>8</v>
      </c>
      <c r="X361" s="8">
        <v>71</v>
      </c>
    </row>
    <row r="362" spans="1:24" x14ac:dyDescent="0.3">
      <c r="A362">
        <v>1</v>
      </c>
      <c r="B362">
        <v>29</v>
      </c>
      <c r="C362" s="8">
        <v>75</v>
      </c>
      <c r="D362" s="8"/>
      <c r="N362" t="s">
        <v>23</v>
      </c>
      <c r="O362">
        <v>23</v>
      </c>
      <c r="P362" s="8">
        <v>70</v>
      </c>
      <c r="V362">
        <v>0.24</v>
      </c>
      <c r="W362">
        <v>23</v>
      </c>
      <c r="X362" s="8">
        <v>70</v>
      </c>
    </row>
    <row r="363" spans="1:24" x14ac:dyDescent="0.3">
      <c r="A363">
        <v>1</v>
      </c>
      <c r="B363">
        <v>23</v>
      </c>
      <c r="C363" s="8">
        <v>95</v>
      </c>
      <c r="D363" s="8"/>
      <c r="N363" t="s">
        <v>23</v>
      </c>
      <c r="O363">
        <v>29</v>
      </c>
      <c r="P363" s="8">
        <v>75</v>
      </c>
      <c r="V363">
        <v>0.24</v>
      </c>
      <c r="W363">
        <v>29</v>
      </c>
      <c r="X363" s="8">
        <v>75</v>
      </c>
    </row>
    <row r="364" spans="1:24" x14ac:dyDescent="0.3">
      <c r="A364">
        <v>1</v>
      </c>
      <c r="B364">
        <v>22</v>
      </c>
      <c r="C364" s="8">
        <v>69</v>
      </c>
      <c r="D364" s="8"/>
      <c r="N364" t="s">
        <v>23</v>
      </c>
      <c r="O364">
        <v>23</v>
      </c>
      <c r="P364" s="8">
        <v>95</v>
      </c>
      <c r="V364">
        <v>0.26</v>
      </c>
      <c r="W364">
        <v>23</v>
      </c>
      <c r="X364" s="8">
        <v>95</v>
      </c>
    </row>
    <row r="365" spans="1:24" x14ac:dyDescent="0.3">
      <c r="A365">
        <v>1</v>
      </c>
      <c r="B365">
        <v>35</v>
      </c>
      <c r="C365" s="8">
        <v>78</v>
      </c>
      <c r="D365" s="8"/>
      <c r="N365" t="s">
        <v>23</v>
      </c>
      <c r="O365">
        <v>22</v>
      </c>
      <c r="P365" s="8">
        <v>69</v>
      </c>
      <c r="V365">
        <v>0.28000000000000003</v>
      </c>
      <c r="W365">
        <v>22</v>
      </c>
      <c r="X365" s="8">
        <v>69</v>
      </c>
    </row>
    <row r="366" spans="1:24" x14ac:dyDescent="0.3">
      <c r="A366">
        <v>1</v>
      </c>
      <c r="B366">
        <v>22</v>
      </c>
      <c r="C366" s="8">
        <v>77</v>
      </c>
      <c r="D366" s="8"/>
      <c r="N366" t="s">
        <v>23</v>
      </c>
      <c r="O366">
        <v>35</v>
      </c>
      <c r="P366" s="8">
        <v>78</v>
      </c>
      <c r="V366">
        <v>0.26</v>
      </c>
      <c r="W366">
        <v>35</v>
      </c>
      <c r="X366" s="8">
        <v>78</v>
      </c>
    </row>
    <row r="367" spans="1:24" x14ac:dyDescent="0.3">
      <c r="A367">
        <v>1</v>
      </c>
      <c r="B367">
        <v>23</v>
      </c>
      <c r="C367" s="8">
        <v>82</v>
      </c>
      <c r="D367" s="8"/>
      <c r="N367" t="s">
        <v>23</v>
      </c>
      <c r="O367">
        <v>22</v>
      </c>
      <c r="P367" s="8">
        <v>77</v>
      </c>
      <c r="V367">
        <v>0.24</v>
      </c>
      <c r="W367">
        <v>22</v>
      </c>
      <c r="X367" s="8">
        <v>77</v>
      </c>
    </row>
    <row r="368" spans="1:24" x14ac:dyDescent="0.3">
      <c r="A368">
        <v>1</v>
      </c>
      <c r="B368">
        <v>11</v>
      </c>
      <c r="C368" s="8">
        <v>56</v>
      </c>
      <c r="D368" s="8"/>
      <c r="N368" t="s">
        <v>23</v>
      </c>
      <c r="O368">
        <v>23</v>
      </c>
      <c r="P368" s="8">
        <v>82</v>
      </c>
      <c r="V368">
        <v>0.22</v>
      </c>
      <c r="W368">
        <v>23</v>
      </c>
      <c r="X368" s="8">
        <v>82</v>
      </c>
    </row>
    <row r="369" spans="1:24" x14ac:dyDescent="0.3">
      <c r="A369">
        <v>1</v>
      </c>
      <c r="B369">
        <v>14</v>
      </c>
      <c r="C369" s="8">
        <v>47</v>
      </c>
      <c r="D369" s="8"/>
      <c r="N369" t="s">
        <v>23</v>
      </c>
      <c r="O369">
        <v>11</v>
      </c>
      <c r="P369" s="8">
        <v>56</v>
      </c>
      <c r="V369">
        <v>0.2</v>
      </c>
      <c r="W369">
        <v>11</v>
      </c>
      <c r="X369" s="8">
        <v>56</v>
      </c>
    </row>
    <row r="370" spans="1:24" x14ac:dyDescent="0.3">
      <c r="A370">
        <v>1</v>
      </c>
      <c r="B370">
        <v>7</v>
      </c>
      <c r="C370" s="8">
        <v>50</v>
      </c>
      <c r="D370" s="8"/>
      <c r="N370" t="s">
        <v>23</v>
      </c>
      <c r="O370">
        <v>14</v>
      </c>
      <c r="P370" s="8">
        <v>47</v>
      </c>
      <c r="V370">
        <v>0.18</v>
      </c>
      <c r="W370">
        <v>14</v>
      </c>
      <c r="X370" s="8">
        <v>47</v>
      </c>
    </row>
    <row r="371" spans="1:24" x14ac:dyDescent="0.3">
      <c r="A371">
        <v>1</v>
      </c>
      <c r="B371">
        <v>6</v>
      </c>
      <c r="C371" s="8">
        <v>22</v>
      </c>
      <c r="D371" s="8"/>
      <c r="N371" t="s">
        <v>23</v>
      </c>
      <c r="O371">
        <v>7</v>
      </c>
      <c r="P371" s="8">
        <v>50</v>
      </c>
      <c r="V371">
        <v>0.18</v>
      </c>
      <c r="W371">
        <v>7</v>
      </c>
      <c r="X371" s="8">
        <v>50</v>
      </c>
    </row>
    <row r="372" spans="1:24" x14ac:dyDescent="0.3">
      <c r="A372">
        <v>2</v>
      </c>
      <c r="B372">
        <v>2</v>
      </c>
      <c r="C372" s="8">
        <v>19</v>
      </c>
      <c r="D372" s="8"/>
      <c r="N372" t="s">
        <v>24</v>
      </c>
      <c r="O372">
        <v>6</v>
      </c>
      <c r="P372" s="8">
        <v>22</v>
      </c>
      <c r="V372">
        <v>0.18</v>
      </c>
      <c r="W372">
        <v>6</v>
      </c>
      <c r="X372" s="8">
        <v>22</v>
      </c>
    </row>
    <row r="373" spans="1:24" x14ac:dyDescent="0.3">
      <c r="A373">
        <v>2</v>
      </c>
      <c r="B373">
        <v>0</v>
      </c>
      <c r="C373" s="8">
        <v>18</v>
      </c>
      <c r="D373" s="8"/>
      <c r="N373" t="s">
        <v>24</v>
      </c>
      <c r="O373">
        <v>2</v>
      </c>
      <c r="P373" s="8">
        <v>19</v>
      </c>
      <c r="V373">
        <v>0.2</v>
      </c>
      <c r="W373">
        <v>2</v>
      </c>
      <c r="X373" s="8">
        <v>19</v>
      </c>
    </row>
    <row r="374" spans="1:24" x14ac:dyDescent="0.3">
      <c r="A374">
        <v>2</v>
      </c>
      <c r="B374">
        <v>1</v>
      </c>
      <c r="C374" s="8">
        <v>16</v>
      </c>
      <c r="D374" s="8"/>
      <c r="N374" t="s">
        <v>24</v>
      </c>
      <c r="O374">
        <v>0</v>
      </c>
      <c r="P374" s="8">
        <v>18</v>
      </c>
      <c r="V374">
        <v>0.2</v>
      </c>
      <c r="W374">
        <v>0</v>
      </c>
      <c r="X374" s="8">
        <v>18</v>
      </c>
    </row>
    <row r="375" spans="1:24" x14ac:dyDescent="0.3">
      <c r="A375">
        <v>2</v>
      </c>
      <c r="B375">
        <v>1</v>
      </c>
      <c r="C375" s="8">
        <v>15</v>
      </c>
      <c r="D375" s="8"/>
      <c r="N375" t="s">
        <v>24</v>
      </c>
      <c r="O375">
        <v>1</v>
      </c>
      <c r="P375" s="8">
        <v>16</v>
      </c>
      <c r="V375">
        <v>0.2</v>
      </c>
      <c r="W375">
        <v>1</v>
      </c>
      <c r="X375" s="8">
        <v>16</v>
      </c>
    </row>
    <row r="376" spans="1:24" x14ac:dyDescent="0.3">
      <c r="A376">
        <v>2</v>
      </c>
      <c r="B376">
        <v>0</v>
      </c>
      <c r="C376" s="8">
        <v>8</v>
      </c>
      <c r="D376" s="8"/>
      <c r="N376" t="s">
        <v>24</v>
      </c>
      <c r="O376">
        <v>1</v>
      </c>
      <c r="P376" s="8">
        <v>15</v>
      </c>
      <c r="V376">
        <v>0.2</v>
      </c>
      <c r="W376">
        <v>1</v>
      </c>
      <c r="X376" s="8">
        <v>15</v>
      </c>
    </row>
    <row r="377" spans="1:24" x14ac:dyDescent="0.3">
      <c r="A377">
        <v>2</v>
      </c>
      <c r="B377">
        <v>0</v>
      </c>
      <c r="C377" s="8">
        <v>2</v>
      </c>
      <c r="D377" s="8"/>
      <c r="N377" t="s">
        <v>24</v>
      </c>
      <c r="O377">
        <v>0</v>
      </c>
      <c r="P377" s="8">
        <v>8</v>
      </c>
      <c r="V377">
        <v>0.18</v>
      </c>
      <c r="W377">
        <v>0</v>
      </c>
      <c r="X377" s="8">
        <v>8</v>
      </c>
    </row>
    <row r="378" spans="1:24" x14ac:dyDescent="0.3">
      <c r="A378">
        <v>2</v>
      </c>
      <c r="B378">
        <v>1</v>
      </c>
      <c r="C378" s="8">
        <v>2</v>
      </c>
      <c r="D378" s="8"/>
      <c r="N378" t="s">
        <v>24</v>
      </c>
      <c r="O378">
        <v>0</v>
      </c>
      <c r="P378" s="8">
        <v>2</v>
      </c>
      <c r="V378">
        <v>0.18</v>
      </c>
      <c r="W378">
        <v>0</v>
      </c>
      <c r="X378" s="8">
        <v>2</v>
      </c>
    </row>
    <row r="379" spans="1:24" x14ac:dyDescent="0.3">
      <c r="A379">
        <v>2</v>
      </c>
      <c r="B379">
        <v>0</v>
      </c>
      <c r="C379" s="8">
        <v>1</v>
      </c>
      <c r="D379" s="8"/>
      <c r="N379" t="s">
        <v>24</v>
      </c>
      <c r="O379">
        <v>1</v>
      </c>
      <c r="P379" s="8">
        <v>2</v>
      </c>
      <c r="V379">
        <v>0.18</v>
      </c>
      <c r="W379">
        <v>1</v>
      </c>
      <c r="X379" s="8">
        <v>2</v>
      </c>
    </row>
    <row r="380" spans="1:24" x14ac:dyDescent="0.3">
      <c r="A380">
        <v>2</v>
      </c>
      <c r="B380">
        <v>0</v>
      </c>
      <c r="C380" s="8">
        <v>5</v>
      </c>
      <c r="D380" s="8"/>
      <c r="N380" t="s">
        <v>24</v>
      </c>
      <c r="O380">
        <v>0</v>
      </c>
      <c r="P380" s="8">
        <v>1</v>
      </c>
      <c r="V380">
        <v>0.18</v>
      </c>
      <c r="W380">
        <v>0</v>
      </c>
      <c r="X380" s="8">
        <v>1</v>
      </c>
    </row>
    <row r="381" spans="1:24" x14ac:dyDescent="0.3">
      <c r="A381">
        <v>2</v>
      </c>
      <c r="B381">
        <v>4</v>
      </c>
      <c r="C381" s="8">
        <v>9</v>
      </c>
      <c r="D381" s="8"/>
      <c r="N381" t="s">
        <v>24</v>
      </c>
      <c r="O381">
        <v>0</v>
      </c>
      <c r="P381" s="8">
        <v>5</v>
      </c>
      <c r="V381">
        <v>0.18</v>
      </c>
      <c r="W381">
        <v>0</v>
      </c>
      <c r="X381" s="8">
        <v>5</v>
      </c>
    </row>
    <row r="382" spans="1:24" x14ac:dyDescent="0.3">
      <c r="A382">
        <v>2</v>
      </c>
      <c r="B382">
        <v>3</v>
      </c>
      <c r="C382" s="8">
        <v>30</v>
      </c>
      <c r="D382" s="8"/>
      <c r="N382" t="s">
        <v>24</v>
      </c>
      <c r="O382">
        <v>4</v>
      </c>
      <c r="P382" s="8">
        <v>9</v>
      </c>
      <c r="V382">
        <v>0.16</v>
      </c>
      <c r="W382">
        <v>4</v>
      </c>
      <c r="X382" s="8">
        <v>9</v>
      </c>
    </row>
    <row r="383" spans="1:24" x14ac:dyDescent="0.3">
      <c r="A383">
        <v>2</v>
      </c>
      <c r="B383">
        <v>8</v>
      </c>
      <c r="C383" s="8">
        <v>39</v>
      </c>
      <c r="D383" s="8"/>
      <c r="N383" t="s">
        <v>24</v>
      </c>
      <c r="O383">
        <v>3</v>
      </c>
      <c r="P383" s="8">
        <v>30</v>
      </c>
      <c r="V383">
        <v>0.16</v>
      </c>
      <c r="W383">
        <v>3</v>
      </c>
      <c r="X383" s="8">
        <v>30</v>
      </c>
    </row>
    <row r="384" spans="1:24" x14ac:dyDescent="0.3">
      <c r="A384">
        <v>2</v>
      </c>
      <c r="B384">
        <v>7</v>
      </c>
      <c r="C384" s="8">
        <v>50</v>
      </c>
      <c r="D384" s="8"/>
      <c r="N384" t="s">
        <v>24</v>
      </c>
      <c r="O384">
        <v>8</v>
      </c>
      <c r="P384" s="8">
        <v>39</v>
      </c>
      <c r="V384">
        <v>0.16</v>
      </c>
      <c r="W384">
        <v>8</v>
      </c>
      <c r="X384" s="8">
        <v>39</v>
      </c>
    </row>
    <row r="385" spans="1:24" x14ac:dyDescent="0.3">
      <c r="A385">
        <v>2</v>
      </c>
      <c r="B385">
        <v>9</v>
      </c>
      <c r="C385" s="8">
        <v>55</v>
      </c>
      <c r="D385" s="8"/>
      <c r="N385" t="s">
        <v>24</v>
      </c>
      <c r="O385">
        <v>7</v>
      </c>
      <c r="P385" s="8">
        <v>50</v>
      </c>
      <c r="V385">
        <v>0.16</v>
      </c>
      <c r="W385">
        <v>7</v>
      </c>
      <c r="X385" s="8">
        <v>50</v>
      </c>
    </row>
    <row r="386" spans="1:24" x14ac:dyDescent="0.3">
      <c r="A386">
        <v>2</v>
      </c>
      <c r="B386">
        <v>10</v>
      </c>
      <c r="C386" s="8">
        <v>70</v>
      </c>
      <c r="D386" s="8"/>
      <c r="N386" t="s">
        <v>24</v>
      </c>
      <c r="O386">
        <v>9</v>
      </c>
      <c r="P386" s="8">
        <v>55</v>
      </c>
      <c r="V386">
        <v>0.16</v>
      </c>
      <c r="W386">
        <v>9</v>
      </c>
      <c r="X386" s="8">
        <v>55</v>
      </c>
    </row>
    <row r="387" spans="1:24" x14ac:dyDescent="0.3">
      <c r="A387">
        <v>2</v>
      </c>
      <c r="B387">
        <v>13</v>
      </c>
      <c r="C387" s="8">
        <v>80</v>
      </c>
      <c r="D387" s="8"/>
      <c r="N387" t="s">
        <v>24</v>
      </c>
      <c r="O387">
        <v>10</v>
      </c>
      <c r="P387" s="8">
        <v>70</v>
      </c>
      <c r="V387">
        <v>0.18</v>
      </c>
      <c r="W387">
        <v>10</v>
      </c>
      <c r="X387" s="8">
        <v>70</v>
      </c>
    </row>
    <row r="388" spans="1:24" x14ac:dyDescent="0.3">
      <c r="A388">
        <v>2</v>
      </c>
      <c r="B388">
        <v>12</v>
      </c>
      <c r="C388" s="8">
        <v>74</v>
      </c>
      <c r="D388" s="8"/>
      <c r="N388" t="s">
        <v>24</v>
      </c>
      <c r="O388">
        <v>13</v>
      </c>
      <c r="P388" s="8">
        <v>80</v>
      </c>
      <c r="V388">
        <v>0.18</v>
      </c>
      <c r="W388">
        <v>13</v>
      </c>
      <c r="X388" s="8">
        <v>80</v>
      </c>
    </row>
    <row r="389" spans="1:24" x14ac:dyDescent="0.3">
      <c r="A389">
        <v>2</v>
      </c>
      <c r="B389">
        <v>21</v>
      </c>
      <c r="C389" s="8">
        <v>72</v>
      </c>
      <c r="D389" s="8"/>
      <c r="N389" t="s">
        <v>24</v>
      </c>
      <c r="O389">
        <v>12</v>
      </c>
      <c r="P389" s="8">
        <v>74</v>
      </c>
      <c r="V389">
        <v>0.18</v>
      </c>
      <c r="W389">
        <v>12</v>
      </c>
      <c r="X389" s="8">
        <v>74</v>
      </c>
    </row>
    <row r="390" spans="1:24" x14ac:dyDescent="0.3">
      <c r="A390">
        <v>2</v>
      </c>
      <c r="B390">
        <v>6</v>
      </c>
      <c r="C390" s="8">
        <v>76</v>
      </c>
      <c r="D390" s="8"/>
      <c r="N390" t="s">
        <v>24</v>
      </c>
      <c r="O390">
        <v>21</v>
      </c>
      <c r="P390" s="8">
        <v>72</v>
      </c>
      <c r="V390">
        <v>0.2</v>
      </c>
      <c r="W390">
        <v>21</v>
      </c>
      <c r="X390" s="8">
        <v>72</v>
      </c>
    </row>
    <row r="391" spans="1:24" x14ac:dyDescent="0.3">
      <c r="A391">
        <v>1</v>
      </c>
      <c r="B391">
        <v>4</v>
      </c>
      <c r="C391" s="8">
        <v>67</v>
      </c>
      <c r="D391" s="8"/>
      <c r="N391" t="s">
        <v>24</v>
      </c>
      <c r="O391">
        <v>6</v>
      </c>
      <c r="P391" s="8">
        <v>76</v>
      </c>
      <c r="V391">
        <v>0.2</v>
      </c>
      <c r="W391">
        <v>6</v>
      </c>
      <c r="X391" s="8">
        <v>76</v>
      </c>
    </row>
    <row r="392" spans="1:24" x14ac:dyDescent="0.3">
      <c r="A392">
        <v>2</v>
      </c>
      <c r="B392">
        <v>7</v>
      </c>
      <c r="C392" s="8">
        <v>85</v>
      </c>
      <c r="D392" s="8"/>
      <c r="N392" t="s">
        <v>24</v>
      </c>
      <c r="O392">
        <v>4</v>
      </c>
      <c r="P392" s="8">
        <v>67</v>
      </c>
      <c r="V392">
        <v>0.2</v>
      </c>
      <c r="W392">
        <v>4</v>
      </c>
      <c r="X392" s="8">
        <v>67</v>
      </c>
    </row>
    <row r="393" spans="1:24" x14ac:dyDescent="0.3">
      <c r="A393">
        <v>3</v>
      </c>
      <c r="B393">
        <v>2</v>
      </c>
      <c r="C393" s="8">
        <v>58</v>
      </c>
      <c r="D393" s="8"/>
      <c r="N393" t="s">
        <v>24</v>
      </c>
      <c r="O393">
        <v>7</v>
      </c>
      <c r="P393" s="8">
        <v>85</v>
      </c>
      <c r="V393">
        <v>0.18</v>
      </c>
      <c r="W393">
        <v>7</v>
      </c>
      <c r="X393" s="8">
        <v>85</v>
      </c>
    </row>
    <row r="394" spans="1:24" x14ac:dyDescent="0.3">
      <c r="A394">
        <v>3</v>
      </c>
      <c r="B394">
        <v>4</v>
      </c>
      <c r="C394" s="8">
        <v>29</v>
      </c>
      <c r="D394" s="8"/>
      <c r="N394" t="s">
        <v>25</v>
      </c>
      <c r="O394">
        <v>2</v>
      </c>
      <c r="P394" s="8">
        <v>58</v>
      </c>
      <c r="V394">
        <v>0.18</v>
      </c>
      <c r="W394">
        <v>2</v>
      </c>
      <c r="X394" s="8">
        <v>58</v>
      </c>
    </row>
    <row r="395" spans="1:24" x14ac:dyDescent="0.3">
      <c r="A395">
        <v>3</v>
      </c>
      <c r="B395">
        <v>3</v>
      </c>
      <c r="C395" s="8">
        <v>24</v>
      </c>
      <c r="D395" s="8"/>
      <c r="N395" t="s">
        <v>25</v>
      </c>
      <c r="O395">
        <v>4</v>
      </c>
      <c r="P395" s="8">
        <v>29</v>
      </c>
      <c r="V395">
        <v>0.16</v>
      </c>
      <c r="W395">
        <v>4</v>
      </c>
      <c r="X395" s="8">
        <v>29</v>
      </c>
    </row>
    <row r="396" spans="1:24" x14ac:dyDescent="0.3">
      <c r="A396">
        <v>3</v>
      </c>
      <c r="B396">
        <v>0</v>
      </c>
      <c r="C396" s="8">
        <v>13</v>
      </c>
      <c r="D396" s="8"/>
      <c r="N396" t="s">
        <v>25</v>
      </c>
      <c r="O396">
        <v>3</v>
      </c>
      <c r="P396" s="8">
        <v>24</v>
      </c>
      <c r="V396">
        <v>0.16</v>
      </c>
      <c r="W396">
        <v>3</v>
      </c>
      <c r="X396" s="8">
        <v>24</v>
      </c>
    </row>
    <row r="397" spans="1:24" x14ac:dyDescent="0.3">
      <c r="A397">
        <v>3</v>
      </c>
      <c r="B397">
        <v>1</v>
      </c>
      <c r="C397" s="8">
        <v>3</v>
      </c>
      <c r="D397" s="8"/>
      <c r="N397" t="s">
        <v>25</v>
      </c>
      <c r="O397">
        <v>0</v>
      </c>
      <c r="P397" s="8">
        <v>13</v>
      </c>
      <c r="V397">
        <v>0.14000000000000001</v>
      </c>
      <c r="W397">
        <v>0</v>
      </c>
      <c r="X397" s="8">
        <v>13</v>
      </c>
    </row>
    <row r="398" spans="1:24" x14ac:dyDescent="0.3">
      <c r="A398">
        <v>2</v>
      </c>
      <c r="B398">
        <v>0</v>
      </c>
      <c r="C398" s="8">
        <v>3</v>
      </c>
      <c r="D398" s="8"/>
      <c r="N398" t="s">
        <v>25</v>
      </c>
      <c r="O398">
        <v>1</v>
      </c>
      <c r="P398" s="8">
        <v>3</v>
      </c>
      <c r="V398">
        <v>0.16</v>
      </c>
      <c r="W398">
        <v>1</v>
      </c>
      <c r="X398" s="8">
        <v>3</v>
      </c>
    </row>
    <row r="399" spans="1:24" x14ac:dyDescent="0.3">
      <c r="A399">
        <v>2</v>
      </c>
      <c r="B399">
        <v>0</v>
      </c>
      <c r="C399" s="8">
        <v>22</v>
      </c>
      <c r="D399" s="8"/>
      <c r="N399" t="s">
        <v>25</v>
      </c>
      <c r="O399">
        <v>0</v>
      </c>
      <c r="P399" s="8">
        <v>3</v>
      </c>
      <c r="V399">
        <v>0.2</v>
      </c>
      <c r="W399">
        <v>0</v>
      </c>
      <c r="X399" s="8">
        <v>3</v>
      </c>
    </row>
    <row r="400" spans="1:24" x14ac:dyDescent="0.3">
      <c r="A400">
        <v>2</v>
      </c>
      <c r="B400">
        <v>2</v>
      </c>
      <c r="C400" s="8">
        <v>26</v>
      </c>
      <c r="D400" s="8"/>
      <c r="N400" t="s">
        <v>25</v>
      </c>
      <c r="O400">
        <v>0</v>
      </c>
      <c r="P400" s="8">
        <v>22</v>
      </c>
      <c r="V400">
        <v>0.2</v>
      </c>
      <c r="W400">
        <v>0</v>
      </c>
      <c r="X400" s="8">
        <v>22</v>
      </c>
    </row>
    <row r="401" spans="1:24" x14ac:dyDescent="0.3">
      <c r="A401">
        <v>2</v>
      </c>
      <c r="B401">
        <v>3</v>
      </c>
      <c r="C401" s="8">
        <v>32</v>
      </c>
      <c r="D401" s="8"/>
      <c r="N401" t="s">
        <v>25</v>
      </c>
      <c r="O401">
        <v>2</v>
      </c>
      <c r="P401" s="8">
        <v>26</v>
      </c>
      <c r="V401">
        <v>0.22</v>
      </c>
      <c r="W401">
        <v>2</v>
      </c>
      <c r="X401" s="8">
        <v>26</v>
      </c>
    </row>
    <row r="402" spans="1:24" x14ac:dyDescent="0.3">
      <c r="A402">
        <v>2</v>
      </c>
      <c r="B402">
        <v>0</v>
      </c>
      <c r="C402" s="8">
        <v>61</v>
      </c>
      <c r="D402" s="8"/>
      <c r="N402" t="s">
        <v>25</v>
      </c>
      <c r="O402">
        <v>3</v>
      </c>
      <c r="P402" s="8">
        <v>32</v>
      </c>
      <c r="V402">
        <v>0.22</v>
      </c>
      <c r="W402">
        <v>3</v>
      </c>
      <c r="X402" s="8">
        <v>32</v>
      </c>
    </row>
    <row r="403" spans="1:24" x14ac:dyDescent="0.3">
      <c r="A403">
        <v>2</v>
      </c>
      <c r="B403">
        <v>1</v>
      </c>
      <c r="C403" s="8">
        <v>124</v>
      </c>
      <c r="D403" s="8"/>
      <c r="N403" t="s">
        <v>25</v>
      </c>
      <c r="O403">
        <v>0</v>
      </c>
      <c r="P403" s="8">
        <v>61</v>
      </c>
      <c r="V403">
        <v>0.22</v>
      </c>
      <c r="W403">
        <v>0</v>
      </c>
      <c r="X403" s="8">
        <v>61</v>
      </c>
    </row>
    <row r="404" spans="1:24" x14ac:dyDescent="0.3">
      <c r="A404">
        <v>2</v>
      </c>
      <c r="B404">
        <v>1</v>
      </c>
      <c r="C404" s="8">
        <v>132</v>
      </c>
      <c r="D404" s="8"/>
      <c r="N404" t="s">
        <v>25</v>
      </c>
      <c r="O404">
        <v>1</v>
      </c>
      <c r="P404" s="8">
        <v>124</v>
      </c>
      <c r="V404">
        <v>0.22</v>
      </c>
      <c r="W404">
        <v>1</v>
      </c>
      <c r="X404" s="8">
        <v>124</v>
      </c>
    </row>
    <row r="405" spans="1:24" x14ac:dyDescent="0.3">
      <c r="A405">
        <v>2</v>
      </c>
      <c r="B405">
        <v>1</v>
      </c>
      <c r="C405" s="8">
        <v>98</v>
      </c>
      <c r="D405" s="8"/>
      <c r="N405" t="s">
        <v>25</v>
      </c>
      <c r="O405">
        <v>1</v>
      </c>
      <c r="P405" s="8">
        <v>132</v>
      </c>
      <c r="V405">
        <v>0.22</v>
      </c>
      <c r="W405">
        <v>1</v>
      </c>
      <c r="X405" s="8">
        <v>132</v>
      </c>
    </row>
    <row r="406" spans="1:24" x14ac:dyDescent="0.3">
      <c r="A406">
        <v>2</v>
      </c>
      <c r="B406">
        <v>0</v>
      </c>
      <c r="C406" s="8">
        <v>83</v>
      </c>
      <c r="D406" s="8"/>
      <c r="N406" t="s">
        <v>25</v>
      </c>
      <c r="O406">
        <v>1</v>
      </c>
      <c r="P406" s="8">
        <v>98</v>
      </c>
      <c r="V406">
        <v>0.22</v>
      </c>
      <c r="W406">
        <v>1</v>
      </c>
      <c r="X406" s="8">
        <v>98</v>
      </c>
    </row>
    <row r="407" spans="1:24" x14ac:dyDescent="0.3">
      <c r="A407">
        <v>2</v>
      </c>
      <c r="B407">
        <v>0</v>
      </c>
      <c r="C407" s="8">
        <v>41</v>
      </c>
      <c r="D407" s="8"/>
      <c r="N407" t="s">
        <v>25</v>
      </c>
      <c r="O407">
        <v>0</v>
      </c>
      <c r="P407" s="8">
        <v>83</v>
      </c>
      <c r="V407">
        <v>0.22</v>
      </c>
      <c r="W407">
        <v>0</v>
      </c>
      <c r="X407" s="8">
        <v>83</v>
      </c>
    </row>
    <row r="408" spans="1:24" x14ac:dyDescent="0.3">
      <c r="A408">
        <v>2</v>
      </c>
      <c r="B408">
        <v>0</v>
      </c>
      <c r="C408" s="8">
        <v>33</v>
      </c>
      <c r="D408" s="8"/>
      <c r="N408" t="s">
        <v>25</v>
      </c>
      <c r="O408">
        <v>0</v>
      </c>
      <c r="P408" s="8">
        <v>41</v>
      </c>
      <c r="V408">
        <v>0.22</v>
      </c>
      <c r="W408">
        <v>0</v>
      </c>
      <c r="X408" s="8">
        <v>41</v>
      </c>
    </row>
    <row r="409" spans="1:24" x14ac:dyDescent="0.3">
      <c r="A409">
        <v>2</v>
      </c>
      <c r="B409">
        <v>1</v>
      </c>
      <c r="C409" s="8">
        <v>19</v>
      </c>
      <c r="D409" s="8"/>
      <c r="N409" t="s">
        <v>25</v>
      </c>
      <c r="O409">
        <v>0</v>
      </c>
      <c r="P409" s="8">
        <v>33</v>
      </c>
      <c r="V409">
        <v>0.22</v>
      </c>
      <c r="W409">
        <v>0</v>
      </c>
      <c r="X409" s="8">
        <v>33</v>
      </c>
    </row>
    <row r="410" spans="1:24" x14ac:dyDescent="0.3">
      <c r="A410">
        <v>2</v>
      </c>
      <c r="B410">
        <v>0</v>
      </c>
      <c r="C410" s="8">
        <v>3</v>
      </c>
      <c r="D410" s="8"/>
      <c r="N410" t="s">
        <v>25</v>
      </c>
      <c r="O410">
        <v>1</v>
      </c>
      <c r="P410" s="8">
        <v>19</v>
      </c>
      <c r="V410">
        <v>0.22</v>
      </c>
      <c r="W410">
        <v>1</v>
      </c>
      <c r="X410" s="8">
        <v>19</v>
      </c>
    </row>
    <row r="411" spans="1:24" x14ac:dyDescent="0.3">
      <c r="A411">
        <v>3</v>
      </c>
      <c r="B411">
        <v>1</v>
      </c>
      <c r="C411" s="8">
        <v>6</v>
      </c>
      <c r="D411" s="8"/>
      <c r="N411" t="s">
        <v>25</v>
      </c>
      <c r="O411">
        <v>0</v>
      </c>
      <c r="P411" s="8">
        <v>3</v>
      </c>
      <c r="V411">
        <v>0.22</v>
      </c>
      <c r="W411">
        <v>0</v>
      </c>
      <c r="X411" s="8">
        <v>3</v>
      </c>
    </row>
    <row r="412" spans="1:24" x14ac:dyDescent="0.3">
      <c r="A412">
        <v>3</v>
      </c>
      <c r="B412">
        <v>0</v>
      </c>
      <c r="C412" s="8">
        <v>3</v>
      </c>
      <c r="D412" s="8"/>
      <c r="N412" t="s">
        <v>25</v>
      </c>
      <c r="O412">
        <v>1</v>
      </c>
      <c r="P412" s="8">
        <v>6</v>
      </c>
      <c r="V412">
        <v>0.22</v>
      </c>
      <c r="W412">
        <v>1</v>
      </c>
      <c r="X412" s="8">
        <v>6</v>
      </c>
    </row>
    <row r="413" spans="1:24" x14ac:dyDescent="0.3">
      <c r="A413">
        <v>3</v>
      </c>
      <c r="B413">
        <v>1</v>
      </c>
      <c r="C413" s="8">
        <v>1</v>
      </c>
      <c r="D413" s="8"/>
      <c r="N413" t="s">
        <v>25</v>
      </c>
      <c r="O413">
        <v>0</v>
      </c>
      <c r="P413" s="8">
        <v>3</v>
      </c>
      <c r="V413">
        <v>0.22</v>
      </c>
      <c r="W413">
        <v>0</v>
      </c>
      <c r="X413" s="8">
        <v>3</v>
      </c>
    </row>
    <row r="414" spans="1:24" x14ac:dyDescent="0.3">
      <c r="A414">
        <v>2</v>
      </c>
      <c r="B414">
        <v>0</v>
      </c>
      <c r="C414" s="8">
        <v>7</v>
      </c>
      <c r="D414" s="8"/>
      <c r="N414" t="s">
        <v>25</v>
      </c>
      <c r="O414">
        <v>1</v>
      </c>
      <c r="P414" s="8">
        <v>1</v>
      </c>
      <c r="V414">
        <v>0.22</v>
      </c>
      <c r="W414">
        <v>1</v>
      </c>
      <c r="X414" s="8">
        <v>1</v>
      </c>
    </row>
    <row r="415" spans="1:24" x14ac:dyDescent="0.3">
      <c r="A415">
        <v>2</v>
      </c>
      <c r="B415">
        <v>0</v>
      </c>
      <c r="C415" s="8">
        <v>32</v>
      </c>
      <c r="D415" s="8"/>
      <c r="N415" t="s">
        <v>25</v>
      </c>
      <c r="O415">
        <v>0</v>
      </c>
      <c r="P415" s="8">
        <v>7</v>
      </c>
      <c r="V415">
        <v>0.22</v>
      </c>
      <c r="W415">
        <v>0</v>
      </c>
      <c r="X415" s="8">
        <v>7</v>
      </c>
    </row>
    <row r="416" spans="1:24" x14ac:dyDescent="0.3">
      <c r="A416">
        <v>2</v>
      </c>
      <c r="B416">
        <v>1</v>
      </c>
      <c r="C416" s="8">
        <v>89</v>
      </c>
      <c r="D416" s="8"/>
      <c r="N416" t="s">
        <v>25</v>
      </c>
      <c r="O416">
        <v>0</v>
      </c>
      <c r="P416" s="8">
        <v>32</v>
      </c>
      <c r="V416">
        <v>0.22</v>
      </c>
      <c r="W416">
        <v>0</v>
      </c>
      <c r="X416" s="8">
        <v>32</v>
      </c>
    </row>
    <row r="417" spans="1:24" x14ac:dyDescent="0.3">
      <c r="A417">
        <v>2</v>
      </c>
      <c r="B417">
        <v>1</v>
      </c>
      <c r="C417" s="8">
        <v>196</v>
      </c>
      <c r="D417" s="8"/>
      <c r="N417" t="s">
        <v>26</v>
      </c>
      <c r="O417">
        <v>1</v>
      </c>
      <c r="P417" s="8">
        <v>89</v>
      </c>
      <c r="V417">
        <v>0.24</v>
      </c>
      <c r="W417">
        <v>1</v>
      </c>
      <c r="X417" s="8">
        <v>89</v>
      </c>
    </row>
    <row r="418" spans="1:24" x14ac:dyDescent="0.3">
      <c r="A418">
        <v>2</v>
      </c>
      <c r="B418">
        <v>2</v>
      </c>
      <c r="C418" s="8">
        <v>107</v>
      </c>
      <c r="D418" s="8"/>
      <c r="N418" t="s">
        <v>26</v>
      </c>
      <c r="O418">
        <v>1</v>
      </c>
      <c r="P418" s="8">
        <v>196</v>
      </c>
      <c r="V418">
        <v>0.24</v>
      </c>
      <c r="W418">
        <v>1</v>
      </c>
      <c r="X418" s="8">
        <v>196</v>
      </c>
    </row>
    <row r="419" spans="1:24" x14ac:dyDescent="0.3">
      <c r="A419">
        <v>2</v>
      </c>
      <c r="B419">
        <v>1</v>
      </c>
      <c r="C419" s="8">
        <v>46</v>
      </c>
      <c r="D419" s="8"/>
      <c r="N419" t="s">
        <v>26</v>
      </c>
      <c r="O419">
        <v>2</v>
      </c>
      <c r="P419" s="8">
        <v>107</v>
      </c>
      <c r="V419">
        <v>0.24</v>
      </c>
      <c r="W419">
        <v>2</v>
      </c>
      <c r="X419" s="8">
        <v>107</v>
      </c>
    </row>
    <row r="420" spans="1:24" x14ac:dyDescent="0.3">
      <c r="A420">
        <v>2</v>
      </c>
      <c r="B420">
        <v>5</v>
      </c>
      <c r="C420" s="8">
        <v>47</v>
      </c>
      <c r="D420" s="8"/>
      <c r="N420" t="s">
        <v>26</v>
      </c>
      <c r="O420">
        <v>1</v>
      </c>
      <c r="P420" s="8">
        <v>46</v>
      </c>
      <c r="V420">
        <v>0.26</v>
      </c>
      <c r="W420">
        <v>1</v>
      </c>
      <c r="X420" s="8">
        <v>46</v>
      </c>
    </row>
    <row r="421" spans="1:24" x14ac:dyDescent="0.3">
      <c r="A421">
        <v>2</v>
      </c>
      <c r="B421">
        <v>5</v>
      </c>
      <c r="C421" s="8">
        <v>65</v>
      </c>
      <c r="D421" s="8"/>
      <c r="N421" t="s">
        <v>26</v>
      </c>
      <c r="O421">
        <v>5</v>
      </c>
      <c r="P421" s="8">
        <v>47</v>
      </c>
      <c r="V421">
        <v>0.28000000000000003</v>
      </c>
      <c r="W421">
        <v>5</v>
      </c>
      <c r="X421" s="8">
        <v>47</v>
      </c>
    </row>
    <row r="422" spans="1:24" x14ac:dyDescent="0.3">
      <c r="A422">
        <v>1</v>
      </c>
      <c r="B422">
        <v>11</v>
      </c>
      <c r="C422" s="8">
        <v>67</v>
      </c>
      <c r="D422" s="8"/>
      <c r="N422" t="s">
        <v>26</v>
      </c>
      <c r="O422">
        <v>5</v>
      </c>
      <c r="P422" s="8">
        <v>65</v>
      </c>
      <c r="V422">
        <v>0.3</v>
      </c>
      <c r="W422">
        <v>5</v>
      </c>
      <c r="X422" s="8">
        <v>65</v>
      </c>
    </row>
    <row r="423" spans="1:24" x14ac:dyDescent="0.3">
      <c r="A423">
        <v>1</v>
      </c>
      <c r="B423">
        <v>7</v>
      </c>
      <c r="C423" s="8">
        <v>68</v>
      </c>
      <c r="D423" s="8"/>
      <c r="N423" t="s">
        <v>26</v>
      </c>
      <c r="O423">
        <v>11</v>
      </c>
      <c r="P423" s="8">
        <v>67</v>
      </c>
      <c r="V423">
        <v>0.4</v>
      </c>
      <c r="W423">
        <v>11</v>
      </c>
      <c r="X423" s="8">
        <v>67</v>
      </c>
    </row>
    <row r="424" spans="1:24" x14ac:dyDescent="0.3">
      <c r="A424">
        <v>1</v>
      </c>
      <c r="B424">
        <v>4</v>
      </c>
      <c r="C424" s="8">
        <v>78</v>
      </c>
      <c r="D424" s="8"/>
      <c r="N424" t="s">
        <v>26</v>
      </c>
      <c r="O424">
        <v>7</v>
      </c>
      <c r="P424" s="8">
        <v>68</v>
      </c>
      <c r="V424">
        <v>0.4</v>
      </c>
      <c r="W424">
        <v>7</v>
      </c>
      <c r="X424" s="8">
        <v>68</v>
      </c>
    </row>
    <row r="425" spans="1:24" x14ac:dyDescent="0.3">
      <c r="A425">
        <v>1</v>
      </c>
      <c r="B425">
        <v>10</v>
      </c>
      <c r="C425" s="8">
        <v>94</v>
      </c>
      <c r="D425" s="8"/>
      <c r="N425" t="s">
        <v>26</v>
      </c>
      <c r="O425">
        <v>4</v>
      </c>
      <c r="P425" s="8">
        <v>78</v>
      </c>
      <c r="V425">
        <v>0.4</v>
      </c>
      <c r="W425">
        <v>4</v>
      </c>
      <c r="X425" s="8">
        <v>78</v>
      </c>
    </row>
    <row r="426" spans="1:24" x14ac:dyDescent="0.3">
      <c r="A426">
        <v>1</v>
      </c>
      <c r="B426">
        <v>7</v>
      </c>
      <c r="C426" s="8">
        <v>190</v>
      </c>
      <c r="D426" s="8"/>
      <c r="N426" t="s">
        <v>26</v>
      </c>
      <c r="O426">
        <v>10</v>
      </c>
      <c r="P426" s="8">
        <v>94</v>
      </c>
      <c r="V426">
        <v>0.38</v>
      </c>
      <c r="W426">
        <v>10</v>
      </c>
      <c r="X426" s="8">
        <v>94</v>
      </c>
    </row>
    <row r="427" spans="1:24" x14ac:dyDescent="0.3">
      <c r="A427">
        <v>1</v>
      </c>
      <c r="B427">
        <v>5</v>
      </c>
      <c r="C427" s="8">
        <v>156</v>
      </c>
      <c r="D427" s="8"/>
      <c r="N427" t="s">
        <v>26</v>
      </c>
      <c r="O427">
        <v>7</v>
      </c>
      <c r="P427" s="8">
        <v>190</v>
      </c>
      <c r="V427">
        <v>0.36</v>
      </c>
      <c r="W427">
        <v>7</v>
      </c>
      <c r="X427" s="8">
        <v>190</v>
      </c>
    </row>
    <row r="428" spans="1:24" x14ac:dyDescent="0.3">
      <c r="A428">
        <v>1</v>
      </c>
      <c r="B428">
        <v>4</v>
      </c>
      <c r="C428" s="8">
        <v>108</v>
      </c>
      <c r="D428" s="8"/>
      <c r="N428" t="s">
        <v>26</v>
      </c>
      <c r="O428">
        <v>5</v>
      </c>
      <c r="P428" s="8">
        <v>156</v>
      </c>
      <c r="V428">
        <v>0.34</v>
      </c>
      <c r="W428">
        <v>5</v>
      </c>
      <c r="X428" s="8">
        <v>156</v>
      </c>
    </row>
    <row r="429" spans="1:24" x14ac:dyDescent="0.3">
      <c r="A429">
        <v>1</v>
      </c>
      <c r="B429">
        <v>2</v>
      </c>
      <c r="C429" s="8">
        <v>74</v>
      </c>
      <c r="D429" s="8"/>
      <c r="N429" t="s">
        <v>26</v>
      </c>
      <c r="O429">
        <v>4</v>
      </c>
      <c r="P429" s="8">
        <v>108</v>
      </c>
      <c r="V429">
        <v>0.32</v>
      </c>
      <c r="W429">
        <v>4</v>
      </c>
      <c r="X429" s="8">
        <v>108</v>
      </c>
    </row>
    <row r="430" spans="1:24" x14ac:dyDescent="0.3">
      <c r="A430">
        <v>1</v>
      </c>
      <c r="B430">
        <v>4</v>
      </c>
      <c r="C430" s="8">
        <v>55</v>
      </c>
      <c r="D430" s="8"/>
      <c r="N430" t="s">
        <v>26</v>
      </c>
      <c r="O430">
        <v>2</v>
      </c>
      <c r="P430" s="8">
        <v>74</v>
      </c>
      <c r="V430">
        <v>0.32</v>
      </c>
      <c r="W430">
        <v>2</v>
      </c>
      <c r="X430" s="8">
        <v>74</v>
      </c>
    </row>
    <row r="431" spans="1:24" x14ac:dyDescent="0.3">
      <c r="A431">
        <v>1</v>
      </c>
      <c r="B431">
        <v>6</v>
      </c>
      <c r="C431" s="8">
        <v>53</v>
      </c>
      <c r="D431" s="8"/>
      <c r="N431" t="s">
        <v>26</v>
      </c>
      <c r="O431">
        <v>4</v>
      </c>
      <c r="P431" s="8">
        <v>55</v>
      </c>
      <c r="V431">
        <v>0.32</v>
      </c>
      <c r="W431">
        <v>4</v>
      </c>
      <c r="X431" s="8">
        <v>55</v>
      </c>
    </row>
    <row r="432" spans="1:24" x14ac:dyDescent="0.3">
      <c r="A432">
        <v>1</v>
      </c>
      <c r="B432">
        <v>1</v>
      </c>
      <c r="C432" s="8">
        <v>27</v>
      </c>
      <c r="D432" s="8"/>
      <c r="N432" t="s">
        <v>26</v>
      </c>
      <c r="O432">
        <v>6</v>
      </c>
      <c r="P432" s="8">
        <v>53</v>
      </c>
      <c r="V432">
        <v>0.3</v>
      </c>
      <c r="W432">
        <v>6</v>
      </c>
      <c r="X432" s="8">
        <v>53</v>
      </c>
    </row>
    <row r="433" spans="1:24" x14ac:dyDescent="0.3">
      <c r="A433">
        <v>1</v>
      </c>
      <c r="B433">
        <v>5</v>
      </c>
      <c r="C433" s="8">
        <v>8</v>
      </c>
      <c r="D433" s="8"/>
      <c r="N433" t="s">
        <v>26</v>
      </c>
      <c r="O433">
        <v>1</v>
      </c>
      <c r="P433" s="8">
        <v>27</v>
      </c>
      <c r="V433">
        <v>0.3</v>
      </c>
      <c r="W433">
        <v>1</v>
      </c>
      <c r="X433" s="8">
        <v>27</v>
      </c>
    </row>
    <row r="434" spans="1:24" x14ac:dyDescent="0.3">
      <c r="A434">
        <v>1</v>
      </c>
      <c r="B434">
        <v>2</v>
      </c>
      <c r="C434" s="8">
        <v>3</v>
      </c>
      <c r="D434" s="8"/>
      <c r="N434" t="s">
        <v>26</v>
      </c>
      <c r="O434">
        <v>5</v>
      </c>
      <c r="P434" s="8">
        <v>8</v>
      </c>
      <c r="V434">
        <v>0.26</v>
      </c>
      <c r="W434">
        <v>5</v>
      </c>
      <c r="X434" s="8">
        <v>8</v>
      </c>
    </row>
    <row r="435" spans="1:24" x14ac:dyDescent="0.3">
      <c r="A435">
        <v>1</v>
      </c>
      <c r="B435">
        <v>0</v>
      </c>
      <c r="C435" s="8">
        <v>2</v>
      </c>
      <c r="D435" s="8"/>
      <c r="N435" t="s">
        <v>26</v>
      </c>
      <c r="O435">
        <v>2</v>
      </c>
      <c r="P435" s="8">
        <v>3</v>
      </c>
      <c r="V435">
        <v>0.26</v>
      </c>
      <c r="W435">
        <v>2</v>
      </c>
      <c r="X435" s="8">
        <v>3</v>
      </c>
    </row>
    <row r="436" spans="1:24" x14ac:dyDescent="0.3">
      <c r="A436">
        <v>1</v>
      </c>
      <c r="B436">
        <v>0</v>
      </c>
      <c r="C436" s="8">
        <v>1</v>
      </c>
      <c r="D436" s="8"/>
      <c r="N436" t="s">
        <v>26</v>
      </c>
      <c r="O436">
        <v>0</v>
      </c>
      <c r="P436" s="8">
        <v>2</v>
      </c>
      <c r="V436">
        <v>0.26</v>
      </c>
      <c r="W436">
        <v>0</v>
      </c>
      <c r="X436" s="8">
        <v>2</v>
      </c>
    </row>
    <row r="437" spans="1:24" x14ac:dyDescent="0.3">
      <c r="A437">
        <v>1</v>
      </c>
      <c r="B437">
        <v>0</v>
      </c>
      <c r="C437" s="8">
        <v>1</v>
      </c>
      <c r="D437" s="8"/>
      <c r="N437" t="s">
        <v>26</v>
      </c>
      <c r="O437">
        <v>0</v>
      </c>
      <c r="P437" s="8">
        <v>1</v>
      </c>
      <c r="V437">
        <v>0.26</v>
      </c>
      <c r="W437">
        <v>0</v>
      </c>
      <c r="X437" s="8">
        <v>1</v>
      </c>
    </row>
    <row r="438" spans="1:24" x14ac:dyDescent="0.3">
      <c r="A438">
        <v>1</v>
      </c>
      <c r="B438">
        <v>0</v>
      </c>
      <c r="C438" s="8">
        <v>6</v>
      </c>
      <c r="D438" s="8"/>
      <c r="N438" t="s">
        <v>26</v>
      </c>
      <c r="O438">
        <v>0</v>
      </c>
      <c r="P438" s="8">
        <v>1</v>
      </c>
      <c r="V438">
        <v>0.26</v>
      </c>
      <c r="W438">
        <v>0</v>
      </c>
      <c r="X438" s="8">
        <v>1</v>
      </c>
    </row>
    <row r="439" spans="1:24" x14ac:dyDescent="0.3">
      <c r="A439">
        <v>1</v>
      </c>
      <c r="B439">
        <v>0</v>
      </c>
      <c r="C439" s="8">
        <v>35</v>
      </c>
      <c r="D439" s="8"/>
      <c r="N439" t="s">
        <v>26</v>
      </c>
      <c r="O439">
        <v>0</v>
      </c>
      <c r="P439" s="8">
        <v>6</v>
      </c>
      <c r="V439">
        <v>0.24</v>
      </c>
      <c r="W439">
        <v>0</v>
      </c>
      <c r="X439" s="8">
        <v>6</v>
      </c>
    </row>
    <row r="440" spans="1:24" x14ac:dyDescent="0.3">
      <c r="A440">
        <v>1</v>
      </c>
      <c r="B440">
        <v>1</v>
      </c>
      <c r="C440" s="8">
        <v>100</v>
      </c>
      <c r="D440" s="8"/>
      <c r="N440" t="s">
        <v>27</v>
      </c>
      <c r="O440">
        <v>0</v>
      </c>
      <c r="P440" s="8">
        <v>35</v>
      </c>
      <c r="V440">
        <v>0.22</v>
      </c>
      <c r="W440">
        <v>0</v>
      </c>
      <c r="X440" s="8">
        <v>35</v>
      </c>
    </row>
    <row r="441" spans="1:24" x14ac:dyDescent="0.3">
      <c r="A441">
        <v>1</v>
      </c>
      <c r="B441">
        <v>2</v>
      </c>
      <c r="C441" s="8">
        <v>247</v>
      </c>
      <c r="D441" s="8"/>
      <c r="N441" t="s">
        <v>27</v>
      </c>
      <c r="O441">
        <v>1</v>
      </c>
      <c r="P441" s="8">
        <v>100</v>
      </c>
      <c r="V441">
        <v>0.22</v>
      </c>
      <c r="W441">
        <v>1</v>
      </c>
      <c r="X441" s="8">
        <v>100</v>
      </c>
    </row>
    <row r="442" spans="1:24" x14ac:dyDescent="0.3">
      <c r="A442">
        <v>2</v>
      </c>
      <c r="B442">
        <v>3</v>
      </c>
      <c r="C442" s="8">
        <v>140</v>
      </c>
      <c r="D442" s="8"/>
      <c r="N442" t="s">
        <v>27</v>
      </c>
      <c r="O442">
        <v>2</v>
      </c>
      <c r="P442" s="8">
        <v>247</v>
      </c>
      <c r="V442">
        <v>0.22</v>
      </c>
      <c r="W442">
        <v>2</v>
      </c>
      <c r="X442" s="8">
        <v>247</v>
      </c>
    </row>
    <row r="443" spans="1:24" x14ac:dyDescent="0.3">
      <c r="A443">
        <v>1</v>
      </c>
      <c r="B443">
        <v>1</v>
      </c>
      <c r="C443" s="8">
        <v>56</v>
      </c>
      <c r="D443" s="8"/>
      <c r="N443" t="s">
        <v>27</v>
      </c>
      <c r="O443">
        <v>3</v>
      </c>
      <c r="P443" s="8">
        <v>140</v>
      </c>
      <c r="V443">
        <v>0.24</v>
      </c>
      <c r="W443">
        <v>3</v>
      </c>
      <c r="X443" s="8">
        <v>140</v>
      </c>
    </row>
    <row r="444" spans="1:24" x14ac:dyDescent="0.3">
      <c r="A444">
        <v>2</v>
      </c>
      <c r="B444">
        <v>5</v>
      </c>
      <c r="C444" s="8">
        <v>63</v>
      </c>
      <c r="D444" s="8"/>
      <c r="N444" t="s">
        <v>27</v>
      </c>
      <c r="O444">
        <v>1</v>
      </c>
      <c r="P444" s="8">
        <v>56</v>
      </c>
      <c r="V444">
        <v>0.26</v>
      </c>
      <c r="W444">
        <v>1</v>
      </c>
      <c r="X444" s="8">
        <v>56</v>
      </c>
    </row>
    <row r="445" spans="1:24" x14ac:dyDescent="0.3">
      <c r="A445">
        <v>2</v>
      </c>
      <c r="B445">
        <v>7</v>
      </c>
      <c r="C445" s="8">
        <v>77</v>
      </c>
      <c r="D445" s="8"/>
      <c r="N445" t="s">
        <v>27</v>
      </c>
      <c r="O445">
        <v>5</v>
      </c>
      <c r="P445" s="8">
        <v>63</v>
      </c>
      <c r="V445">
        <v>0.28000000000000003</v>
      </c>
      <c r="W445">
        <v>5</v>
      </c>
      <c r="X445" s="8">
        <v>63</v>
      </c>
    </row>
    <row r="446" spans="1:24" x14ac:dyDescent="0.3">
      <c r="A446">
        <v>2</v>
      </c>
      <c r="B446">
        <v>12</v>
      </c>
      <c r="C446" s="8">
        <v>86</v>
      </c>
      <c r="D446" s="8"/>
      <c r="N446" t="s">
        <v>27</v>
      </c>
      <c r="O446">
        <v>7</v>
      </c>
      <c r="P446" s="8">
        <v>77</v>
      </c>
      <c r="V446">
        <v>0.3</v>
      </c>
      <c r="W446">
        <v>7</v>
      </c>
      <c r="X446" s="8">
        <v>77</v>
      </c>
    </row>
    <row r="447" spans="1:24" x14ac:dyDescent="0.3">
      <c r="A447">
        <v>2</v>
      </c>
      <c r="B447">
        <v>6</v>
      </c>
      <c r="C447" s="8">
        <v>75</v>
      </c>
      <c r="D447" s="8"/>
      <c r="N447" t="s">
        <v>27</v>
      </c>
      <c r="O447">
        <v>12</v>
      </c>
      <c r="P447" s="8">
        <v>86</v>
      </c>
      <c r="V447">
        <v>0.28000000000000003</v>
      </c>
      <c r="W447">
        <v>12</v>
      </c>
      <c r="X447" s="8">
        <v>86</v>
      </c>
    </row>
    <row r="448" spans="1:24" x14ac:dyDescent="0.3">
      <c r="A448">
        <v>2</v>
      </c>
      <c r="B448">
        <v>8</v>
      </c>
      <c r="C448" s="8">
        <v>62</v>
      </c>
      <c r="D448" s="8"/>
      <c r="N448" t="s">
        <v>27</v>
      </c>
      <c r="O448">
        <v>6</v>
      </c>
      <c r="P448" s="8">
        <v>75</v>
      </c>
      <c r="V448">
        <v>0.3</v>
      </c>
      <c r="W448">
        <v>6</v>
      </c>
      <c r="X448" s="8">
        <v>75</v>
      </c>
    </row>
    <row r="449" spans="1:24" x14ac:dyDescent="0.3">
      <c r="A449">
        <v>2</v>
      </c>
      <c r="B449">
        <v>8</v>
      </c>
      <c r="C449" s="8">
        <v>83</v>
      </c>
      <c r="D449" s="8"/>
      <c r="N449" t="s">
        <v>27</v>
      </c>
      <c r="O449">
        <v>8</v>
      </c>
      <c r="P449" s="8">
        <v>62</v>
      </c>
      <c r="V449">
        <v>0.32</v>
      </c>
      <c r="W449">
        <v>8</v>
      </c>
      <c r="X449" s="8">
        <v>62</v>
      </c>
    </row>
    <row r="450" spans="1:24" x14ac:dyDescent="0.3">
      <c r="A450">
        <v>2</v>
      </c>
      <c r="B450">
        <v>8</v>
      </c>
      <c r="C450" s="8">
        <v>207</v>
      </c>
      <c r="D450" s="8"/>
      <c r="N450" t="s">
        <v>27</v>
      </c>
      <c r="O450">
        <v>8</v>
      </c>
      <c r="P450" s="8">
        <v>83</v>
      </c>
      <c r="V450">
        <v>0.3</v>
      </c>
      <c r="W450">
        <v>8</v>
      </c>
      <c r="X450" s="8">
        <v>83</v>
      </c>
    </row>
    <row r="451" spans="1:24" x14ac:dyDescent="0.3">
      <c r="A451">
        <v>2</v>
      </c>
      <c r="B451">
        <v>1</v>
      </c>
      <c r="C451" s="8">
        <v>184</v>
      </c>
      <c r="D451" s="8"/>
      <c r="N451" t="s">
        <v>27</v>
      </c>
      <c r="O451">
        <v>8</v>
      </c>
      <c r="P451" s="8">
        <v>207</v>
      </c>
      <c r="V451">
        <v>0.3</v>
      </c>
      <c r="W451">
        <v>8</v>
      </c>
      <c r="X451" s="8">
        <v>207</v>
      </c>
    </row>
    <row r="452" spans="1:24" x14ac:dyDescent="0.3">
      <c r="A452">
        <v>1</v>
      </c>
      <c r="B452">
        <v>6</v>
      </c>
      <c r="C452" s="8">
        <v>146</v>
      </c>
      <c r="D452" s="8"/>
      <c r="N452" t="s">
        <v>27</v>
      </c>
      <c r="O452">
        <v>1</v>
      </c>
      <c r="P452" s="8">
        <v>184</v>
      </c>
      <c r="V452">
        <v>0.26</v>
      </c>
      <c r="W452">
        <v>1</v>
      </c>
      <c r="X452" s="8">
        <v>184</v>
      </c>
    </row>
    <row r="453" spans="1:24" x14ac:dyDescent="0.3">
      <c r="A453">
        <v>2</v>
      </c>
      <c r="B453">
        <v>2</v>
      </c>
      <c r="C453" s="8">
        <v>124</v>
      </c>
      <c r="D453" s="8"/>
      <c r="N453" t="s">
        <v>27</v>
      </c>
      <c r="O453">
        <v>6</v>
      </c>
      <c r="P453" s="8">
        <v>146</v>
      </c>
      <c r="V453">
        <v>0.26</v>
      </c>
      <c r="W453">
        <v>6</v>
      </c>
      <c r="X453" s="8">
        <v>146</v>
      </c>
    </row>
    <row r="454" spans="1:24" x14ac:dyDescent="0.3">
      <c r="A454">
        <v>2</v>
      </c>
      <c r="B454">
        <v>3</v>
      </c>
      <c r="C454" s="8">
        <v>54</v>
      </c>
      <c r="D454" s="8"/>
      <c r="N454" t="s">
        <v>27</v>
      </c>
      <c r="O454">
        <v>2</v>
      </c>
      <c r="P454" s="8">
        <v>124</v>
      </c>
      <c r="V454">
        <v>0.26</v>
      </c>
      <c r="W454">
        <v>2</v>
      </c>
      <c r="X454" s="8">
        <v>124</v>
      </c>
    </row>
    <row r="455" spans="1:24" x14ac:dyDescent="0.3">
      <c r="A455">
        <v>2</v>
      </c>
      <c r="B455">
        <v>0</v>
      </c>
      <c r="C455" s="8">
        <v>56</v>
      </c>
      <c r="D455" s="8"/>
      <c r="N455" t="s">
        <v>27</v>
      </c>
      <c r="O455">
        <v>3</v>
      </c>
      <c r="P455" s="8">
        <v>54</v>
      </c>
      <c r="V455">
        <v>0.24</v>
      </c>
      <c r="W455">
        <v>3</v>
      </c>
      <c r="X455" s="8">
        <v>54</v>
      </c>
    </row>
    <row r="456" spans="1:24" x14ac:dyDescent="0.3">
      <c r="A456">
        <v>2</v>
      </c>
      <c r="B456">
        <v>3</v>
      </c>
      <c r="C456" s="8">
        <v>28</v>
      </c>
      <c r="D456" s="8"/>
      <c r="N456" t="s">
        <v>27</v>
      </c>
      <c r="O456">
        <v>0</v>
      </c>
      <c r="P456" s="8">
        <v>56</v>
      </c>
      <c r="V456">
        <v>0.24</v>
      </c>
      <c r="W456">
        <v>0</v>
      </c>
      <c r="X456" s="8">
        <v>56</v>
      </c>
    </row>
    <row r="457" spans="1:24" x14ac:dyDescent="0.3">
      <c r="A457">
        <v>2</v>
      </c>
      <c r="B457">
        <v>1</v>
      </c>
      <c r="C457" s="8">
        <v>20</v>
      </c>
      <c r="D457" s="8"/>
      <c r="N457" t="s">
        <v>27</v>
      </c>
      <c r="O457">
        <v>3</v>
      </c>
      <c r="P457" s="8">
        <v>28</v>
      </c>
      <c r="V457">
        <v>0.24</v>
      </c>
      <c r="W457">
        <v>3</v>
      </c>
      <c r="X457" s="8">
        <v>28</v>
      </c>
    </row>
    <row r="458" spans="1:24" x14ac:dyDescent="0.3">
      <c r="A458">
        <v>2</v>
      </c>
      <c r="B458">
        <v>0</v>
      </c>
      <c r="C458" s="8">
        <v>6</v>
      </c>
      <c r="D458" s="8"/>
      <c r="N458" t="s">
        <v>27</v>
      </c>
      <c r="O458">
        <v>1</v>
      </c>
      <c r="P458" s="8">
        <v>20</v>
      </c>
      <c r="V458">
        <v>0.24</v>
      </c>
      <c r="W458">
        <v>1</v>
      </c>
      <c r="X458" s="8">
        <v>20</v>
      </c>
    </row>
    <row r="459" spans="1:24" x14ac:dyDescent="0.3">
      <c r="A459">
        <v>3</v>
      </c>
      <c r="B459">
        <v>0</v>
      </c>
      <c r="C459" s="8">
        <v>2</v>
      </c>
      <c r="D459" s="8"/>
      <c r="N459" t="s">
        <v>27</v>
      </c>
      <c r="O459">
        <v>0</v>
      </c>
      <c r="P459" s="8">
        <v>6</v>
      </c>
      <c r="V459">
        <v>0.24</v>
      </c>
      <c r="W459">
        <v>0</v>
      </c>
      <c r="X459" s="8">
        <v>6</v>
      </c>
    </row>
    <row r="460" spans="1:24" x14ac:dyDescent="0.3">
      <c r="A460">
        <v>3</v>
      </c>
      <c r="B460">
        <v>0</v>
      </c>
      <c r="C460" s="8">
        <v>1</v>
      </c>
      <c r="D460" s="8"/>
      <c r="N460" t="s">
        <v>27</v>
      </c>
      <c r="O460">
        <v>0</v>
      </c>
      <c r="P460" s="8">
        <v>2</v>
      </c>
      <c r="V460">
        <v>0.24</v>
      </c>
      <c r="W460">
        <v>0</v>
      </c>
      <c r="X460" s="8">
        <v>2</v>
      </c>
    </row>
    <row r="461" spans="1:24" x14ac:dyDescent="0.3">
      <c r="A461">
        <v>2</v>
      </c>
      <c r="B461">
        <v>0</v>
      </c>
      <c r="C461" s="8">
        <v>1</v>
      </c>
      <c r="D461" s="8"/>
      <c r="N461" t="s">
        <v>27</v>
      </c>
      <c r="O461">
        <v>0</v>
      </c>
      <c r="P461" s="8">
        <v>1</v>
      </c>
      <c r="V461">
        <v>0.22</v>
      </c>
      <c r="W461">
        <v>0</v>
      </c>
      <c r="X461" s="8">
        <v>1</v>
      </c>
    </row>
    <row r="462" spans="1:24" x14ac:dyDescent="0.3">
      <c r="A462">
        <v>1</v>
      </c>
      <c r="B462">
        <v>1</v>
      </c>
      <c r="C462" s="8">
        <v>4</v>
      </c>
      <c r="D462" s="8"/>
      <c r="N462" t="s">
        <v>27</v>
      </c>
      <c r="O462">
        <v>0</v>
      </c>
      <c r="P462" s="8">
        <v>1</v>
      </c>
      <c r="V462">
        <v>0.22</v>
      </c>
      <c r="W462">
        <v>0</v>
      </c>
      <c r="X462" s="8">
        <v>1</v>
      </c>
    </row>
    <row r="463" spans="1:24" x14ac:dyDescent="0.3">
      <c r="A463">
        <v>1</v>
      </c>
      <c r="B463">
        <v>0</v>
      </c>
      <c r="C463" s="8">
        <v>27</v>
      </c>
      <c r="D463" s="8"/>
      <c r="N463" t="s">
        <v>28</v>
      </c>
      <c r="O463">
        <v>1</v>
      </c>
      <c r="P463" s="8">
        <v>4</v>
      </c>
      <c r="V463">
        <v>0.24</v>
      </c>
      <c r="W463">
        <v>1</v>
      </c>
      <c r="X463" s="8">
        <v>4</v>
      </c>
    </row>
    <row r="464" spans="1:24" x14ac:dyDescent="0.3">
      <c r="A464">
        <v>1</v>
      </c>
      <c r="B464">
        <v>2</v>
      </c>
      <c r="C464" s="8">
        <v>66</v>
      </c>
      <c r="D464" s="8"/>
      <c r="N464" t="s">
        <v>28</v>
      </c>
      <c r="O464">
        <v>0</v>
      </c>
      <c r="P464" s="8">
        <v>27</v>
      </c>
      <c r="V464">
        <v>0.22</v>
      </c>
      <c r="W464">
        <v>0</v>
      </c>
      <c r="X464" s="8">
        <v>27</v>
      </c>
    </row>
    <row r="465" spans="1:24" x14ac:dyDescent="0.3">
      <c r="A465">
        <v>1</v>
      </c>
      <c r="B465">
        <v>7</v>
      </c>
      <c r="C465" s="8">
        <v>210</v>
      </c>
      <c r="D465" s="8"/>
      <c r="N465" t="s">
        <v>28</v>
      </c>
      <c r="O465">
        <v>2</v>
      </c>
      <c r="P465" s="8">
        <v>66</v>
      </c>
      <c r="V465">
        <v>0.2</v>
      </c>
      <c r="W465">
        <v>2</v>
      </c>
      <c r="X465" s="8">
        <v>66</v>
      </c>
    </row>
    <row r="466" spans="1:24" x14ac:dyDescent="0.3">
      <c r="A466">
        <v>1</v>
      </c>
      <c r="B466">
        <v>7</v>
      </c>
      <c r="C466" s="8">
        <v>159</v>
      </c>
      <c r="D466" s="8"/>
      <c r="N466" t="s">
        <v>28</v>
      </c>
      <c r="O466">
        <v>7</v>
      </c>
      <c r="P466" s="8">
        <v>210</v>
      </c>
      <c r="V466">
        <v>0.2</v>
      </c>
      <c r="W466">
        <v>7</v>
      </c>
      <c r="X466" s="8">
        <v>210</v>
      </c>
    </row>
    <row r="467" spans="1:24" x14ac:dyDescent="0.3">
      <c r="A467">
        <v>1</v>
      </c>
      <c r="B467">
        <v>6</v>
      </c>
      <c r="C467" s="8">
        <v>57</v>
      </c>
      <c r="D467" s="8"/>
      <c r="N467" t="s">
        <v>28</v>
      </c>
      <c r="O467">
        <v>7</v>
      </c>
      <c r="P467" s="8">
        <v>159</v>
      </c>
      <c r="V467">
        <v>0.2</v>
      </c>
      <c r="W467">
        <v>7</v>
      </c>
      <c r="X467" s="8">
        <v>159</v>
      </c>
    </row>
    <row r="468" spans="1:24" x14ac:dyDescent="0.3">
      <c r="A468">
        <v>1</v>
      </c>
      <c r="B468">
        <v>6</v>
      </c>
      <c r="C468" s="8">
        <v>53</v>
      </c>
      <c r="D468" s="8"/>
      <c r="N468" t="s">
        <v>28</v>
      </c>
      <c r="O468">
        <v>6</v>
      </c>
      <c r="P468" s="8">
        <v>57</v>
      </c>
      <c r="V468">
        <v>0.2</v>
      </c>
      <c r="W468">
        <v>6</v>
      </c>
      <c r="X468" s="8">
        <v>57</v>
      </c>
    </row>
    <row r="469" spans="1:24" x14ac:dyDescent="0.3">
      <c r="A469">
        <v>1</v>
      </c>
      <c r="B469">
        <v>11</v>
      </c>
      <c r="C469" s="8">
        <v>67</v>
      </c>
      <c r="D469" s="8"/>
      <c r="N469" t="s">
        <v>28</v>
      </c>
      <c r="O469">
        <v>6</v>
      </c>
      <c r="P469" s="8">
        <v>53</v>
      </c>
      <c r="V469">
        <v>0.22</v>
      </c>
      <c r="W469">
        <v>6</v>
      </c>
      <c r="X469" s="8">
        <v>53</v>
      </c>
    </row>
    <row r="470" spans="1:24" x14ac:dyDescent="0.3">
      <c r="A470">
        <v>1</v>
      </c>
      <c r="B470">
        <v>8</v>
      </c>
      <c r="C470" s="8">
        <v>65</v>
      </c>
      <c r="D470" s="8"/>
      <c r="N470" t="s">
        <v>28</v>
      </c>
      <c r="O470">
        <v>11</v>
      </c>
      <c r="P470" s="8">
        <v>67</v>
      </c>
      <c r="V470">
        <v>0.22</v>
      </c>
      <c r="W470">
        <v>11</v>
      </c>
      <c r="X470" s="8">
        <v>67</v>
      </c>
    </row>
    <row r="471" spans="1:24" x14ac:dyDescent="0.3">
      <c r="A471">
        <v>1</v>
      </c>
      <c r="B471">
        <v>6</v>
      </c>
      <c r="C471" s="8">
        <v>56</v>
      </c>
      <c r="D471" s="8"/>
      <c r="N471" t="s">
        <v>28</v>
      </c>
      <c r="O471">
        <v>8</v>
      </c>
      <c r="P471" s="8">
        <v>65</v>
      </c>
      <c r="V471">
        <v>0.2</v>
      </c>
      <c r="W471">
        <v>8</v>
      </c>
      <c r="X471" s="8">
        <v>65</v>
      </c>
    </row>
    <row r="472" spans="1:24" x14ac:dyDescent="0.3">
      <c r="A472">
        <v>1</v>
      </c>
      <c r="B472">
        <v>4</v>
      </c>
      <c r="C472" s="8">
        <v>61</v>
      </c>
      <c r="D472" s="8"/>
      <c r="N472" t="s">
        <v>28</v>
      </c>
      <c r="O472">
        <v>6</v>
      </c>
      <c r="P472" s="8">
        <v>56</v>
      </c>
      <c r="V472">
        <v>0.2</v>
      </c>
      <c r="W472">
        <v>6</v>
      </c>
      <c r="X472" s="8">
        <v>56</v>
      </c>
    </row>
    <row r="473" spans="1:24" x14ac:dyDescent="0.3">
      <c r="A473">
        <v>1</v>
      </c>
      <c r="B473">
        <v>0</v>
      </c>
      <c r="C473" s="8">
        <v>97</v>
      </c>
      <c r="D473" s="8"/>
      <c r="N473" t="s">
        <v>28</v>
      </c>
      <c r="O473">
        <v>4</v>
      </c>
      <c r="P473" s="8">
        <v>61</v>
      </c>
      <c r="V473">
        <v>0.16</v>
      </c>
      <c r="W473">
        <v>4</v>
      </c>
      <c r="X473" s="8">
        <v>61</v>
      </c>
    </row>
    <row r="474" spans="1:24" x14ac:dyDescent="0.3">
      <c r="A474">
        <v>1</v>
      </c>
      <c r="B474">
        <v>10</v>
      </c>
      <c r="C474" s="8">
        <v>151</v>
      </c>
      <c r="D474" s="8"/>
      <c r="N474" t="s">
        <v>28</v>
      </c>
      <c r="O474">
        <v>0</v>
      </c>
      <c r="P474" s="8">
        <v>97</v>
      </c>
      <c r="V474">
        <v>0.16</v>
      </c>
      <c r="W474">
        <v>0</v>
      </c>
      <c r="X474" s="8">
        <v>97</v>
      </c>
    </row>
    <row r="475" spans="1:24" x14ac:dyDescent="0.3">
      <c r="A475">
        <v>1</v>
      </c>
      <c r="B475">
        <v>1</v>
      </c>
      <c r="C475" s="8">
        <v>119</v>
      </c>
      <c r="D475" s="8"/>
      <c r="N475" t="s">
        <v>28</v>
      </c>
      <c r="O475">
        <v>10</v>
      </c>
      <c r="P475" s="8">
        <v>151</v>
      </c>
      <c r="V475">
        <v>0.14000000000000001</v>
      </c>
      <c r="W475">
        <v>10</v>
      </c>
      <c r="X475" s="8">
        <v>151</v>
      </c>
    </row>
    <row r="476" spans="1:24" x14ac:dyDescent="0.3">
      <c r="A476">
        <v>1</v>
      </c>
      <c r="B476">
        <v>3</v>
      </c>
      <c r="C476" s="8">
        <v>93</v>
      </c>
      <c r="D476" s="8"/>
      <c r="N476" t="s">
        <v>28</v>
      </c>
      <c r="O476">
        <v>1</v>
      </c>
      <c r="P476" s="8">
        <v>119</v>
      </c>
      <c r="V476">
        <v>0.12</v>
      </c>
      <c r="W476">
        <v>1</v>
      </c>
      <c r="X476" s="8">
        <v>119</v>
      </c>
    </row>
    <row r="477" spans="1:24" x14ac:dyDescent="0.3">
      <c r="A477">
        <v>1</v>
      </c>
      <c r="B477">
        <v>1</v>
      </c>
      <c r="C477" s="8">
        <v>52</v>
      </c>
      <c r="D477" s="8"/>
      <c r="N477" t="s">
        <v>28</v>
      </c>
      <c r="O477">
        <v>3</v>
      </c>
      <c r="P477" s="8">
        <v>93</v>
      </c>
      <c r="V477">
        <v>0.12</v>
      </c>
      <c r="W477">
        <v>3</v>
      </c>
      <c r="X477" s="8">
        <v>93</v>
      </c>
    </row>
    <row r="478" spans="1:24" x14ac:dyDescent="0.3">
      <c r="A478">
        <v>1</v>
      </c>
      <c r="B478">
        <v>0</v>
      </c>
      <c r="C478" s="8">
        <v>41</v>
      </c>
      <c r="D478" s="8"/>
      <c r="N478" t="s">
        <v>28</v>
      </c>
      <c r="O478">
        <v>1</v>
      </c>
      <c r="P478" s="8">
        <v>52</v>
      </c>
      <c r="V478">
        <v>0.1</v>
      </c>
      <c r="W478">
        <v>1</v>
      </c>
      <c r="X478" s="8">
        <v>52</v>
      </c>
    </row>
    <row r="479" spans="1:24" x14ac:dyDescent="0.3">
      <c r="A479">
        <v>1</v>
      </c>
      <c r="B479">
        <v>1</v>
      </c>
      <c r="C479" s="8">
        <v>33</v>
      </c>
      <c r="D479" s="8"/>
      <c r="N479" t="s">
        <v>28</v>
      </c>
      <c r="O479">
        <v>0</v>
      </c>
      <c r="P479" s="8">
        <v>41</v>
      </c>
      <c r="V479">
        <v>0.08</v>
      </c>
      <c r="W479">
        <v>0</v>
      </c>
      <c r="X479" s="8">
        <v>41</v>
      </c>
    </row>
    <row r="480" spans="1:24" x14ac:dyDescent="0.3">
      <c r="A480">
        <v>1</v>
      </c>
      <c r="B480">
        <v>0</v>
      </c>
      <c r="C480" s="8">
        <v>27</v>
      </c>
      <c r="D480" s="8"/>
      <c r="N480" t="s">
        <v>28</v>
      </c>
      <c r="O480">
        <v>1</v>
      </c>
      <c r="P480" s="8">
        <v>33</v>
      </c>
      <c r="V480">
        <v>0.06</v>
      </c>
      <c r="W480">
        <v>1</v>
      </c>
      <c r="X480" s="8">
        <v>33</v>
      </c>
    </row>
    <row r="481" spans="1:24" x14ac:dyDescent="0.3">
      <c r="A481">
        <v>1</v>
      </c>
      <c r="B481">
        <v>0</v>
      </c>
      <c r="C481" s="8">
        <v>13</v>
      </c>
      <c r="D481" s="8"/>
      <c r="N481" t="s">
        <v>28</v>
      </c>
      <c r="O481">
        <v>0</v>
      </c>
      <c r="P481" s="8">
        <v>27</v>
      </c>
      <c r="V481">
        <v>0.06</v>
      </c>
      <c r="W481">
        <v>0</v>
      </c>
      <c r="X481" s="8">
        <v>27</v>
      </c>
    </row>
    <row r="482" spans="1:24" x14ac:dyDescent="0.3">
      <c r="A482">
        <v>2</v>
      </c>
      <c r="B482">
        <v>3</v>
      </c>
      <c r="C482" s="8">
        <v>9</v>
      </c>
      <c r="D482" s="8"/>
      <c r="N482" t="s">
        <v>28</v>
      </c>
      <c r="O482">
        <v>0</v>
      </c>
      <c r="P482" s="8">
        <v>13</v>
      </c>
      <c r="V482">
        <v>0.04</v>
      </c>
      <c r="W482">
        <v>0</v>
      </c>
      <c r="X482" s="8">
        <v>13</v>
      </c>
    </row>
    <row r="483" spans="1:24" x14ac:dyDescent="0.3">
      <c r="A483">
        <v>2</v>
      </c>
      <c r="B483">
        <v>0</v>
      </c>
      <c r="C483" s="8">
        <v>11</v>
      </c>
      <c r="D483" s="8"/>
      <c r="N483" t="s">
        <v>28</v>
      </c>
      <c r="O483">
        <v>3</v>
      </c>
      <c r="P483" s="8">
        <v>9</v>
      </c>
      <c r="V483">
        <v>0.04</v>
      </c>
      <c r="W483">
        <v>3</v>
      </c>
      <c r="X483" s="8">
        <v>9</v>
      </c>
    </row>
    <row r="484" spans="1:24" x14ac:dyDescent="0.3">
      <c r="A484">
        <v>2</v>
      </c>
      <c r="B484">
        <v>1</v>
      </c>
      <c r="C484" s="8">
        <v>6</v>
      </c>
      <c r="D484" s="8"/>
      <c r="N484" t="s">
        <v>28</v>
      </c>
      <c r="O484">
        <v>0</v>
      </c>
      <c r="P484" s="8">
        <v>11</v>
      </c>
      <c r="V484">
        <v>0.04</v>
      </c>
      <c r="W484">
        <v>0</v>
      </c>
      <c r="X484" s="8">
        <v>11</v>
      </c>
    </row>
    <row r="485" spans="1:24" x14ac:dyDescent="0.3">
      <c r="A485">
        <v>2</v>
      </c>
      <c r="B485">
        <v>0</v>
      </c>
      <c r="C485" s="8">
        <v>3</v>
      </c>
      <c r="D485" s="8"/>
      <c r="N485" t="s">
        <v>28</v>
      </c>
      <c r="O485">
        <v>1</v>
      </c>
      <c r="P485" s="8">
        <v>6</v>
      </c>
      <c r="V485">
        <v>0.04</v>
      </c>
      <c r="W485">
        <v>1</v>
      </c>
      <c r="X485" s="8">
        <v>6</v>
      </c>
    </row>
    <row r="486" spans="1:24" x14ac:dyDescent="0.3">
      <c r="A486">
        <v>2</v>
      </c>
      <c r="B486">
        <v>0</v>
      </c>
      <c r="C486" s="8">
        <v>2</v>
      </c>
      <c r="D486" s="8"/>
      <c r="N486" t="s">
        <v>19</v>
      </c>
      <c r="O486">
        <v>0</v>
      </c>
      <c r="P486" s="8">
        <v>3</v>
      </c>
      <c r="V486">
        <v>0.02</v>
      </c>
      <c r="W486">
        <v>0</v>
      </c>
      <c r="X486" s="8">
        <v>3</v>
      </c>
    </row>
    <row r="487" spans="1:24" x14ac:dyDescent="0.3">
      <c r="A487">
        <v>1</v>
      </c>
      <c r="B487">
        <v>0</v>
      </c>
      <c r="C487" s="8">
        <v>8</v>
      </c>
      <c r="D487" s="8"/>
      <c r="N487" t="s">
        <v>19</v>
      </c>
      <c r="O487">
        <v>0</v>
      </c>
      <c r="P487" s="8">
        <v>2</v>
      </c>
      <c r="V487">
        <v>0.02</v>
      </c>
      <c r="W487">
        <v>0</v>
      </c>
      <c r="X487" s="8">
        <v>2</v>
      </c>
    </row>
    <row r="488" spans="1:24" x14ac:dyDescent="0.3">
      <c r="A488">
        <v>1</v>
      </c>
      <c r="B488">
        <v>1</v>
      </c>
      <c r="C488" s="8">
        <v>26</v>
      </c>
      <c r="D488" s="8"/>
      <c r="N488" t="s">
        <v>19</v>
      </c>
      <c r="O488">
        <v>0</v>
      </c>
      <c r="P488" s="8">
        <v>8</v>
      </c>
      <c r="V488">
        <v>0.02</v>
      </c>
      <c r="W488">
        <v>0</v>
      </c>
      <c r="X488" s="8">
        <v>8</v>
      </c>
    </row>
    <row r="489" spans="1:24" x14ac:dyDescent="0.3">
      <c r="A489">
        <v>1</v>
      </c>
      <c r="B489">
        <v>3</v>
      </c>
      <c r="C489" s="8">
        <v>37</v>
      </c>
      <c r="D489" s="8"/>
      <c r="N489" t="s">
        <v>19</v>
      </c>
      <c r="O489">
        <v>1</v>
      </c>
      <c r="P489" s="8">
        <v>26</v>
      </c>
      <c r="V489">
        <v>0.02</v>
      </c>
      <c r="W489">
        <v>1</v>
      </c>
      <c r="X489" s="8">
        <v>26</v>
      </c>
    </row>
    <row r="490" spans="1:24" x14ac:dyDescent="0.3">
      <c r="A490">
        <v>2</v>
      </c>
      <c r="B490">
        <v>3</v>
      </c>
      <c r="C490" s="8">
        <v>50</v>
      </c>
      <c r="D490" s="8"/>
      <c r="N490" t="s">
        <v>19</v>
      </c>
      <c r="O490">
        <v>3</v>
      </c>
      <c r="P490" s="8">
        <v>37</v>
      </c>
      <c r="V490">
        <v>0.04</v>
      </c>
      <c r="W490">
        <v>3</v>
      </c>
      <c r="X490" s="8">
        <v>37</v>
      </c>
    </row>
    <row r="491" spans="1:24" x14ac:dyDescent="0.3">
      <c r="A491">
        <v>2</v>
      </c>
      <c r="B491">
        <v>4</v>
      </c>
      <c r="C491" s="8">
        <v>59</v>
      </c>
      <c r="D491" s="8"/>
      <c r="N491" t="s">
        <v>19</v>
      </c>
      <c r="O491">
        <v>3</v>
      </c>
      <c r="P491" s="8">
        <v>50</v>
      </c>
      <c r="V491">
        <v>0.04</v>
      </c>
      <c r="W491">
        <v>3</v>
      </c>
      <c r="X491" s="8">
        <v>50</v>
      </c>
    </row>
    <row r="492" spans="1:24" x14ac:dyDescent="0.3">
      <c r="A492">
        <v>2</v>
      </c>
      <c r="B492">
        <v>10</v>
      </c>
      <c r="C492" s="8">
        <v>60</v>
      </c>
      <c r="D492" s="8"/>
      <c r="N492" t="s">
        <v>19</v>
      </c>
      <c r="O492">
        <v>4</v>
      </c>
      <c r="P492" s="8">
        <v>59</v>
      </c>
      <c r="V492">
        <v>0.06</v>
      </c>
      <c r="W492">
        <v>4</v>
      </c>
      <c r="X492" s="8">
        <v>59</v>
      </c>
    </row>
    <row r="493" spans="1:24" x14ac:dyDescent="0.3">
      <c r="A493">
        <v>1</v>
      </c>
      <c r="B493">
        <v>12</v>
      </c>
      <c r="C493" s="8">
        <v>72</v>
      </c>
      <c r="D493" s="8"/>
      <c r="N493" t="s">
        <v>19</v>
      </c>
      <c r="O493">
        <v>10</v>
      </c>
      <c r="P493" s="8">
        <v>60</v>
      </c>
      <c r="V493">
        <v>0.06</v>
      </c>
      <c r="W493">
        <v>10</v>
      </c>
      <c r="X493" s="8">
        <v>60</v>
      </c>
    </row>
    <row r="494" spans="1:24" x14ac:dyDescent="0.3">
      <c r="A494">
        <v>1</v>
      </c>
      <c r="B494">
        <v>11</v>
      </c>
      <c r="C494" s="8">
        <v>64</v>
      </c>
      <c r="D494" s="8"/>
      <c r="N494" t="s">
        <v>19</v>
      </c>
      <c r="O494">
        <v>12</v>
      </c>
      <c r="P494" s="8">
        <v>72</v>
      </c>
      <c r="V494">
        <v>0.08</v>
      </c>
      <c r="W494">
        <v>12</v>
      </c>
      <c r="X494" s="8">
        <v>72</v>
      </c>
    </row>
    <row r="495" spans="1:24" x14ac:dyDescent="0.3">
      <c r="A495">
        <v>1</v>
      </c>
      <c r="B495">
        <v>10</v>
      </c>
      <c r="C495" s="8">
        <v>93</v>
      </c>
      <c r="D495" s="8"/>
      <c r="N495" t="s">
        <v>19</v>
      </c>
      <c r="O495">
        <v>11</v>
      </c>
      <c r="P495" s="8">
        <v>64</v>
      </c>
      <c r="V495">
        <v>0.1</v>
      </c>
      <c r="W495">
        <v>11</v>
      </c>
      <c r="X495" s="8">
        <v>64</v>
      </c>
    </row>
    <row r="496" spans="1:24" x14ac:dyDescent="0.3">
      <c r="A496">
        <v>1</v>
      </c>
      <c r="B496">
        <v>11</v>
      </c>
      <c r="C496" s="8">
        <v>72</v>
      </c>
      <c r="D496" s="8"/>
      <c r="N496" t="s">
        <v>19</v>
      </c>
      <c r="O496">
        <v>10</v>
      </c>
      <c r="P496" s="8">
        <v>93</v>
      </c>
      <c r="V496">
        <v>0.12</v>
      </c>
      <c r="W496">
        <v>10</v>
      </c>
      <c r="X496" s="8">
        <v>93</v>
      </c>
    </row>
    <row r="497" spans="1:24" x14ac:dyDescent="0.3">
      <c r="A497">
        <v>1</v>
      </c>
      <c r="B497">
        <v>8</v>
      </c>
      <c r="C497" s="8">
        <v>59</v>
      </c>
      <c r="D497" s="8"/>
      <c r="N497" t="s">
        <v>19</v>
      </c>
      <c r="O497">
        <v>11</v>
      </c>
      <c r="P497" s="8">
        <v>72</v>
      </c>
      <c r="V497">
        <v>0.12</v>
      </c>
      <c r="W497">
        <v>11</v>
      </c>
      <c r="X497" s="8">
        <v>72</v>
      </c>
    </row>
    <row r="498" spans="1:24" x14ac:dyDescent="0.3">
      <c r="A498">
        <v>1</v>
      </c>
      <c r="B498">
        <v>0</v>
      </c>
      <c r="C498" s="8">
        <v>54</v>
      </c>
      <c r="D498" s="8"/>
      <c r="N498" t="s">
        <v>19</v>
      </c>
      <c r="O498">
        <v>8</v>
      </c>
      <c r="P498" s="8">
        <v>59</v>
      </c>
      <c r="V498">
        <v>0.12</v>
      </c>
      <c r="W498">
        <v>8</v>
      </c>
      <c r="X498" s="8">
        <v>59</v>
      </c>
    </row>
    <row r="499" spans="1:24" x14ac:dyDescent="0.3">
      <c r="A499">
        <v>1</v>
      </c>
      <c r="B499">
        <v>6</v>
      </c>
      <c r="C499" s="8">
        <v>53</v>
      </c>
      <c r="D499" s="8"/>
      <c r="N499" t="s">
        <v>19</v>
      </c>
      <c r="O499">
        <v>0</v>
      </c>
      <c r="P499" s="8">
        <v>54</v>
      </c>
      <c r="V499">
        <v>0.08</v>
      </c>
      <c r="W499">
        <v>0</v>
      </c>
      <c r="X499" s="8">
        <v>54</v>
      </c>
    </row>
    <row r="500" spans="1:24" x14ac:dyDescent="0.3">
      <c r="A500">
        <v>1</v>
      </c>
      <c r="B500">
        <v>1</v>
      </c>
      <c r="C500" s="8">
        <v>44</v>
      </c>
      <c r="D500" s="8"/>
      <c r="N500" t="s">
        <v>19</v>
      </c>
      <c r="O500">
        <v>6</v>
      </c>
      <c r="P500" s="8">
        <v>53</v>
      </c>
      <c r="V500">
        <v>0.08</v>
      </c>
      <c r="W500">
        <v>6</v>
      </c>
      <c r="X500" s="8">
        <v>53</v>
      </c>
    </row>
    <row r="501" spans="1:24" x14ac:dyDescent="0.3">
      <c r="A501">
        <v>1</v>
      </c>
      <c r="B501">
        <v>0</v>
      </c>
      <c r="C501" s="8">
        <v>39</v>
      </c>
      <c r="D501" s="8"/>
      <c r="N501" t="s">
        <v>19</v>
      </c>
      <c r="O501">
        <v>1</v>
      </c>
      <c r="P501" s="8">
        <v>44</v>
      </c>
      <c r="V501">
        <v>0.06</v>
      </c>
      <c r="W501">
        <v>1</v>
      </c>
      <c r="X501" s="8">
        <v>44</v>
      </c>
    </row>
    <row r="502" spans="1:24" x14ac:dyDescent="0.3">
      <c r="A502">
        <v>1</v>
      </c>
      <c r="B502">
        <v>7</v>
      </c>
      <c r="C502" s="8">
        <v>23</v>
      </c>
      <c r="D502" s="8"/>
      <c r="N502" t="s">
        <v>19</v>
      </c>
      <c r="O502">
        <v>0</v>
      </c>
      <c r="P502" s="8">
        <v>39</v>
      </c>
      <c r="V502">
        <v>0.06</v>
      </c>
      <c r="W502">
        <v>0</v>
      </c>
      <c r="X502" s="8">
        <v>39</v>
      </c>
    </row>
    <row r="503" spans="1:24" x14ac:dyDescent="0.3">
      <c r="A503">
        <v>1</v>
      </c>
      <c r="B503">
        <v>2</v>
      </c>
      <c r="C503" s="8">
        <v>31</v>
      </c>
      <c r="D503" s="8"/>
      <c r="N503" t="s">
        <v>19</v>
      </c>
      <c r="O503">
        <v>7</v>
      </c>
      <c r="P503" s="8">
        <v>23</v>
      </c>
      <c r="V503">
        <v>0.06</v>
      </c>
      <c r="W503">
        <v>7</v>
      </c>
      <c r="X503" s="8">
        <v>23</v>
      </c>
    </row>
    <row r="504" spans="1:24" x14ac:dyDescent="0.3">
      <c r="A504">
        <v>1</v>
      </c>
      <c r="B504">
        <v>2</v>
      </c>
      <c r="C504" s="8">
        <v>20</v>
      </c>
      <c r="D504" s="8"/>
      <c r="N504" t="s">
        <v>19</v>
      </c>
      <c r="O504">
        <v>2</v>
      </c>
      <c r="P504" s="8">
        <v>31</v>
      </c>
      <c r="V504">
        <v>0.04</v>
      </c>
      <c r="W504">
        <v>2</v>
      </c>
      <c r="X504" s="8">
        <v>31</v>
      </c>
    </row>
    <row r="505" spans="1:24" x14ac:dyDescent="0.3">
      <c r="A505">
        <v>1</v>
      </c>
      <c r="B505">
        <v>1</v>
      </c>
      <c r="C505" s="8">
        <v>12</v>
      </c>
      <c r="D505" s="8"/>
      <c r="N505" t="s">
        <v>19</v>
      </c>
      <c r="O505">
        <v>2</v>
      </c>
      <c r="P505" s="8">
        <v>20</v>
      </c>
      <c r="V505">
        <v>0.04</v>
      </c>
      <c r="W505">
        <v>2</v>
      </c>
      <c r="X505" s="8">
        <v>20</v>
      </c>
    </row>
    <row r="506" spans="1:24" x14ac:dyDescent="0.3">
      <c r="A506">
        <v>1</v>
      </c>
      <c r="B506">
        <v>3</v>
      </c>
      <c r="C506" s="8">
        <v>15</v>
      </c>
      <c r="D506" s="8"/>
      <c r="N506" t="s">
        <v>19</v>
      </c>
      <c r="O506">
        <v>1</v>
      </c>
      <c r="P506" s="8">
        <v>12</v>
      </c>
      <c r="V506">
        <v>0.04</v>
      </c>
      <c r="W506">
        <v>1</v>
      </c>
      <c r="X506" s="8">
        <v>12</v>
      </c>
    </row>
    <row r="507" spans="1:24" x14ac:dyDescent="0.3">
      <c r="A507">
        <v>1</v>
      </c>
      <c r="B507">
        <v>1</v>
      </c>
      <c r="C507" s="8">
        <v>4</v>
      </c>
      <c r="D507" s="8"/>
      <c r="N507" t="s">
        <v>19</v>
      </c>
      <c r="O507">
        <v>3</v>
      </c>
      <c r="P507" s="8">
        <v>15</v>
      </c>
      <c r="V507">
        <v>0.02</v>
      </c>
      <c r="W507">
        <v>3</v>
      </c>
      <c r="X507" s="8">
        <v>15</v>
      </c>
    </row>
    <row r="508" spans="1:24" x14ac:dyDescent="0.3">
      <c r="A508">
        <v>2</v>
      </c>
      <c r="B508">
        <v>0</v>
      </c>
      <c r="C508" s="8">
        <v>3</v>
      </c>
      <c r="D508" s="8"/>
      <c r="N508" t="s">
        <v>19</v>
      </c>
      <c r="O508">
        <v>1</v>
      </c>
      <c r="P508" s="8">
        <v>4</v>
      </c>
      <c r="V508">
        <v>0.02</v>
      </c>
      <c r="W508">
        <v>1</v>
      </c>
      <c r="X508" s="8">
        <v>4</v>
      </c>
    </row>
    <row r="509" spans="1:24" x14ac:dyDescent="0.3">
      <c r="A509">
        <v>2</v>
      </c>
      <c r="B509">
        <v>0</v>
      </c>
      <c r="C509" s="8">
        <v>1</v>
      </c>
      <c r="D509" s="8"/>
      <c r="N509" t="s">
        <v>19</v>
      </c>
      <c r="O509">
        <v>0</v>
      </c>
      <c r="P509" s="8">
        <v>3</v>
      </c>
      <c r="V509">
        <v>0.04</v>
      </c>
      <c r="W509">
        <v>0</v>
      </c>
      <c r="X509" s="8">
        <v>3</v>
      </c>
    </row>
    <row r="510" spans="1:24" x14ac:dyDescent="0.3">
      <c r="A510">
        <v>1</v>
      </c>
      <c r="B510">
        <v>1</v>
      </c>
      <c r="C510" s="8">
        <v>1</v>
      </c>
      <c r="D510" s="8"/>
      <c r="N510" t="s">
        <v>23</v>
      </c>
      <c r="O510">
        <v>0</v>
      </c>
      <c r="P510" s="8">
        <v>1</v>
      </c>
      <c r="V510">
        <v>0.04</v>
      </c>
      <c r="W510">
        <v>0</v>
      </c>
      <c r="X510" s="8">
        <v>1</v>
      </c>
    </row>
    <row r="511" spans="1:24" x14ac:dyDescent="0.3">
      <c r="A511">
        <v>1</v>
      </c>
      <c r="B511">
        <v>2</v>
      </c>
      <c r="C511" s="8">
        <v>17</v>
      </c>
      <c r="D511" s="8"/>
      <c r="N511" t="s">
        <v>23</v>
      </c>
      <c r="O511">
        <v>1</v>
      </c>
      <c r="P511" s="8">
        <v>1</v>
      </c>
      <c r="V511">
        <v>0.08</v>
      </c>
      <c r="W511">
        <v>1</v>
      </c>
      <c r="X511" s="8">
        <v>1</v>
      </c>
    </row>
    <row r="512" spans="1:24" x14ac:dyDescent="0.3">
      <c r="A512">
        <v>1</v>
      </c>
      <c r="B512">
        <v>3</v>
      </c>
      <c r="C512" s="8">
        <v>25</v>
      </c>
      <c r="D512" s="8"/>
      <c r="N512" t="s">
        <v>23</v>
      </c>
      <c r="O512">
        <v>2</v>
      </c>
      <c r="P512" s="8">
        <v>17</v>
      </c>
      <c r="V512">
        <v>0.06</v>
      </c>
      <c r="W512">
        <v>2</v>
      </c>
      <c r="X512" s="8">
        <v>17</v>
      </c>
    </row>
    <row r="513" spans="1:24" x14ac:dyDescent="0.3">
      <c r="A513">
        <v>1</v>
      </c>
      <c r="B513">
        <v>7</v>
      </c>
      <c r="C513" s="8">
        <v>51</v>
      </c>
      <c r="D513" s="8"/>
      <c r="N513" t="s">
        <v>23</v>
      </c>
      <c r="O513">
        <v>3</v>
      </c>
      <c r="P513" s="8">
        <v>25</v>
      </c>
      <c r="V513">
        <v>0.1</v>
      </c>
      <c r="W513">
        <v>3</v>
      </c>
      <c r="X513" s="8">
        <v>25</v>
      </c>
    </row>
    <row r="514" spans="1:24" x14ac:dyDescent="0.3">
      <c r="A514">
        <v>1</v>
      </c>
      <c r="B514">
        <v>22</v>
      </c>
      <c r="C514" s="8">
        <v>77</v>
      </c>
      <c r="D514" s="8"/>
      <c r="N514" t="s">
        <v>23</v>
      </c>
      <c r="O514">
        <v>7</v>
      </c>
      <c r="P514" s="8">
        <v>51</v>
      </c>
      <c r="V514">
        <v>0.14000000000000001</v>
      </c>
      <c r="W514">
        <v>7</v>
      </c>
      <c r="X514" s="8">
        <v>51</v>
      </c>
    </row>
    <row r="515" spans="1:24" x14ac:dyDescent="0.3">
      <c r="A515">
        <v>1</v>
      </c>
      <c r="B515">
        <v>24</v>
      </c>
      <c r="C515" s="8">
        <v>92</v>
      </c>
      <c r="D515" s="8"/>
      <c r="N515" t="s">
        <v>23</v>
      </c>
      <c r="O515">
        <v>22</v>
      </c>
      <c r="P515" s="8">
        <v>77</v>
      </c>
      <c r="V515">
        <v>0.14000000000000001</v>
      </c>
      <c r="W515">
        <v>22</v>
      </c>
      <c r="X515" s="8">
        <v>77</v>
      </c>
    </row>
    <row r="516" spans="1:24" x14ac:dyDescent="0.3">
      <c r="A516">
        <v>1</v>
      </c>
      <c r="B516">
        <v>12</v>
      </c>
      <c r="C516" s="8">
        <v>75</v>
      </c>
      <c r="D516" s="8"/>
      <c r="N516" t="s">
        <v>23</v>
      </c>
      <c r="O516">
        <v>24</v>
      </c>
      <c r="P516" s="8">
        <v>92</v>
      </c>
      <c r="V516">
        <v>0.16</v>
      </c>
      <c r="W516">
        <v>24</v>
      </c>
      <c r="X516" s="8">
        <v>92</v>
      </c>
    </row>
    <row r="517" spans="1:24" x14ac:dyDescent="0.3">
      <c r="A517">
        <v>1</v>
      </c>
      <c r="B517">
        <v>17</v>
      </c>
      <c r="C517" s="8">
        <v>93</v>
      </c>
      <c r="D517" s="8"/>
      <c r="N517" t="s">
        <v>23</v>
      </c>
      <c r="O517">
        <v>12</v>
      </c>
      <c r="P517" s="8">
        <v>75</v>
      </c>
      <c r="V517">
        <v>0.14000000000000001</v>
      </c>
      <c r="W517">
        <v>12</v>
      </c>
      <c r="X517" s="8">
        <v>75</v>
      </c>
    </row>
    <row r="518" spans="1:24" x14ac:dyDescent="0.3">
      <c r="A518">
        <v>1</v>
      </c>
      <c r="B518">
        <v>13</v>
      </c>
      <c r="C518" s="8">
        <v>64</v>
      </c>
      <c r="D518" s="8"/>
      <c r="N518" t="s">
        <v>23</v>
      </c>
      <c r="O518">
        <v>17</v>
      </c>
      <c r="P518" s="8">
        <v>93</v>
      </c>
      <c r="V518">
        <v>0.16</v>
      </c>
      <c r="W518">
        <v>17</v>
      </c>
      <c r="X518" s="8">
        <v>93</v>
      </c>
    </row>
    <row r="519" spans="1:24" x14ac:dyDescent="0.3">
      <c r="A519">
        <v>1</v>
      </c>
      <c r="B519">
        <v>9</v>
      </c>
      <c r="C519" s="8">
        <v>56</v>
      </c>
      <c r="D519" s="8"/>
      <c r="N519" t="s">
        <v>23</v>
      </c>
      <c r="O519">
        <v>13</v>
      </c>
      <c r="P519" s="8">
        <v>64</v>
      </c>
      <c r="V519">
        <v>0.16</v>
      </c>
      <c r="W519">
        <v>13</v>
      </c>
      <c r="X519" s="8">
        <v>64</v>
      </c>
    </row>
    <row r="520" spans="1:24" x14ac:dyDescent="0.3">
      <c r="A520">
        <v>1</v>
      </c>
      <c r="B520">
        <v>5</v>
      </c>
      <c r="C520" s="8">
        <v>50</v>
      </c>
      <c r="D520" s="8"/>
      <c r="N520" t="s">
        <v>23</v>
      </c>
      <c r="O520">
        <v>9</v>
      </c>
      <c r="P520" s="8">
        <v>56</v>
      </c>
      <c r="V520">
        <v>0.16</v>
      </c>
      <c r="W520">
        <v>9</v>
      </c>
      <c r="X520" s="8">
        <v>56</v>
      </c>
    </row>
    <row r="521" spans="1:24" x14ac:dyDescent="0.3">
      <c r="A521">
        <v>1</v>
      </c>
      <c r="B521">
        <v>5</v>
      </c>
      <c r="C521" s="8">
        <v>44</v>
      </c>
      <c r="D521" s="8"/>
      <c r="N521" t="s">
        <v>23</v>
      </c>
      <c r="O521">
        <v>5</v>
      </c>
      <c r="P521" s="8">
        <v>50</v>
      </c>
      <c r="V521">
        <v>0.14000000000000001</v>
      </c>
      <c r="W521">
        <v>5</v>
      </c>
      <c r="X521" s="8">
        <v>50</v>
      </c>
    </row>
    <row r="522" spans="1:24" x14ac:dyDescent="0.3">
      <c r="A522">
        <v>1</v>
      </c>
      <c r="B522">
        <v>5</v>
      </c>
      <c r="C522" s="8">
        <v>45</v>
      </c>
      <c r="D522" s="8"/>
      <c r="N522" t="s">
        <v>23</v>
      </c>
      <c r="O522">
        <v>5</v>
      </c>
      <c r="P522" s="8">
        <v>44</v>
      </c>
      <c r="V522">
        <v>0.12</v>
      </c>
      <c r="W522">
        <v>5</v>
      </c>
      <c r="X522" s="8">
        <v>44</v>
      </c>
    </row>
    <row r="523" spans="1:24" x14ac:dyDescent="0.3">
      <c r="A523">
        <v>1</v>
      </c>
      <c r="B523">
        <v>4</v>
      </c>
      <c r="C523" s="8">
        <v>31</v>
      </c>
      <c r="D523" s="8"/>
      <c r="N523" t="s">
        <v>23</v>
      </c>
      <c r="O523">
        <v>5</v>
      </c>
      <c r="P523" s="8">
        <v>45</v>
      </c>
      <c r="V523">
        <v>0.12</v>
      </c>
      <c r="W523">
        <v>5</v>
      </c>
      <c r="X523" s="8">
        <v>45</v>
      </c>
    </row>
    <row r="524" spans="1:24" x14ac:dyDescent="0.3">
      <c r="A524">
        <v>1</v>
      </c>
      <c r="B524">
        <v>5</v>
      </c>
      <c r="C524" s="8">
        <v>20</v>
      </c>
      <c r="D524" s="8"/>
      <c r="N524" t="s">
        <v>23</v>
      </c>
      <c r="O524">
        <v>4</v>
      </c>
      <c r="P524" s="8">
        <v>31</v>
      </c>
      <c r="V524">
        <v>0.1</v>
      </c>
      <c r="W524">
        <v>4</v>
      </c>
      <c r="X524" s="8">
        <v>31</v>
      </c>
    </row>
    <row r="525" spans="1:24" x14ac:dyDescent="0.3">
      <c r="A525">
        <v>1</v>
      </c>
      <c r="B525">
        <v>5</v>
      </c>
      <c r="C525" s="8">
        <v>23</v>
      </c>
      <c r="D525" s="8"/>
      <c r="N525" t="s">
        <v>23</v>
      </c>
      <c r="O525">
        <v>5</v>
      </c>
      <c r="P525" s="8">
        <v>20</v>
      </c>
      <c r="V525">
        <v>0.1</v>
      </c>
      <c r="W525">
        <v>5</v>
      </c>
      <c r="X525" s="8">
        <v>20</v>
      </c>
    </row>
    <row r="526" spans="1:24" x14ac:dyDescent="0.3">
      <c r="A526">
        <v>1</v>
      </c>
      <c r="B526">
        <v>4</v>
      </c>
      <c r="C526" s="8">
        <v>17</v>
      </c>
      <c r="D526" s="8"/>
      <c r="N526" t="s">
        <v>23</v>
      </c>
      <c r="O526">
        <v>5</v>
      </c>
      <c r="P526" s="8">
        <v>23</v>
      </c>
      <c r="V526">
        <v>0.08</v>
      </c>
      <c r="W526">
        <v>5</v>
      </c>
      <c r="X526" s="8">
        <v>23</v>
      </c>
    </row>
    <row r="527" spans="1:24" x14ac:dyDescent="0.3">
      <c r="A527">
        <v>1</v>
      </c>
      <c r="B527">
        <v>0</v>
      </c>
      <c r="C527" s="8">
        <v>7</v>
      </c>
      <c r="D527" s="8"/>
      <c r="N527" t="s">
        <v>23</v>
      </c>
      <c r="O527">
        <v>4</v>
      </c>
      <c r="P527" s="8">
        <v>17</v>
      </c>
      <c r="V527">
        <v>0.06</v>
      </c>
      <c r="W527">
        <v>4</v>
      </c>
      <c r="X527" s="8">
        <v>17</v>
      </c>
    </row>
    <row r="528" spans="1:24" x14ac:dyDescent="0.3">
      <c r="A528">
        <v>1</v>
      </c>
      <c r="B528">
        <v>0</v>
      </c>
      <c r="C528" s="8">
        <v>1</v>
      </c>
      <c r="D528" s="8"/>
      <c r="N528" t="s">
        <v>23</v>
      </c>
      <c r="O528">
        <v>0</v>
      </c>
      <c r="P528" s="8">
        <v>7</v>
      </c>
      <c r="V528">
        <v>0.06</v>
      </c>
      <c r="W528">
        <v>0</v>
      </c>
      <c r="X528" s="8">
        <v>7</v>
      </c>
    </row>
    <row r="529" spans="1:24" x14ac:dyDescent="0.3">
      <c r="A529">
        <v>1</v>
      </c>
      <c r="B529">
        <v>0</v>
      </c>
      <c r="C529" s="8">
        <v>1</v>
      </c>
      <c r="D529" s="8"/>
      <c r="N529" t="s">
        <v>23</v>
      </c>
      <c r="O529">
        <v>0</v>
      </c>
      <c r="P529" s="8">
        <v>1</v>
      </c>
      <c r="V529">
        <v>0.04</v>
      </c>
      <c r="W529">
        <v>0</v>
      </c>
      <c r="X529" s="8">
        <v>1</v>
      </c>
    </row>
    <row r="530" spans="1:24" x14ac:dyDescent="0.3">
      <c r="A530">
        <v>1</v>
      </c>
      <c r="B530">
        <v>0</v>
      </c>
      <c r="C530" s="8">
        <v>1</v>
      </c>
      <c r="D530" s="8"/>
      <c r="N530" t="s">
        <v>23</v>
      </c>
      <c r="O530">
        <v>0</v>
      </c>
      <c r="P530" s="8">
        <v>1</v>
      </c>
      <c r="V530">
        <v>0.04</v>
      </c>
      <c r="W530">
        <v>0</v>
      </c>
      <c r="X530" s="8">
        <v>1</v>
      </c>
    </row>
    <row r="531" spans="1:24" x14ac:dyDescent="0.3">
      <c r="A531">
        <v>1</v>
      </c>
      <c r="B531">
        <v>0</v>
      </c>
      <c r="C531" s="8">
        <v>5</v>
      </c>
      <c r="D531" s="8"/>
      <c r="N531" t="s">
        <v>23</v>
      </c>
      <c r="O531">
        <v>0</v>
      </c>
      <c r="P531" s="8">
        <v>1</v>
      </c>
      <c r="V531">
        <v>0.02</v>
      </c>
      <c r="W531">
        <v>0</v>
      </c>
      <c r="X531" s="8">
        <v>1</v>
      </c>
    </row>
    <row r="532" spans="1:24" x14ac:dyDescent="0.3">
      <c r="A532">
        <v>1</v>
      </c>
      <c r="B532">
        <v>0</v>
      </c>
      <c r="C532" s="8">
        <v>15</v>
      </c>
      <c r="D532" s="8"/>
      <c r="N532" t="s">
        <v>23</v>
      </c>
      <c r="O532">
        <v>0</v>
      </c>
      <c r="P532" s="8">
        <v>5</v>
      </c>
      <c r="V532">
        <v>0.02</v>
      </c>
      <c r="W532">
        <v>0</v>
      </c>
      <c r="X532" s="8">
        <v>5</v>
      </c>
    </row>
    <row r="533" spans="1:24" x14ac:dyDescent="0.3">
      <c r="A533">
        <v>1</v>
      </c>
      <c r="B533">
        <v>5</v>
      </c>
      <c r="C533" s="8">
        <v>79</v>
      </c>
      <c r="D533" s="8"/>
      <c r="N533" t="s">
        <v>24</v>
      </c>
      <c r="O533">
        <v>0</v>
      </c>
      <c r="P533" s="8">
        <v>15</v>
      </c>
      <c r="V533">
        <v>0.02</v>
      </c>
      <c r="W533">
        <v>0</v>
      </c>
      <c r="X533" s="8">
        <v>15</v>
      </c>
    </row>
    <row r="534" spans="1:24" x14ac:dyDescent="0.3">
      <c r="A534">
        <v>1</v>
      </c>
      <c r="B534">
        <v>6</v>
      </c>
      <c r="C534" s="8">
        <v>171</v>
      </c>
      <c r="D534" s="8"/>
      <c r="N534" t="s">
        <v>24</v>
      </c>
      <c r="O534">
        <v>5</v>
      </c>
      <c r="P534" s="8">
        <v>79</v>
      </c>
      <c r="V534">
        <v>0.02</v>
      </c>
      <c r="W534">
        <v>5</v>
      </c>
      <c r="X534" s="8">
        <v>79</v>
      </c>
    </row>
    <row r="535" spans="1:24" x14ac:dyDescent="0.3">
      <c r="A535">
        <v>1</v>
      </c>
      <c r="B535">
        <v>4</v>
      </c>
      <c r="C535" s="8">
        <v>98</v>
      </c>
      <c r="D535" s="8"/>
      <c r="N535" t="s">
        <v>24</v>
      </c>
      <c r="O535">
        <v>6</v>
      </c>
      <c r="P535" s="8">
        <v>171</v>
      </c>
      <c r="V535">
        <v>0.04</v>
      </c>
      <c r="W535">
        <v>6</v>
      </c>
      <c r="X535" s="8">
        <v>171</v>
      </c>
    </row>
    <row r="536" spans="1:24" x14ac:dyDescent="0.3">
      <c r="A536">
        <v>1</v>
      </c>
      <c r="B536">
        <v>6</v>
      </c>
      <c r="C536" s="8">
        <v>34</v>
      </c>
      <c r="D536" s="8"/>
      <c r="N536" t="s">
        <v>24</v>
      </c>
      <c r="O536">
        <v>4</v>
      </c>
      <c r="P536" s="8">
        <v>98</v>
      </c>
      <c r="V536">
        <v>0.06</v>
      </c>
      <c r="W536">
        <v>4</v>
      </c>
      <c r="X536" s="8">
        <v>98</v>
      </c>
    </row>
    <row r="537" spans="1:24" x14ac:dyDescent="0.3">
      <c r="A537">
        <v>1</v>
      </c>
      <c r="B537">
        <v>3</v>
      </c>
      <c r="C537" s="8">
        <v>43</v>
      </c>
      <c r="D537" s="8"/>
      <c r="N537" t="s">
        <v>24</v>
      </c>
      <c r="O537">
        <v>6</v>
      </c>
      <c r="P537" s="8">
        <v>34</v>
      </c>
      <c r="V537">
        <v>0.1</v>
      </c>
      <c r="W537">
        <v>6</v>
      </c>
      <c r="X537" s="8">
        <v>34</v>
      </c>
    </row>
    <row r="538" spans="1:24" x14ac:dyDescent="0.3">
      <c r="A538">
        <v>2</v>
      </c>
      <c r="B538">
        <v>11</v>
      </c>
      <c r="C538" s="8">
        <v>52</v>
      </c>
      <c r="D538" s="8"/>
      <c r="N538" t="s">
        <v>24</v>
      </c>
      <c r="O538">
        <v>3</v>
      </c>
      <c r="P538" s="8">
        <v>43</v>
      </c>
      <c r="V538">
        <v>0.1</v>
      </c>
      <c r="W538">
        <v>3</v>
      </c>
      <c r="X538" s="8">
        <v>43</v>
      </c>
    </row>
    <row r="539" spans="1:24" x14ac:dyDescent="0.3">
      <c r="A539">
        <v>2</v>
      </c>
      <c r="B539">
        <v>6</v>
      </c>
      <c r="C539" s="8">
        <v>54</v>
      </c>
      <c r="D539" s="8"/>
      <c r="N539" t="s">
        <v>24</v>
      </c>
      <c r="O539">
        <v>11</v>
      </c>
      <c r="P539" s="8">
        <v>52</v>
      </c>
      <c r="V539">
        <v>0.12</v>
      </c>
      <c r="W539">
        <v>11</v>
      </c>
      <c r="X539" s="8">
        <v>52</v>
      </c>
    </row>
    <row r="540" spans="1:24" x14ac:dyDescent="0.3">
      <c r="A540">
        <v>2</v>
      </c>
      <c r="B540">
        <v>2</v>
      </c>
      <c r="C540" s="8">
        <v>43</v>
      </c>
      <c r="D540" s="8"/>
      <c r="N540" t="s">
        <v>24</v>
      </c>
      <c r="O540">
        <v>6</v>
      </c>
      <c r="P540" s="8">
        <v>54</v>
      </c>
      <c r="V540">
        <v>0.14000000000000001</v>
      </c>
      <c r="W540">
        <v>6</v>
      </c>
      <c r="X540" s="8">
        <v>54</v>
      </c>
    </row>
    <row r="541" spans="1:24" x14ac:dyDescent="0.3">
      <c r="A541">
        <v>1</v>
      </c>
      <c r="B541">
        <v>7</v>
      </c>
      <c r="C541" s="8">
        <v>50</v>
      </c>
      <c r="D541" s="8"/>
      <c r="N541" t="s">
        <v>24</v>
      </c>
      <c r="O541">
        <v>2</v>
      </c>
      <c r="P541" s="8">
        <v>43</v>
      </c>
      <c r="V541">
        <v>0.14000000000000001</v>
      </c>
      <c r="W541">
        <v>2</v>
      </c>
      <c r="X541" s="8">
        <v>43</v>
      </c>
    </row>
    <row r="542" spans="1:24" x14ac:dyDescent="0.3">
      <c r="A542">
        <v>1</v>
      </c>
      <c r="B542">
        <v>4</v>
      </c>
      <c r="C542" s="8">
        <v>66</v>
      </c>
      <c r="D542" s="8"/>
      <c r="N542" t="s">
        <v>24</v>
      </c>
      <c r="O542">
        <v>7</v>
      </c>
      <c r="P542" s="8">
        <v>50</v>
      </c>
      <c r="V542">
        <v>0.16</v>
      </c>
      <c r="W542">
        <v>7</v>
      </c>
      <c r="X542" s="8">
        <v>50</v>
      </c>
    </row>
    <row r="543" spans="1:24" x14ac:dyDescent="0.3">
      <c r="A543">
        <v>1</v>
      </c>
      <c r="B543">
        <v>6</v>
      </c>
      <c r="C543" s="8">
        <v>178</v>
      </c>
      <c r="D543" s="8"/>
      <c r="N543" t="s">
        <v>24</v>
      </c>
      <c r="O543">
        <v>4</v>
      </c>
      <c r="P543" s="8">
        <v>66</v>
      </c>
      <c r="V543">
        <v>0.16</v>
      </c>
      <c r="W543">
        <v>4</v>
      </c>
      <c r="X543" s="8">
        <v>66</v>
      </c>
    </row>
    <row r="544" spans="1:24" x14ac:dyDescent="0.3">
      <c r="A544">
        <v>1</v>
      </c>
      <c r="B544">
        <v>8</v>
      </c>
      <c r="C544" s="8">
        <v>145</v>
      </c>
      <c r="D544" s="8"/>
      <c r="N544" t="s">
        <v>24</v>
      </c>
      <c r="O544">
        <v>6</v>
      </c>
      <c r="P544" s="8">
        <v>178</v>
      </c>
      <c r="V544">
        <v>0.14000000000000001</v>
      </c>
      <c r="W544">
        <v>6</v>
      </c>
      <c r="X544" s="8">
        <v>178</v>
      </c>
    </row>
    <row r="545" spans="1:24" x14ac:dyDescent="0.3">
      <c r="A545">
        <v>1</v>
      </c>
      <c r="B545">
        <v>5</v>
      </c>
      <c r="C545" s="8">
        <v>101</v>
      </c>
      <c r="D545" s="8"/>
      <c r="N545" t="s">
        <v>24</v>
      </c>
      <c r="O545">
        <v>8</v>
      </c>
      <c r="P545" s="8">
        <v>145</v>
      </c>
      <c r="V545">
        <v>0.14000000000000001</v>
      </c>
      <c r="W545">
        <v>8</v>
      </c>
      <c r="X545" s="8">
        <v>145</v>
      </c>
    </row>
    <row r="546" spans="1:24" x14ac:dyDescent="0.3">
      <c r="A546">
        <v>1</v>
      </c>
      <c r="B546">
        <v>1</v>
      </c>
      <c r="C546" s="8">
        <v>80</v>
      </c>
      <c r="D546" s="8"/>
      <c r="N546" t="s">
        <v>24</v>
      </c>
      <c r="O546">
        <v>5</v>
      </c>
      <c r="P546" s="8">
        <v>101</v>
      </c>
      <c r="V546">
        <v>0.14000000000000001</v>
      </c>
      <c r="W546">
        <v>5</v>
      </c>
      <c r="X546" s="8">
        <v>101</v>
      </c>
    </row>
    <row r="547" spans="1:24" x14ac:dyDescent="0.3">
      <c r="A547">
        <v>1</v>
      </c>
      <c r="B547">
        <v>6</v>
      </c>
      <c r="C547" s="8">
        <v>53</v>
      </c>
      <c r="D547" s="8"/>
      <c r="N547" t="s">
        <v>24</v>
      </c>
      <c r="O547">
        <v>1</v>
      </c>
      <c r="P547" s="8">
        <v>80</v>
      </c>
      <c r="V547">
        <v>0.14000000000000001</v>
      </c>
      <c r="W547">
        <v>1</v>
      </c>
      <c r="X547" s="8">
        <v>80</v>
      </c>
    </row>
    <row r="548" spans="1:24" x14ac:dyDescent="0.3">
      <c r="A548">
        <v>2</v>
      </c>
      <c r="B548">
        <v>3</v>
      </c>
      <c r="C548" s="8">
        <v>32</v>
      </c>
      <c r="D548" s="8"/>
      <c r="N548" t="s">
        <v>24</v>
      </c>
      <c r="O548">
        <v>6</v>
      </c>
      <c r="P548" s="8">
        <v>53</v>
      </c>
      <c r="V548">
        <v>0.14000000000000001</v>
      </c>
      <c r="W548">
        <v>6</v>
      </c>
      <c r="X548" s="8">
        <v>53</v>
      </c>
    </row>
    <row r="549" spans="1:24" x14ac:dyDescent="0.3">
      <c r="A549">
        <v>2</v>
      </c>
      <c r="B549">
        <v>3</v>
      </c>
      <c r="C549" s="8">
        <v>21</v>
      </c>
      <c r="D549" s="8"/>
      <c r="N549" t="s">
        <v>24</v>
      </c>
      <c r="O549">
        <v>3</v>
      </c>
      <c r="P549" s="8">
        <v>32</v>
      </c>
      <c r="V549">
        <v>0.14000000000000001</v>
      </c>
      <c r="W549">
        <v>3</v>
      </c>
      <c r="X549" s="8">
        <v>32</v>
      </c>
    </row>
    <row r="550" spans="1:24" x14ac:dyDescent="0.3">
      <c r="A550">
        <v>2</v>
      </c>
      <c r="B550">
        <v>3</v>
      </c>
      <c r="C550" s="8">
        <v>6</v>
      </c>
      <c r="D550" s="8"/>
      <c r="N550" t="s">
        <v>24</v>
      </c>
      <c r="O550">
        <v>3</v>
      </c>
      <c r="P550" s="8">
        <v>21</v>
      </c>
      <c r="V550">
        <v>0.16</v>
      </c>
      <c r="W550">
        <v>3</v>
      </c>
      <c r="X550" s="8">
        <v>21</v>
      </c>
    </row>
    <row r="551" spans="1:24" x14ac:dyDescent="0.3">
      <c r="A551">
        <v>2</v>
      </c>
      <c r="B551">
        <v>0</v>
      </c>
      <c r="C551" s="8">
        <v>5</v>
      </c>
      <c r="D551" s="8"/>
      <c r="N551" t="s">
        <v>24</v>
      </c>
      <c r="O551">
        <v>3</v>
      </c>
      <c r="P551" s="8">
        <v>6</v>
      </c>
      <c r="V551">
        <v>0.16</v>
      </c>
      <c r="W551">
        <v>3</v>
      </c>
      <c r="X551" s="8">
        <v>6</v>
      </c>
    </row>
    <row r="552" spans="1:24" x14ac:dyDescent="0.3">
      <c r="A552">
        <v>1</v>
      </c>
      <c r="B552">
        <v>0</v>
      </c>
      <c r="C552" s="8">
        <v>2</v>
      </c>
      <c r="D552" s="8"/>
      <c r="N552" t="s">
        <v>24</v>
      </c>
      <c r="O552">
        <v>0</v>
      </c>
      <c r="P552" s="8">
        <v>5</v>
      </c>
      <c r="V552">
        <v>0.16</v>
      </c>
      <c r="W552">
        <v>0</v>
      </c>
      <c r="X552" s="8">
        <v>5</v>
      </c>
    </row>
    <row r="553" spans="1:24" x14ac:dyDescent="0.3">
      <c r="A553">
        <v>1</v>
      </c>
      <c r="B553">
        <v>0</v>
      </c>
      <c r="C553" s="8">
        <v>1</v>
      </c>
      <c r="D553" s="8"/>
      <c r="N553" t="s">
        <v>24</v>
      </c>
      <c r="O553">
        <v>0</v>
      </c>
      <c r="P553" s="8">
        <v>2</v>
      </c>
      <c r="V553">
        <v>0.16</v>
      </c>
      <c r="W553">
        <v>0</v>
      </c>
      <c r="X553" s="8">
        <v>2</v>
      </c>
    </row>
    <row r="554" spans="1:24" x14ac:dyDescent="0.3">
      <c r="A554">
        <v>1</v>
      </c>
      <c r="B554">
        <v>0</v>
      </c>
      <c r="C554" s="8">
        <v>9</v>
      </c>
      <c r="D554" s="8"/>
      <c r="N554" t="s">
        <v>24</v>
      </c>
      <c r="O554">
        <v>0</v>
      </c>
      <c r="P554" s="8">
        <v>1</v>
      </c>
      <c r="V554">
        <v>0.14000000000000001</v>
      </c>
      <c r="W554">
        <v>0</v>
      </c>
      <c r="X554" s="8">
        <v>1</v>
      </c>
    </row>
    <row r="555" spans="1:24" x14ac:dyDescent="0.3">
      <c r="A555">
        <v>1</v>
      </c>
      <c r="B555">
        <v>1</v>
      </c>
      <c r="C555" s="8">
        <v>35</v>
      </c>
      <c r="D555" s="8"/>
      <c r="N555" t="s">
        <v>25</v>
      </c>
      <c r="O555">
        <v>0</v>
      </c>
      <c r="P555" s="8">
        <v>9</v>
      </c>
      <c r="V555">
        <v>0.14000000000000001</v>
      </c>
      <c r="W555">
        <v>0</v>
      </c>
      <c r="X555" s="8">
        <v>9</v>
      </c>
    </row>
    <row r="556" spans="1:24" x14ac:dyDescent="0.3">
      <c r="A556">
        <v>1</v>
      </c>
      <c r="B556">
        <v>5</v>
      </c>
      <c r="C556" s="8">
        <v>103</v>
      </c>
      <c r="D556" s="8"/>
      <c r="N556" t="s">
        <v>25</v>
      </c>
      <c r="O556">
        <v>1</v>
      </c>
      <c r="P556" s="8">
        <v>35</v>
      </c>
      <c r="V556">
        <v>0.16</v>
      </c>
      <c r="W556">
        <v>1</v>
      </c>
      <c r="X556" s="8">
        <v>35</v>
      </c>
    </row>
    <row r="557" spans="1:24" x14ac:dyDescent="0.3">
      <c r="A557">
        <v>2</v>
      </c>
      <c r="B557">
        <v>5</v>
      </c>
      <c r="C557" s="8">
        <v>233</v>
      </c>
      <c r="D557" s="8"/>
      <c r="N557" t="s">
        <v>25</v>
      </c>
      <c r="O557">
        <v>5</v>
      </c>
      <c r="P557" s="8">
        <v>103</v>
      </c>
      <c r="V557">
        <v>0.16</v>
      </c>
      <c r="W557">
        <v>5</v>
      </c>
      <c r="X557" s="8">
        <v>103</v>
      </c>
    </row>
    <row r="558" spans="1:24" x14ac:dyDescent="0.3">
      <c r="A558">
        <v>2</v>
      </c>
      <c r="B558">
        <v>10</v>
      </c>
      <c r="C558" s="8">
        <v>134</v>
      </c>
      <c r="D558" s="8"/>
      <c r="N558" t="s">
        <v>25</v>
      </c>
      <c r="O558">
        <v>5</v>
      </c>
      <c r="P558" s="8">
        <v>233</v>
      </c>
      <c r="V558">
        <v>0.16</v>
      </c>
      <c r="W558">
        <v>5</v>
      </c>
      <c r="X558" s="8">
        <v>233</v>
      </c>
    </row>
    <row r="559" spans="1:24" x14ac:dyDescent="0.3">
      <c r="A559">
        <v>2</v>
      </c>
      <c r="B559">
        <v>6</v>
      </c>
      <c r="C559" s="8">
        <v>49</v>
      </c>
      <c r="D559" s="8"/>
      <c r="N559" t="s">
        <v>25</v>
      </c>
      <c r="O559">
        <v>10</v>
      </c>
      <c r="P559" s="8">
        <v>134</v>
      </c>
      <c r="V559">
        <v>0.2</v>
      </c>
      <c r="W559">
        <v>10</v>
      </c>
      <c r="X559" s="8">
        <v>134</v>
      </c>
    </row>
    <row r="560" spans="1:24" x14ac:dyDescent="0.3">
      <c r="A560">
        <v>2</v>
      </c>
      <c r="B560">
        <v>6</v>
      </c>
      <c r="C560" s="8">
        <v>55</v>
      </c>
      <c r="D560" s="8"/>
      <c r="N560" t="s">
        <v>25</v>
      </c>
      <c r="O560">
        <v>6</v>
      </c>
      <c r="P560" s="8">
        <v>49</v>
      </c>
      <c r="V560">
        <v>0.22</v>
      </c>
      <c r="W560">
        <v>6</v>
      </c>
      <c r="X560" s="8">
        <v>49</v>
      </c>
    </row>
    <row r="561" spans="1:24" x14ac:dyDescent="0.3">
      <c r="A561">
        <v>2</v>
      </c>
      <c r="B561">
        <v>21</v>
      </c>
      <c r="C561" s="8">
        <v>85</v>
      </c>
      <c r="D561" s="8"/>
      <c r="N561" t="s">
        <v>25</v>
      </c>
      <c r="O561">
        <v>6</v>
      </c>
      <c r="P561" s="8">
        <v>55</v>
      </c>
      <c r="V561">
        <v>0.24</v>
      </c>
      <c r="W561">
        <v>6</v>
      </c>
      <c r="X561" s="8">
        <v>55</v>
      </c>
    </row>
    <row r="562" spans="1:24" x14ac:dyDescent="0.3">
      <c r="A562">
        <v>2</v>
      </c>
      <c r="B562">
        <v>21</v>
      </c>
      <c r="C562" s="8">
        <v>72</v>
      </c>
      <c r="D562" s="8"/>
      <c r="N562" t="s">
        <v>25</v>
      </c>
      <c r="O562">
        <v>21</v>
      </c>
      <c r="P562" s="8">
        <v>85</v>
      </c>
      <c r="V562">
        <v>0.26</v>
      </c>
      <c r="W562">
        <v>21</v>
      </c>
      <c r="X562" s="8">
        <v>85</v>
      </c>
    </row>
    <row r="563" spans="1:24" x14ac:dyDescent="0.3">
      <c r="A563">
        <v>2</v>
      </c>
      <c r="B563">
        <v>11</v>
      </c>
      <c r="C563" s="8">
        <v>57</v>
      </c>
      <c r="D563" s="8"/>
      <c r="N563" t="s">
        <v>25</v>
      </c>
      <c r="O563">
        <v>21</v>
      </c>
      <c r="P563" s="8">
        <v>72</v>
      </c>
      <c r="V563">
        <v>0.26</v>
      </c>
      <c r="W563">
        <v>21</v>
      </c>
      <c r="X563" s="8">
        <v>72</v>
      </c>
    </row>
    <row r="564" spans="1:24" x14ac:dyDescent="0.3">
      <c r="A564">
        <v>2</v>
      </c>
      <c r="B564">
        <v>21</v>
      </c>
      <c r="C564" s="8">
        <v>63</v>
      </c>
      <c r="D564" s="8"/>
      <c r="N564" t="s">
        <v>25</v>
      </c>
      <c r="O564">
        <v>11</v>
      </c>
      <c r="P564" s="8">
        <v>57</v>
      </c>
      <c r="V564">
        <v>0.3</v>
      </c>
      <c r="W564">
        <v>11</v>
      </c>
      <c r="X564" s="8">
        <v>57</v>
      </c>
    </row>
    <row r="565" spans="1:24" x14ac:dyDescent="0.3">
      <c r="A565">
        <v>2</v>
      </c>
      <c r="B565">
        <v>14</v>
      </c>
      <c r="C565" s="8">
        <v>102</v>
      </c>
      <c r="D565" s="8"/>
      <c r="N565" t="s">
        <v>25</v>
      </c>
      <c r="O565">
        <v>21</v>
      </c>
      <c r="P565" s="8">
        <v>63</v>
      </c>
      <c r="V565">
        <v>0.32</v>
      </c>
      <c r="W565">
        <v>21</v>
      </c>
      <c r="X565" s="8">
        <v>63</v>
      </c>
    </row>
    <row r="566" spans="1:24" x14ac:dyDescent="0.3">
      <c r="A566">
        <v>1</v>
      </c>
      <c r="B566">
        <v>14</v>
      </c>
      <c r="C566" s="8">
        <v>208</v>
      </c>
      <c r="D566" s="8"/>
      <c r="N566" t="s">
        <v>25</v>
      </c>
      <c r="O566">
        <v>14</v>
      </c>
      <c r="P566" s="8">
        <v>102</v>
      </c>
      <c r="V566">
        <v>0.32</v>
      </c>
      <c r="W566">
        <v>14</v>
      </c>
      <c r="X566" s="8">
        <v>102</v>
      </c>
    </row>
    <row r="567" spans="1:24" x14ac:dyDescent="0.3">
      <c r="A567">
        <v>2</v>
      </c>
      <c r="B567">
        <v>7</v>
      </c>
      <c r="C567" s="8">
        <v>218</v>
      </c>
      <c r="D567" s="8"/>
      <c r="N567" t="s">
        <v>25</v>
      </c>
      <c r="O567">
        <v>14</v>
      </c>
      <c r="P567" s="8">
        <v>208</v>
      </c>
      <c r="V567">
        <v>0.3</v>
      </c>
      <c r="W567">
        <v>14</v>
      </c>
      <c r="X567" s="8">
        <v>208</v>
      </c>
    </row>
    <row r="568" spans="1:24" x14ac:dyDescent="0.3">
      <c r="A568">
        <v>2</v>
      </c>
      <c r="B568">
        <v>13</v>
      </c>
      <c r="C568" s="8">
        <v>133</v>
      </c>
      <c r="D568" s="8"/>
      <c r="N568" t="s">
        <v>25</v>
      </c>
      <c r="O568">
        <v>7</v>
      </c>
      <c r="P568" s="8">
        <v>218</v>
      </c>
      <c r="V568">
        <v>0.3</v>
      </c>
      <c r="W568">
        <v>7</v>
      </c>
      <c r="X568" s="8">
        <v>218</v>
      </c>
    </row>
    <row r="569" spans="1:24" x14ac:dyDescent="0.3">
      <c r="A569">
        <v>1</v>
      </c>
      <c r="B569">
        <v>16</v>
      </c>
      <c r="C569" s="8">
        <v>103</v>
      </c>
      <c r="D569" s="8"/>
      <c r="N569" t="s">
        <v>25</v>
      </c>
      <c r="O569">
        <v>13</v>
      </c>
      <c r="P569" s="8">
        <v>133</v>
      </c>
      <c r="V569">
        <v>0.26</v>
      </c>
      <c r="W569">
        <v>13</v>
      </c>
      <c r="X569" s="8">
        <v>133</v>
      </c>
    </row>
    <row r="570" spans="1:24" x14ac:dyDescent="0.3">
      <c r="A570">
        <v>1</v>
      </c>
      <c r="B570">
        <v>5</v>
      </c>
      <c r="C570" s="8">
        <v>40</v>
      </c>
      <c r="D570" s="8"/>
      <c r="N570" t="s">
        <v>25</v>
      </c>
      <c r="O570">
        <v>16</v>
      </c>
      <c r="P570" s="8">
        <v>103</v>
      </c>
      <c r="V570">
        <v>0.24</v>
      </c>
      <c r="W570">
        <v>16</v>
      </c>
      <c r="X570" s="8">
        <v>103</v>
      </c>
    </row>
    <row r="571" spans="1:24" x14ac:dyDescent="0.3">
      <c r="A571">
        <v>1</v>
      </c>
      <c r="B571">
        <v>4</v>
      </c>
      <c r="C571" s="8">
        <v>49</v>
      </c>
      <c r="D571" s="8"/>
      <c r="N571" t="s">
        <v>25</v>
      </c>
      <c r="O571">
        <v>5</v>
      </c>
      <c r="P571" s="8">
        <v>40</v>
      </c>
      <c r="V571">
        <v>0.24</v>
      </c>
      <c r="W571">
        <v>5</v>
      </c>
      <c r="X571" s="8">
        <v>40</v>
      </c>
    </row>
    <row r="572" spans="1:24" x14ac:dyDescent="0.3">
      <c r="A572">
        <v>2</v>
      </c>
      <c r="B572">
        <v>3</v>
      </c>
      <c r="C572" s="8">
        <v>37</v>
      </c>
      <c r="D572" s="8"/>
      <c r="N572" t="s">
        <v>25</v>
      </c>
      <c r="O572">
        <v>4</v>
      </c>
      <c r="P572" s="8">
        <v>49</v>
      </c>
      <c r="V572">
        <v>0.22</v>
      </c>
      <c r="W572">
        <v>4</v>
      </c>
      <c r="X572" s="8">
        <v>49</v>
      </c>
    </row>
    <row r="573" spans="1:24" x14ac:dyDescent="0.3">
      <c r="A573">
        <v>2</v>
      </c>
      <c r="B573">
        <v>3</v>
      </c>
      <c r="C573" s="8">
        <v>14</v>
      </c>
      <c r="D573" s="8"/>
      <c r="N573" t="s">
        <v>25</v>
      </c>
      <c r="O573">
        <v>3</v>
      </c>
      <c r="P573" s="8">
        <v>37</v>
      </c>
      <c r="V573">
        <v>0.22</v>
      </c>
      <c r="W573">
        <v>3</v>
      </c>
      <c r="X573" s="8">
        <v>37</v>
      </c>
    </row>
    <row r="574" spans="1:24" x14ac:dyDescent="0.3">
      <c r="A574">
        <v>2</v>
      </c>
      <c r="B574">
        <v>0</v>
      </c>
      <c r="C574" s="8">
        <v>5</v>
      </c>
      <c r="D574" s="8"/>
      <c r="N574" t="s">
        <v>25</v>
      </c>
      <c r="O574">
        <v>3</v>
      </c>
      <c r="P574" s="8">
        <v>14</v>
      </c>
      <c r="V574">
        <v>0.22</v>
      </c>
      <c r="W574">
        <v>3</v>
      </c>
      <c r="X574" s="8">
        <v>14</v>
      </c>
    </row>
    <row r="575" spans="1:24" x14ac:dyDescent="0.3">
      <c r="A575">
        <v>3</v>
      </c>
      <c r="B575">
        <v>3</v>
      </c>
      <c r="C575" s="8">
        <v>7</v>
      </c>
      <c r="D575" s="8"/>
      <c r="N575" t="s">
        <v>25</v>
      </c>
      <c r="O575">
        <v>0</v>
      </c>
      <c r="P575" s="8">
        <v>5</v>
      </c>
      <c r="V575">
        <v>0.24</v>
      </c>
      <c r="W575">
        <v>0</v>
      </c>
      <c r="X575" s="8">
        <v>5</v>
      </c>
    </row>
    <row r="576" spans="1:24" x14ac:dyDescent="0.3">
      <c r="A576">
        <v>3</v>
      </c>
      <c r="B576">
        <v>0</v>
      </c>
      <c r="C576" s="8">
        <v>1</v>
      </c>
      <c r="D576" s="8"/>
      <c r="N576" t="s">
        <v>25</v>
      </c>
      <c r="O576">
        <v>3</v>
      </c>
      <c r="P576" s="8">
        <v>7</v>
      </c>
      <c r="V576">
        <v>0.22</v>
      </c>
      <c r="W576">
        <v>3</v>
      </c>
      <c r="X576" s="8">
        <v>7</v>
      </c>
    </row>
    <row r="577" spans="1:24" x14ac:dyDescent="0.3">
      <c r="A577">
        <v>3</v>
      </c>
      <c r="B577">
        <v>0</v>
      </c>
      <c r="C577" s="8">
        <v>8</v>
      </c>
      <c r="D577" s="8"/>
      <c r="N577" t="s">
        <v>25</v>
      </c>
      <c r="O577">
        <v>0</v>
      </c>
      <c r="P577" s="8">
        <v>1</v>
      </c>
      <c r="V577">
        <v>0.2</v>
      </c>
      <c r="W577">
        <v>0</v>
      </c>
      <c r="X577" s="8">
        <v>1</v>
      </c>
    </row>
    <row r="578" spans="1:24" x14ac:dyDescent="0.3">
      <c r="A578">
        <v>3</v>
      </c>
      <c r="B578">
        <v>1</v>
      </c>
      <c r="C578" s="8">
        <v>29</v>
      </c>
      <c r="D578" s="8"/>
      <c r="N578" t="s">
        <v>26</v>
      </c>
      <c r="O578">
        <v>0</v>
      </c>
      <c r="P578" s="8">
        <v>8</v>
      </c>
      <c r="V578">
        <v>0.2</v>
      </c>
      <c r="W578">
        <v>0</v>
      </c>
      <c r="X578" s="8">
        <v>8</v>
      </c>
    </row>
    <row r="579" spans="1:24" x14ac:dyDescent="0.3">
      <c r="A579">
        <v>3</v>
      </c>
      <c r="B579">
        <v>3</v>
      </c>
      <c r="C579" s="8">
        <v>69</v>
      </c>
      <c r="D579" s="8"/>
      <c r="N579" t="s">
        <v>26</v>
      </c>
      <c r="O579">
        <v>1</v>
      </c>
      <c r="P579" s="8">
        <v>29</v>
      </c>
      <c r="V579">
        <v>0.22</v>
      </c>
      <c r="W579">
        <v>1</v>
      </c>
      <c r="X579" s="8">
        <v>29</v>
      </c>
    </row>
    <row r="580" spans="1:24" x14ac:dyDescent="0.3">
      <c r="A580">
        <v>3</v>
      </c>
      <c r="B580">
        <v>3</v>
      </c>
      <c r="C580" s="8">
        <v>55</v>
      </c>
      <c r="D580" s="8"/>
      <c r="N580" t="s">
        <v>26</v>
      </c>
      <c r="O580">
        <v>3</v>
      </c>
      <c r="P580" s="8">
        <v>69</v>
      </c>
      <c r="V580">
        <v>0.22</v>
      </c>
      <c r="W580">
        <v>3</v>
      </c>
      <c r="X580" s="8">
        <v>69</v>
      </c>
    </row>
    <row r="581" spans="1:24" x14ac:dyDescent="0.3">
      <c r="A581">
        <v>3</v>
      </c>
      <c r="B581">
        <v>2</v>
      </c>
      <c r="C581" s="8">
        <v>26</v>
      </c>
      <c r="D581" s="8"/>
      <c r="N581" t="s">
        <v>26</v>
      </c>
      <c r="O581">
        <v>3</v>
      </c>
      <c r="P581" s="8">
        <v>55</v>
      </c>
      <c r="V581">
        <v>0.22</v>
      </c>
      <c r="W581">
        <v>3</v>
      </c>
      <c r="X581" s="8">
        <v>55</v>
      </c>
    </row>
    <row r="582" spans="1:24" x14ac:dyDescent="0.3">
      <c r="A582">
        <v>3</v>
      </c>
      <c r="B582">
        <v>6</v>
      </c>
      <c r="C582" s="8">
        <v>35</v>
      </c>
      <c r="D582" s="8"/>
      <c r="N582" t="s">
        <v>26</v>
      </c>
      <c r="O582">
        <v>2</v>
      </c>
      <c r="P582" s="8">
        <v>26</v>
      </c>
      <c r="V582">
        <v>0.22</v>
      </c>
      <c r="W582">
        <v>2</v>
      </c>
      <c r="X582" s="8">
        <v>26</v>
      </c>
    </row>
    <row r="583" spans="1:24" x14ac:dyDescent="0.3">
      <c r="A583">
        <v>3</v>
      </c>
      <c r="B583">
        <v>7</v>
      </c>
      <c r="C583" s="8">
        <v>41</v>
      </c>
      <c r="D583" s="8"/>
      <c r="N583" t="s">
        <v>26</v>
      </c>
      <c r="O583">
        <v>6</v>
      </c>
      <c r="P583" s="8">
        <v>35</v>
      </c>
      <c r="V583">
        <v>0.22</v>
      </c>
      <c r="W583">
        <v>6</v>
      </c>
      <c r="X583" s="8">
        <v>35</v>
      </c>
    </row>
    <row r="584" spans="1:24" x14ac:dyDescent="0.3">
      <c r="A584">
        <v>3</v>
      </c>
      <c r="B584">
        <v>4</v>
      </c>
      <c r="C584" s="8">
        <v>43</v>
      </c>
      <c r="D584" s="8"/>
      <c r="N584" t="s">
        <v>26</v>
      </c>
      <c r="O584">
        <v>7</v>
      </c>
      <c r="P584" s="8">
        <v>41</v>
      </c>
      <c r="V584">
        <v>0.22</v>
      </c>
      <c r="W584">
        <v>7</v>
      </c>
      <c r="X584" s="8">
        <v>41</v>
      </c>
    </row>
    <row r="585" spans="1:24" x14ac:dyDescent="0.3">
      <c r="A585">
        <v>3</v>
      </c>
      <c r="B585">
        <v>0</v>
      </c>
      <c r="C585" s="8">
        <v>36</v>
      </c>
      <c r="D585" s="8"/>
      <c r="N585" t="s">
        <v>26</v>
      </c>
      <c r="O585">
        <v>4</v>
      </c>
      <c r="P585" s="8">
        <v>43</v>
      </c>
      <c r="V585">
        <v>0.22</v>
      </c>
      <c r="W585">
        <v>4</v>
      </c>
      <c r="X585" s="8">
        <v>43</v>
      </c>
    </row>
    <row r="586" spans="1:24" x14ac:dyDescent="0.3">
      <c r="A586">
        <v>3</v>
      </c>
      <c r="B586">
        <v>1</v>
      </c>
      <c r="C586" s="8">
        <v>42</v>
      </c>
      <c r="D586" s="8"/>
      <c r="N586" t="s">
        <v>26</v>
      </c>
      <c r="O586">
        <v>0</v>
      </c>
      <c r="P586" s="8">
        <v>36</v>
      </c>
      <c r="V586">
        <v>0.22</v>
      </c>
      <c r="W586">
        <v>0</v>
      </c>
      <c r="X586" s="8">
        <v>36</v>
      </c>
    </row>
    <row r="587" spans="1:24" x14ac:dyDescent="0.3">
      <c r="A587">
        <v>4</v>
      </c>
      <c r="B587">
        <v>1</v>
      </c>
      <c r="C587" s="8">
        <v>35</v>
      </c>
      <c r="D587" s="8"/>
      <c r="N587" t="s">
        <v>26</v>
      </c>
      <c r="O587">
        <v>1</v>
      </c>
      <c r="P587" s="8">
        <v>42</v>
      </c>
      <c r="V587">
        <v>0.22</v>
      </c>
      <c r="W587">
        <v>1</v>
      </c>
      <c r="X587" s="8">
        <v>42</v>
      </c>
    </row>
    <row r="588" spans="1:24" x14ac:dyDescent="0.3">
      <c r="A588">
        <v>3</v>
      </c>
      <c r="B588">
        <v>0</v>
      </c>
      <c r="C588" s="8">
        <v>26</v>
      </c>
      <c r="D588" s="8"/>
      <c r="N588" t="s">
        <v>26</v>
      </c>
      <c r="O588">
        <v>1</v>
      </c>
      <c r="P588" s="8">
        <v>35</v>
      </c>
      <c r="V588">
        <v>0.22</v>
      </c>
      <c r="W588">
        <v>1</v>
      </c>
      <c r="X588" s="8">
        <v>35</v>
      </c>
    </row>
    <row r="589" spans="1:24" x14ac:dyDescent="0.3">
      <c r="A589">
        <v>1</v>
      </c>
      <c r="B589">
        <v>1</v>
      </c>
      <c r="C589" s="8">
        <v>23</v>
      </c>
      <c r="D589" s="8"/>
      <c r="N589" t="s">
        <v>26</v>
      </c>
      <c r="O589">
        <v>0</v>
      </c>
      <c r="P589" s="8">
        <v>26</v>
      </c>
      <c r="V589">
        <v>0.2</v>
      </c>
      <c r="W589">
        <v>0</v>
      </c>
      <c r="X589" s="8">
        <v>26</v>
      </c>
    </row>
    <row r="590" spans="1:24" x14ac:dyDescent="0.3">
      <c r="A590">
        <v>1</v>
      </c>
      <c r="B590">
        <v>2</v>
      </c>
      <c r="C590" s="8">
        <v>82</v>
      </c>
      <c r="D590" s="8"/>
      <c r="N590" t="s">
        <v>26</v>
      </c>
      <c r="O590">
        <v>1</v>
      </c>
      <c r="P590" s="8">
        <v>23</v>
      </c>
      <c r="V590">
        <v>0.22</v>
      </c>
      <c r="W590">
        <v>1</v>
      </c>
      <c r="X590" s="8">
        <v>23</v>
      </c>
    </row>
    <row r="591" spans="1:24" x14ac:dyDescent="0.3">
      <c r="A591">
        <v>1</v>
      </c>
      <c r="B591">
        <v>3</v>
      </c>
      <c r="C591" s="8">
        <v>101</v>
      </c>
      <c r="D591" s="8"/>
      <c r="N591" t="s">
        <v>26</v>
      </c>
      <c r="O591">
        <v>2</v>
      </c>
      <c r="P591" s="8">
        <v>82</v>
      </c>
      <c r="V591">
        <v>0.22</v>
      </c>
      <c r="W591">
        <v>2</v>
      </c>
      <c r="X591" s="8">
        <v>82</v>
      </c>
    </row>
    <row r="592" spans="1:24" x14ac:dyDescent="0.3">
      <c r="A592">
        <v>1</v>
      </c>
      <c r="B592">
        <v>3</v>
      </c>
      <c r="C592" s="8">
        <v>76</v>
      </c>
      <c r="D592" s="8"/>
      <c r="N592" t="s">
        <v>26</v>
      </c>
      <c r="O592">
        <v>3</v>
      </c>
      <c r="P592" s="8">
        <v>101</v>
      </c>
      <c r="V592">
        <v>0.2</v>
      </c>
      <c r="W592">
        <v>3</v>
      </c>
      <c r="X592" s="8">
        <v>101</v>
      </c>
    </row>
    <row r="593" spans="1:24" x14ac:dyDescent="0.3">
      <c r="A593">
        <v>1</v>
      </c>
      <c r="B593">
        <v>4</v>
      </c>
      <c r="C593" s="8">
        <v>55</v>
      </c>
      <c r="D593" s="8"/>
      <c r="N593" t="s">
        <v>26</v>
      </c>
      <c r="O593">
        <v>3</v>
      </c>
      <c r="P593" s="8">
        <v>76</v>
      </c>
      <c r="V593">
        <v>0.2</v>
      </c>
      <c r="W593">
        <v>3</v>
      </c>
      <c r="X593" s="8">
        <v>76</v>
      </c>
    </row>
    <row r="594" spans="1:24" x14ac:dyDescent="0.3">
      <c r="A594">
        <v>1</v>
      </c>
      <c r="B594">
        <v>2</v>
      </c>
      <c r="C594" s="8">
        <v>36</v>
      </c>
      <c r="D594" s="8"/>
      <c r="N594" t="s">
        <v>26</v>
      </c>
      <c r="O594">
        <v>4</v>
      </c>
      <c r="P594" s="8">
        <v>55</v>
      </c>
      <c r="V594">
        <v>0.18</v>
      </c>
      <c r="W594">
        <v>4</v>
      </c>
      <c r="X594" s="8">
        <v>55</v>
      </c>
    </row>
    <row r="595" spans="1:24" x14ac:dyDescent="0.3">
      <c r="A595">
        <v>1</v>
      </c>
      <c r="B595">
        <v>0</v>
      </c>
      <c r="C595" s="8">
        <v>27</v>
      </c>
      <c r="D595" s="8"/>
      <c r="N595" t="s">
        <v>26</v>
      </c>
      <c r="O595">
        <v>2</v>
      </c>
      <c r="P595" s="8">
        <v>36</v>
      </c>
      <c r="V595">
        <v>0.18</v>
      </c>
      <c r="W595">
        <v>2</v>
      </c>
      <c r="X595" s="8">
        <v>36</v>
      </c>
    </row>
    <row r="596" spans="1:24" x14ac:dyDescent="0.3">
      <c r="A596">
        <v>1</v>
      </c>
      <c r="B596">
        <v>0</v>
      </c>
      <c r="C596" s="8">
        <v>16</v>
      </c>
      <c r="D596" s="8"/>
      <c r="N596" t="s">
        <v>26</v>
      </c>
      <c r="O596">
        <v>0</v>
      </c>
      <c r="P596" s="8">
        <v>27</v>
      </c>
      <c r="V596">
        <v>0.18</v>
      </c>
      <c r="W596">
        <v>0</v>
      </c>
      <c r="X596" s="8">
        <v>27</v>
      </c>
    </row>
    <row r="597" spans="1:24" x14ac:dyDescent="0.3">
      <c r="A597">
        <v>2</v>
      </c>
      <c r="B597">
        <v>0</v>
      </c>
      <c r="C597" s="8">
        <v>9</v>
      </c>
      <c r="D597" s="8"/>
      <c r="N597" t="s">
        <v>26</v>
      </c>
      <c r="O597">
        <v>0</v>
      </c>
      <c r="P597" s="8">
        <v>16</v>
      </c>
      <c r="V597">
        <v>0.18</v>
      </c>
      <c r="W597">
        <v>0</v>
      </c>
      <c r="X597" s="8">
        <v>16</v>
      </c>
    </row>
    <row r="598" spans="1:24" x14ac:dyDescent="0.3">
      <c r="A598">
        <v>2</v>
      </c>
      <c r="B598">
        <v>1</v>
      </c>
      <c r="C598" s="8">
        <v>2</v>
      </c>
      <c r="D598" s="8"/>
      <c r="N598" t="s">
        <v>26</v>
      </c>
      <c r="O598">
        <v>0</v>
      </c>
      <c r="P598" s="8">
        <v>9</v>
      </c>
      <c r="V598">
        <v>0.2</v>
      </c>
      <c r="W598">
        <v>0</v>
      </c>
      <c r="X598" s="8">
        <v>9</v>
      </c>
    </row>
    <row r="599" spans="1:24" x14ac:dyDescent="0.3">
      <c r="A599">
        <v>2</v>
      </c>
      <c r="B599">
        <v>0</v>
      </c>
      <c r="C599" s="8">
        <v>2</v>
      </c>
      <c r="D599" s="8"/>
      <c r="N599" t="s">
        <v>26</v>
      </c>
      <c r="O599">
        <v>1</v>
      </c>
      <c r="P599" s="8">
        <v>2</v>
      </c>
      <c r="V599">
        <v>0.2</v>
      </c>
      <c r="W599">
        <v>1</v>
      </c>
      <c r="X599" s="8">
        <v>2</v>
      </c>
    </row>
    <row r="600" spans="1:24" x14ac:dyDescent="0.3">
      <c r="A600">
        <v>2</v>
      </c>
      <c r="B600">
        <v>1</v>
      </c>
      <c r="C600" s="8">
        <v>0</v>
      </c>
      <c r="D600" s="8"/>
      <c r="N600" t="s">
        <v>26</v>
      </c>
      <c r="O600">
        <v>0</v>
      </c>
      <c r="P600" s="8">
        <v>2</v>
      </c>
      <c r="V600">
        <v>0.2</v>
      </c>
      <c r="W600">
        <v>0</v>
      </c>
      <c r="X600" s="8">
        <v>2</v>
      </c>
    </row>
    <row r="601" spans="1:24" x14ac:dyDescent="0.3">
      <c r="A601">
        <v>2</v>
      </c>
      <c r="B601">
        <v>0</v>
      </c>
      <c r="C601" s="8">
        <v>4</v>
      </c>
      <c r="D601" s="8"/>
      <c r="N601" t="s">
        <v>27</v>
      </c>
      <c r="O601">
        <v>1</v>
      </c>
      <c r="P601" s="8">
        <v>0</v>
      </c>
      <c r="V601">
        <v>0.2</v>
      </c>
      <c r="W601">
        <v>1</v>
      </c>
      <c r="X601" s="8">
        <v>0</v>
      </c>
    </row>
    <row r="602" spans="1:24" x14ac:dyDescent="0.3">
      <c r="A602">
        <v>2</v>
      </c>
      <c r="B602">
        <v>0</v>
      </c>
      <c r="C602" s="8">
        <v>16</v>
      </c>
      <c r="D602" s="8"/>
      <c r="N602" t="s">
        <v>27</v>
      </c>
      <c r="O602">
        <v>0</v>
      </c>
      <c r="P602" s="8">
        <v>4</v>
      </c>
      <c r="V602">
        <v>0.18</v>
      </c>
      <c r="W602">
        <v>0</v>
      </c>
      <c r="X602" s="8">
        <v>4</v>
      </c>
    </row>
    <row r="603" spans="1:24" x14ac:dyDescent="0.3">
      <c r="A603">
        <v>2</v>
      </c>
      <c r="B603">
        <v>2</v>
      </c>
      <c r="C603" s="8">
        <v>58</v>
      </c>
      <c r="D603" s="8"/>
      <c r="N603" t="s">
        <v>27</v>
      </c>
      <c r="O603">
        <v>0</v>
      </c>
      <c r="P603" s="8">
        <v>16</v>
      </c>
      <c r="V603">
        <v>0.18</v>
      </c>
      <c r="W603">
        <v>0</v>
      </c>
      <c r="X603" s="8">
        <v>16</v>
      </c>
    </row>
    <row r="604" spans="1:24" x14ac:dyDescent="0.3">
      <c r="A604">
        <v>2</v>
      </c>
      <c r="B604">
        <v>2</v>
      </c>
      <c r="C604" s="8">
        <v>155</v>
      </c>
      <c r="D604" s="8"/>
      <c r="N604" t="s">
        <v>27</v>
      </c>
      <c r="O604">
        <v>2</v>
      </c>
      <c r="P604" s="8">
        <v>58</v>
      </c>
      <c r="V604">
        <v>0.16</v>
      </c>
      <c r="W604">
        <v>2</v>
      </c>
      <c r="X604" s="8">
        <v>58</v>
      </c>
    </row>
    <row r="605" spans="1:24" x14ac:dyDescent="0.3">
      <c r="A605">
        <v>3</v>
      </c>
      <c r="B605">
        <v>6</v>
      </c>
      <c r="C605" s="8">
        <v>95</v>
      </c>
      <c r="D605" s="8"/>
      <c r="N605" t="s">
        <v>27</v>
      </c>
      <c r="O605">
        <v>2</v>
      </c>
      <c r="P605" s="8">
        <v>155</v>
      </c>
      <c r="V605">
        <v>0.16</v>
      </c>
      <c r="W605">
        <v>2</v>
      </c>
      <c r="X605" s="8">
        <v>155</v>
      </c>
    </row>
    <row r="606" spans="1:24" x14ac:dyDescent="0.3">
      <c r="A606">
        <v>3</v>
      </c>
      <c r="B606">
        <v>0</v>
      </c>
      <c r="C606" s="8">
        <v>49</v>
      </c>
      <c r="D606" s="8"/>
      <c r="N606" t="s">
        <v>27</v>
      </c>
      <c r="O606">
        <v>6</v>
      </c>
      <c r="P606" s="8">
        <v>95</v>
      </c>
      <c r="V606">
        <v>0.18</v>
      </c>
      <c r="W606">
        <v>6</v>
      </c>
      <c r="X606" s="8">
        <v>95</v>
      </c>
    </row>
    <row r="607" spans="1:24" x14ac:dyDescent="0.3">
      <c r="A607">
        <v>3</v>
      </c>
      <c r="B607">
        <v>0</v>
      </c>
      <c r="C607" s="8">
        <v>30</v>
      </c>
      <c r="D607" s="8"/>
      <c r="N607" t="s">
        <v>27</v>
      </c>
      <c r="O607">
        <v>0</v>
      </c>
      <c r="P607" s="8">
        <v>49</v>
      </c>
      <c r="V607">
        <v>0.18</v>
      </c>
      <c r="W607">
        <v>0</v>
      </c>
      <c r="X607" s="8">
        <v>49</v>
      </c>
    </row>
    <row r="608" spans="1:24" x14ac:dyDescent="0.3">
      <c r="A608">
        <v>3</v>
      </c>
      <c r="B608">
        <v>1</v>
      </c>
      <c r="C608" s="8">
        <v>28</v>
      </c>
      <c r="D608" s="8"/>
      <c r="N608" t="s">
        <v>27</v>
      </c>
      <c r="O608">
        <v>0</v>
      </c>
      <c r="P608" s="8">
        <v>30</v>
      </c>
      <c r="V608">
        <v>0.18</v>
      </c>
      <c r="W608">
        <v>0</v>
      </c>
      <c r="X608" s="8">
        <v>30</v>
      </c>
    </row>
    <row r="609" spans="1:24" x14ac:dyDescent="0.3">
      <c r="A609">
        <v>3</v>
      </c>
      <c r="B609">
        <v>0</v>
      </c>
      <c r="C609" s="8">
        <v>31</v>
      </c>
      <c r="D609" s="8"/>
      <c r="N609" t="s">
        <v>27</v>
      </c>
      <c r="O609">
        <v>1</v>
      </c>
      <c r="P609" s="8">
        <v>28</v>
      </c>
      <c r="V609">
        <v>0.18</v>
      </c>
      <c r="W609">
        <v>1</v>
      </c>
      <c r="X609" s="8">
        <v>28</v>
      </c>
    </row>
    <row r="610" spans="1:24" x14ac:dyDescent="0.3">
      <c r="A610">
        <v>3</v>
      </c>
      <c r="B610">
        <v>2</v>
      </c>
      <c r="C610" s="8">
        <v>36</v>
      </c>
      <c r="D610" s="8"/>
      <c r="N610" t="s">
        <v>27</v>
      </c>
      <c r="O610">
        <v>0</v>
      </c>
      <c r="P610" s="8">
        <v>31</v>
      </c>
      <c r="V610">
        <v>0.18</v>
      </c>
      <c r="W610">
        <v>0</v>
      </c>
      <c r="X610" s="8">
        <v>31</v>
      </c>
    </row>
    <row r="611" spans="1:24" x14ac:dyDescent="0.3">
      <c r="A611" s="7">
        <v>2</v>
      </c>
      <c r="B611" s="7">
        <v>1</v>
      </c>
      <c r="C611" s="6">
        <v>40</v>
      </c>
      <c r="D611" s="6"/>
      <c r="N611" t="s">
        <v>27</v>
      </c>
      <c r="O611">
        <v>2</v>
      </c>
      <c r="P611" s="8">
        <v>36</v>
      </c>
      <c r="V611">
        <v>0.22</v>
      </c>
      <c r="W611">
        <v>2</v>
      </c>
      <c r="X611" s="8">
        <v>36</v>
      </c>
    </row>
    <row r="612" spans="1:24" x14ac:dyDescent="0.3">
      <c r="N612" s="7" t="s">
        <v>27</v>
      </c>
      <c r="O612" s="7">
        <v>1</v>
      </c>
      <c r="P612" s="6">
        <v>40</v>
      </c>
      <c r="V612" s="7">
        <v>0.2</v>
      </c>
      <c r="W612" s="7">
        <v>1</v>
      </c>
      <c r="X612" s="6">
        <v>40</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4DBDD2-C9DB-4198-8D0D-020BD8DB84E6}">
  <dimension ref="A1:T611"/>
  <sheetViews>
    <sheetView workbookViewId="0">
      <selection sqref="A1:W613"/>
    </sheetView>
  </sheetViews>
  <sheetFormatPr defaultRowHeight="14.4" x14ac:dyDescent="0.3"/>
  <cols>
    <col min="2" max="2" width="13.33203125" customWidth="1"/>
  </cols>
  <sheetData>
    <row r="1" spans="1:20" x14ac:dyDescent="0.3">
      <c r="A1" s="13" t="s">
        <v>0</v>
      </c>
      <c r="B1" s="13" t="s">
        <v>52</v>
      </c>
      <c r="C1" s="13" t="s">
        <v>2</v>
      </c>
      <c r="D1" s="13" t="s">
        <v>3</v>
      </c>
      <c r="E1" s="13" t="s">
        <v>4</v>
      </c>
      <c r="F1" s="13" t="s">
        <v>6</v>
      </c>
      <c r="G1" s="13" t="s">
        <v>7</v>
      </c>
      <c r="H1" s="13" t="s">
        <v>8</v>
      </c>
      <c r="I1" s="13" t="s">
        <v>10</v>
      </c>
      <c r="J1" s="13" t="s">
        <v>11</v>
      </c>
      <c r="K1" s="14" t="s">
        <v>12</v>
      </c>
      <c r="L1" s="14" t="s">
        <v>13</v>
      </c>
      <c r="M1" s="14" t="s">
        <v>14</v>
      </c>
      <c r="N1" s="14" t="s">
        <v>15</v>
      </c>
      <c r="O1" s="14" t="s">
        <v>16</v>
      </c>
      <c r="P1" s="14" t="s">
        <v>17</v>
      </c>
    </row>
    <row r="2" spans="1:20" x14ac:dyDescent="0.3">
      <c r="A2" s="15">
        <v>1</v>
      </c>
      <c r="B2" s="16">
        <v>40544</v>
      </c>
      <c r="C2" s="15">
        <v>1</v>
      </c>
      <c r="D2" s="15">
        <v>0</v>
      </c>
      <c r="E2" s="15">
        <v>1</v>
      </c>
      <c r="F2" s="15">
        <v>0</v>
      </c>
      <c r="G2" s="17" t="b">
        <v>0</v>
      </c>
      <c r="H2" s="15">
        <v>6</v>
      </c>
      <c r="I2" s="15">
        <v>1</v>
      </c>
      <c r="J2" s="15">
        <v>0.24</v>
      </c>
      <c r="K2" s="14">
        <v>0.28789999999999999</v>
      </c>
      <c r="L2" s="14">
        <v>0.81</v>
      </c>
      <c r="M2" s="14">
        <v>0</v>
      </c>
      <c r="N2" s="14">
        <v>3</v>
      </c>
      <c r="O2" s="14">
        <v>13</v>
      </c>
      <c r="P2" s="14">
        <v>16</v>
      </c>
    </row>
    <row r="3" spans="1:20" x14ac:dyDescent="0.3">
      <c r="A3" s="15">
        <v>2</v>
      </c>
      <c r="B3" s="16">
        <v>40544</v>
      </c>
      <c r="C3" s="15">
        <v>1</v>
      </c>
      <c r="D3" s="15">
        <v>0</v>
      </c>
      <c r="E3" s="15">
        <v>1</v>
      </c>
      <c r="F3" s="15">
        <v>1</v>
      </c>
      <c r="G3" s="17" t="b">
        <v>0</v>
      </c>
      <c r="H3" s="15">
        <v>6</v>
      </c>
      <c r="I3" s="15">
        <v>1</v>
      </c>
      <c r="J3" s="15">
        <v>0.22</v>
      </c>
      <c r="K3" s="14">
        <v>0.2727</v>
      </c>
      <c r="L3" s="14">
        <v>0.8</v>
      </c>
      <c r="M3" s="14">
        <v>0</v>
      </c>
      <c r="N3" s="14">
        <v>8</v>
      </c>
      <c r="O3" s="14">
        <v>32</v>
      </c>
      <c r="P3" s="14">
        <v>40</v>
      </c>
      <c r="Q3" t="s">
        <v>20</v>
      </c>
    </row>
    <row r="4" spans="1:20" x14ac:dyDescent="0.3">
      <c r="A4" s="15">
        <v>3</v>
      </c>
      <c r="B4" s="16">
        <v>40544</v>
      </c>
      <c r="C4" s="15">
        <v>1</v>
      </c>
      <c r="D4" s="15">
        <v>0</v>
      </c>
      <c r="E4" s="15">
        <v>1</v>
      </c>
      <c r="F4" s="15">
        <v>2</v>
      </c>
      <c r="G4" s="17" t="b">
        <v>0</v>
      </c>
      <c r="H4" s="15">
        <v>6</v>
      </c>
      <c r="I4" s="15">
        <v>1</v>
      </c>
      <c r="J4" s="15">
        <v>0.22</v>
      </c>
      <c r="K4" s="14">
        <v>0.2727</v>
      </c>
      <c r="L4" s="14">
        <v>0.8</v>
      </c>
      <c r="M4" s="14">
        <v>0</v>
      </c>
      <c r="N4" s="14">
        <v>5</v>
      </c>
      <c r="O4" s="14">
        <v>27</v>
      </c>
      <c r="P4" s="14">
        <v>32</v>
      </c>
      <c r="Q4" t="s">
        <v>21</v>
      </c>
    </row>
    <row r="5" spans="1:20" x14ac:dyDescent="0.3">
      <c r="A5" s="15">
        <v>4</v>
      </c>
      <c r="B5" s="16">
        <v>40544</v>
      </c>
      <c r="C5" s="15">
        <v>1</v>
      </c>
      <c r="D5" s="15">
        <v>0</v>
      </c>
      <c r="E5" s="15">
        <v>1</v>
      </c>
      <c r="F5" s="15">
        <v>3</v>
      </c>
      <c r="G5" s="17" t="b">
        <v>0</v>
      </c>
      <c r="H5" s="15">
        <v>6</v>
      </c>
      <c r="I5" s="15">
        <v>1</v>
      </c>
      <c r="J5" s="15">
        <v>0.24</v>
      </c>
      <c r="K5" s="14">
        <v>0.28789999999999999</v>
      </c>
      <c r="L5" s="14">
        <v>0.75</v>
      </c>
      <c r="M5" s="14">
        <v>0</v>
      </c>
      <c r="N5" s="14">
        <v>3</v>
      </c>
      <c r="O5" s="14">
        <v>10</v>
      </c>
      <c r="P5" s="14">
        <v>13</v>
      </c>
      <c r="Q5" t="s">
        <v>22</v>
      </c>
    </row>
    <row r="6" spans="1:20" x14ac:dyDescent="0.3">
      <c r="A6" s="15">
        <v>5</v>
      </c>
      <c r="B6" s="16">
        <v>40544</v>
      </c>
      <c r="C6" s="15">
        <v>1</v>
      </c>
      <c r="D6" s="15">
        <v>0</v>
      </c>
      <c r="E6" s="15">
        <v>1</v>
      </c>
      <c r="F6" s="15">
        <v>4</v>
      </c>
      <c r="G6" s="17" t="b">
        <v>0</v>
      </c>
      <c r="H6" s="15">
        <v>6</v>
      </c>
      <c r="I6" s="15">
        <v>1</v>
      </c>
      <c r="J6" s="15">
        <v>0.24</v>
      </c>
      <c r="K6" s="14">
        <v>0.28789999999999999</v>
      </c>
      <c r="L6" s="14">
        <v>0.75</v>
      </c>
      <c r="M6" s="14">
        <v>0</v>
      </c>
      <c r="N6" s="14">
        <v>0</v>
      </c>
      <c r="O6" s="14">
        <v>1</v>
      </c>
      <c r="P6" s="14">
        <v>1</v>
      </c>
    </row>
    <row r="7" spans="1:20" x14ac:dyDescent="0.3">
      <c r="A7" s="15">
        <v>6</v>
      </c>
      <c r="B7" s="16">
        <v>40544</v>
      </c>
      <c r="C7" s="15">
        <v>1</v>
      </c>
      <c r="D7" s="15">
        <v>0</v>
      </c>
      <c r="E7" s="15">
        <v>1</v>
      </c>
      <c r="F7" s="15">
        <v>5</v>
      </c>
      <c r="G7" s="17" t="b">
        <v>0</v>
      </c>
      <c r="H7" s="15">
        <v>6</v>
      </c>
      <c r="I7" s="15">
        <v>2</v>
      </c>
      <c r="J7" s="15">
        <v>0.24</v>
      </c>
      <c r="K7" s="14">
        <v>0.2576</v>
      </c>
      <c r="L7" s="14">
        <v>0.75</v>
      </c>
      <c r="M7" s="14">
        <v>8.9599999999999999E-2</v>
      </c>
      <c r="N7" s="14">
        <v>0</v>
      </c>
      <c r="O7" s="14">
        <v>1</v>
      </c>
      <c r="P7" s="14">
        <v>1</v>
      </c>
    </row>
    <row r="8" spans="1:20" x14ac:dyDescent="0.3">
      <c r="A8" s="15">
        <v>7</v>
      </c>
      <c r="B8" s="16">
        <v>40544</v>
      </c>
      <c r="C8" s="15">
        <v>1</v>
      </c>
      <c r="D8" s="15">
        <v>0</v>
      </c>
      <c r="E8" s="15">
        <v>1</v>
      </c>
      <c r="F8" s="15">
        <v>6</v>
      </c>
      <c r="G8" s="17" t="b">
        <v>0</v>
      </c>
      <c r="H8" s="15">
        <v>6</v>
      </c>
      <c r="I8" s="15">
        <v>1</v>
      </c>
      <c r="J8" s="15">
        <v>0.22</v>
      </c>
      <c r="K8" s="14">
        <v>0.2727</v>
      </c>
      <c r="L8" s="14">
        <v>0.8</v>
      </c>
      <c r="M8" s="14">
        <v>0</v>
      </c>
      <c r="N8" s="14">
        <v>2</v>
      </c>
      <c r="O8" s="14">
        <v>0</v>
      </c>
      <c r="P8" s="14">
        <v>2</v>
      </c>
      <c r="R8" t="s">
        <v>53</v>
      </c>
    </row>
    <row r="9" spans="1:20" x14ac:dyDescent="0.3">
      <c r="A9" s="15">
        <v>8</v>
      </c>
      <c r="B9" s="16">
        <v>40544</v>
      </c>
      <c r="C9" s="15">
        <v>1</v>
      </c>
      <c r="D9" s="15">
        <v>0</v>
      </c>
      <c r="E9" s="15">
        <v>1</v>
      </c>
      <c r="F9" s="15">
        <v>7</v>
      </c>
      <c r="G9" s="17" t="b">
        <v>0</v>
      </c>
      <c r="H9" s="15">
        <v>6</v>
      </c>
      <c r="I9" s="15">
        <v>1</v>
      </c>
      <c r="J9" s="15">
        <v>0.2</v>
      </c>
      <c r="K9" s="14">
        <v>0.2576</v>
      </c>
      <c r="L9" s="14">
        <v>0.86</v>
      </c>
      <c r="M9" s="14">
        <v>0</v>
      </c>
      <c r="N9" s="14">
        <v>1</v>
      </c>
      <c r="O9" s="14">
        <v>2</v>
      </c>
      <c r="P9" s="14">
        <v>3</v>
      </c>
      <c r="R9" s="14">
        <v>1</v>
      </c>
    </row>
    <row r="10" spans="1:20" x14ac:dyDescent="0.3">
      <c r="A10" s="15">
        <v>9</v>
      </c>
      <c r="B10" s="16">
        <v>40544</v>
      </c>
      <c r="C10" s="15">
        <v>1</v>
      </c>
      <c r="D10" s="15">
        <v>0</v>
      </c>
      <c r="E10" s="15">
        <v>1</v>
      </c>
      <c r="F10" s="15">
        <v>8</v>
      </c>
      <c r="G10" s="17" t="b">
        <v>0</v>
      </c>
      <c r="H10" s="15">
        <v>6</v>
      </c>
      <c r="I10" s="15">
        <v>1</v>
      </c>
      <c r="J10" s="15">
        <v>0.24</v>
      </c>
      <c r="K10" s="14"/>
      <c r="L10" s="14">
        <v>0.75</v>
      </c>
      <c r="M10" s="14">
        <v>0</v>
      </c>
      <c r="N10" s="14">
        <v>1</v>
      </c>
      <c r="O10" s="14">
        <v>7</v>
      </c>
      <c r="P10" s="14">
        <v>8</v>
      </c>
      <c r="R10">
        <v>2</v>
      </c>
    </row>
    <row r="11" spans="1:20" x14ac:dyDescent="0.3">
      <c r="A11" s="15">
        <v>10</v>
      </c>
      <c r="B11" s="16">
        <v>40544</v>
      </c>
      <c r="C11" s="15">
        <v>1</v>
      </c>
      <c r="D11" s="15">
        <v>0</v>
      </c>
      <c r="E11" s="15">
        <v>1</v>
      </c>
      <c r="F11" s="15">
        <v>9</v>
      </c>
      <c r="G11" s="17" t="b">
        <v>0</v>
      </c>
      <c r="H11" s="15">
        <v>6</v>
      </c>
      <c r="I11" s="15">
        <v>1</v>
      </c>
      <c r="J11" s="15">
        <v>0.32</v>
      </c>
      <c r="K11" s="14">
        <v>0.34849999999999998</v>
      </c>
      <c r="L11" s="14">
        <v>0.76</v>
      </c>
      <c r="M11" s="14">
        <v>0</v>
      </c>
      <c r="N11" s="14">
        <v>8</v>
      </c>
      <c r="O11" s="14">
        <v>6</v>
      </c>
      <c r="P11" s="14">
        <v>14</v>
      </c>
      <c r="R11" s="14">
        <v>3</v>
      </c>
    </row>
    <row r="12" spans="1:20" x14ac:dyDescent="0.3">
      <c r="A12" s="15">
        <v>11</v>
      </c>
      <c r="B12" s="16">
        <v>40544</v>
      </c>
      <c r="C12" s="15">
        <v>1</v>
      </c>
      <c r="D12" s="15">
        <v>0</v>
      </c>
      <c r="E12" s="15">
        <v>1</v>
      </c>
      <c r="F12" s="15">
        <v>10</v>
      </c>
      <c r="G12" s="17" t="b">
        <v>0</v>
      </c>
      <c r="H12" s="15">
        <v>6</v>
      </c>
      <c r="I12" s="15">
        <v>1</v>
      </c>
      <c r="J12" s="15">
        <v>0.38</v>
      </c>
      <c r="K12" s="14">
        <v>0.39389999999999997</v>
      </c>
      <c r="L12" s="14">
        <v>0.76</v>
      </c>
      <c r="M12" s="14">
        <v>0.25369999999999998</v>
      </c>
      <c r="N12" s="14">
        <v>12</v>
      </c>
      <c r="O12" s="14">
        <v>24</v>
      </c>
      <c r="P12" s="14">
        <v>36</v>
      </c>
    </row>
    <row r="13" spans="1:20" x14ac:dyDescent="0.3">
      <c r="A13" s="15">
        <v>12</v>
      </c>
      <c r="B13" s="16">
        <v>40544</v>
      </c>
      <c r="C13" s="15">
        <v>1</v>
      </c>
      <c r="D13" s="15">
        <v>0</v>
      </c>
      <c r="E13" s="15">
        <v>1</v>
      </c>
      <c r="F13" s="15">
        <v>11</v>
      </c>
      <c r="G13" s="17" t="b">
        <v>0</v>
      </c>
      <c r="H13" s="15">
        <v>6</v>
      </c>
      <c r="I13" s="15">
        <v>1</v>
      </c>
      <c r="J13" s="15">
        <v>0.36</v>
      </c>
      <c r="K13" s="14">
        <v>0.33329999999999999</v>
      </c>
      <c r="L13" s="14">
        <v>0.81</v>
      </c>
      <c r="M13" s="14">
        <v>0.28360000000000002</v>
      </c>
      <c r="N13" s="14">
        <v>26</v>
      </c>
      <c r="O13" s="14">
        <v>30</v>
      </c>
      <c r="P13" s="14">
        <v>56</v>
      </c>
      <c r="R13" t="s">
        <v>11</v>
      </c>
      <c r="T13" t="s">
        <v>54</v>
      </c>
    </row>
    <row r="14" spans="1:20" x14ac:dyDescent="0.3">
      <c r="A14" s="15">
        <v>13</v>
      </c>
      <c r="B14" s="16">
        <v>40544</v>
      </c>
      <c r="C14" s="15">
        <v>1</v>
      </c>
      <c r="D14" s="15">
        <v>0</v>
      </c>
      <c r="E14" s="15">
        <v>1</v>
      </c>
      <c r="F14" s="15">
        <v>12</v>
      </c>
      <c r="G14" s="17" t="b">
        <v>0</v>
      </c>
      <c r="H14" s="15">
        <v>6</v>
      </c>
      <c r="I14" s="15">
        <v>1</v>
      </c>
      <c r="J14" s="15">
        <v>0.42</v>
      </c>
      <c r="K14" s="14">
        <v>0.42420000000000002</v>
      </c>
      <c r="L14" s="14">
        <v>0.77</v>
      </c>
      <c r="M14" s="14">
        <v>0.28360000000000002</v>
      </c>
      <c r="N14" s="14">
        <v>29</v>
      </c>
      <c r="O14" s="14">
        <v>55</v>
      </c>
      <c r="P14" s="14">
        <v>84</v>
      </c>
      <c r="R14" t="s">
        <v>55</v>
      </c>
      <c r="S14" t="s">
        <v>56</v>
      </c>
    </row>
    <row r="15" spans="1:20" x14ac:dyDescent="0.3">
      <c r="A15" s="15">
        <v>14</v>
      </c>
      <c r="B15" s="16">
        <v>40544</v>
      </c>
      <c r="C15" s="15">
        <v>1</v>
      </c>
      <c r="D15" s="15">
        <v>0</v>
      </c>
      <c r="E15" s="15">
        <v>1</v>
      </c>
      <c r="F15" s="15">
        <v>13</v>
      </c>
      <c r="G15" s="17" t="b">
        <v>0</v>
      </c>
      <c r="H15" s="15">
        <v>6</v>
      </c>
      <c r="I15" s="15">
        <v>2</v>
      </c>
      <c r="J15" s="15">
        <v>0.46</v>
      </c>
      <c r="K15" s="14">
        <v>0.45450000000000002</v>
      </c>
      <c r="L15" s="14">
        <v>0.72</v>
      </c>
      <c r="M15" s="14">
        <v>0.29849999999999999</v>
      </c>
      <c r="N15" s="14">
        <v>47</v>
      </c>
      <c r="O15" s="14">
        <v>47</v>
      </c>
      <c r="P15" s="14">
        <v>94</v>
      </c>
      <c r="R15" t="s">
        <v>57</v>
      </c>
      <c r="S15" t="s">
        <v>58</v>
      </c>
    </row>
    <row r="16" spans="1:20" x14ac:dyDescent="0.3">
      <c r="A16" s="15">
        <v>15</v>
      </c>
      <c r="B16" s="16">
        <v>40544</v>
      </c>
      <c r="C16" s="15">
        <v>1</v>
      </c>
      <c r="D16" s="15">
        <v>0</v>
      </c>
      <c r="E16" s="15">
        <v>1</v>
      </c>
      <c r="F16" s="15">
        <v>14</v>
      </c>
      <c r="G16" s="17" t="b">
        <v>0</v>
      </c>
      <c r="H16" s="15">
        <v>6</v>
      </c>
      <c r="I16" s="15">
        <v>2</v>
      </c>
      <c r="J16" s="15">
        <v>0.46</v>
      </c>
      <c r="K16" s="14">
        <v>0.45450000000000002</v>
      </c>
      <c r="L16" s="14">
        <v>0.72</v>
      </c>
      <c r="M16" s="14">
        <v>0.28360000000000002</v>
      </c>
      <c r="N16" s="14">
        <v>35</v>
      </c>
      <c r="O16" s="14">
        <v>71</v>
      </c>
      <c r="P16" s="14">
        <v>106</v>
      </c>
      <c r="R16" t="s">
        <v>59</v>
      </c>
      <c r="S16" t="s">
        <v>60</v>
      </c>
    </row>
    <row r="17" spans="1:19" x14ac:dyDescent="0.3">
      <c r="A17" s="15">
        <v>16</v>
      </c>
      <c r="B17" s="16">
        <v>40544</v>
      </c>
      <c r="C17" s="15">
        <v>1</v>
      </c>
      <c r="D17" s="15">
        <v>0</v>
      </c>
      <c r="E17" s="15">
        <v>1</v>
      </c>
      <c r="F17" s="15">
        <v>15</v>
      </c>
      <c r="G17" s="17" t="b">
        <v>0</v>
      </c>
      <c r="H17" s="15">
        <v>6</v>
      </c>
      <c r="I17" s="15">
        <v>2</v>
      </c>
      <c r="J17" s="15">
        <v>0.44</v>
      </c>
      <c r="K17" s="14">
        <v>0.43940000000000001</v>
      </c>
      <c r="L17" s="14">
        <v>0.77</v>
      </c>
      <c r="M17" s="14">
        <v>0.29849999999999999</v>
      </c>
      <c r="N17" s="14">
        <v>40</v>
      </c>
      <c r="O17" s="14">
        <v>70</v>
      </c>
      <c r="P17" s="14">
        <v>110</v>
      </c>
      <c r="R17" t="s">
        <v>61</v>
      </c>
      <c r="S17" t="s">
        <v>62</v>
      </c>
    </row>
    <row r="18" spans="1:19" x14ac:dyDescent="0.3">
      <c r="A18" s="15">
        <v>17</v>
      </c>
      <c r="B18" s="16">
        <v>40544</v>
      </c>
      <c r="C18" s="15">
        <v>1</v>
      </c>
      <c r="D18" s="15">
        <v>0</v>
      </c>
      <c r="E18" s="15">
        <v>1</v>
      </c>
      <c r="F18" s="15">
        <v>16</v>
      </c>
      <c r="G18" s="17" t="b">
        <v>0</v>
      </c>
      <c r="H18" s="15">
        <v>6</v>
      </c>
      <c r="I18" s="15">
        <v>2</v>
      </c>
      <c r="J18" s="15">
        <v>0.42</v>
      </c>
      <c r="K18" s="14">
        <v>0.42420000000000002</v>
      </c>
      <c r="L18" s="14">
        <v>0.82</v>
      </c>
      <c r="M18" s="14">
        <v>0.29849999999999999</v>
      </c>
      <c r="N18" s="14">
        <v>41</v>
      </c>
      <c r="O18" s="14">
        <v>52</v>
      </c>
      <c r="P18" s="14">
        <v>93</v>
      </c>
    </row>
    <row r="19" spans="1:19" x14ac:dyDescent="0.3">
      <c r="A19" s="15">
        <v>18</v>
      </c>
      <c r="B19" s="16">
        <v>40544</v>
      </c>
      <c r="C19" s="15">
        <v>1</v>
      </c>
      <c r="D19" s="15">
        <v>0</v>
      </c>
      <c r="E19" s="15">
        <v>1</v>
      </c>
      <c r="F19" s="15">
        <v>17</v>
      </c>
      <c r="G19" s="17" t="b">
        <v>0</v>
      </c>
      <c r="H19" s="15">
        <v>6</v>
      </c>
      <c r="I19" s="15">
        <v>2</v>
      </c>
      <c r="J19" s="15">
        <v>0.44</v>
      </c>
      <c r="K19" s="14"/>
      <c r="L19" s="14">
        <v>0.82</v>
      </c>
      <c r="M19" s="14">
        <v>0.28360000000000002</v>
      </c>
      <c r="N19" s="14">
        <v>15</v>
      </c>
      <c r="O19" s="14">
        <v>52</v>
      </c>
      <c r="P19" s="14">
        <v>67</v>
      </c>
    </row>
    <row r="20" spans="1:19" x14ac:dyDescent="0.3">
      <c r="A20" s="15">
        <v>19</v>
      </c>
      <c r="B20" s="16">
        <v>40544</v>
      </c>
      <c r="C20" s="15">
        <v>1</v>
      </c>
      <c r="D20" s="15">
        <v>0</v>
      </c>
      <c r="E20" s="15">
        <v>1</v>
      </c>
      <c r="F20" s="15">
        <v>18</v>
      </c>
      <c r="G20" s="17" t="b">
        <v>0</v>
      </c>
      <c r="H20" s="15">
        <v>6</v>
      </c>
      <c r="I20" s="15">
        <v>3</v>
      </c>
      <c r="J20" s="15">
        <v>0.42</v>
      </c>
      <c r="K20" s="14">
        <v>0.42420000000000002</v>
      </c>
      <c r="L20" s="14">
        <v>0.88</v>
      </c>
      <c r="M20" s="14">
        <v>0.25369999999999998</v>
      </c>
      <c r="N20" s="14">
        <v>9</v>
      </c>
      <c r="O20" s="14">
        <v>26</v>
      </c>
      <c r="P20" s="14">
        <v>35</v>
      </c>
    </row>
    <row r="21" spans="1:19" x14ac:dyDescent="0.3">
      <c r="A21" s="15">
        <v>20</v>
      </c>
      <c r="B21" s="16">
        <v>40544</v>
      </c>
      <c r="C21" s="15">
        <v>1</v>
      </c>
      <c r="D21" s="15">
        <v>0</v>
      </c>
      <c r="E21" s="15">
        <v>1</v>
      </c>
      <c r="F21" s="15">
        <v>19</v>
      </c>
      <c r="G21" s="17" t="b">
        <v>0</v>
      </c>
      <c r="H21" s="15">
        <v>6</v>
      </c>
      <c r="I21" s="15">
        <v>3</v>
      </c>
      <c r="J21" s="15">
        <v>0.42</v>
      </c>
      <c r="K21" s="14">
        <v>0.42420000000000002</v>
      </c>
      <c r="L21" s="14">
        <v>0.88</v>
      </c>
      <c r="M21" s="14">
        <v>0.25369999999999998</v>
      </c>
      <c r="N21" s="14">
        <v>6</v>
      </c>
      <c r="O21" s="14">
        <v>31</v>
      </c>
      <c r="P21" s="14">
        <v>37</v>
      </c>
    </row>
    <row r="22" spans="1:19" x14ac:dyDescent="0.3">
      <c r="A22" s="15">
        <v>21</v>
      </c>
      <c r="B22" s="16">
        <v>40544</v>
      </c>
      <c r="C22" s="15">
        <v>1</v>
      </c>
      <c r="D22" s="15">
        <v>0</v>
      </c>
      <c r="E22" s="15">
        <v>1</v>
      </c>
      <c r="F22" s="15">
        <v>20</v>
      </c>
      <c r="G22" s="17" t="b">
        <v>0</v>
      </c>
      <c r="H22" s="15">
        <v>6</v>
      </c>
      <c r="I22" s="15">
        <v>2</v>
      </c>
      <c r="J22" s="15">
        <v>0.4</v>
      </c>
      <c r="K22" s="14">
        <v>0.40910000000000002</v>
      </c>
      <c r="L22" s="14">
        <v>0.87</v>
      </c>
      <c r="M22" s="14">
        <v>0.25369999999999998</v>
      </c>
      <c r="N22" s="14">
        <v>11</v>
      </c>
      <c r="O22" s="14">
        <v>25</v>
      </c>
      <c r="P22" s="14">
        <v>36</v>
      </c>
    </row>
    <row r="23" spans="1:19" x14ac:dyDescent="0.3">
      <c r="A23" s="15">
        <v>22</v>
      </c>
      <c r="B23" s="16">
        <v>40544</v>
      </c>
      <c r="C23" s="15">
        <v>1</v>
      </c>
      <c r="D23" s="15">
        <v>0</v>
      </c>
      <c r="E23" s="15">
        <v>1</v>
      </c>
      <c r="F23" s="15">
        <v>21</v>
      </c>
      <c r="G23" s="17" t="b">
        <v>0</v>
      </c>
      <c r="H23" s="15">
        <v>6</v>
      </c>
      <c r="I23" s="15">
        <v>2</v>
      </c>
      <c r="J23" s="15">
        <v>0.4</v>
      </c>
      <c r="K23" s="14">
        <v>0.40910000000000002</v>
      </c>
      <c r="L23" s="14">
        <v>0.87</v>
      </c>
      <c r="M23" s="14">
        <v>0.19400000000000001</v>
      </c>
      <c r="N23" s="14">
        <v>3</v>
      </c>
      <c r="O23" s="14">
        <v>31</v>
      </c>
      <c r="P23" s="14">
        <v>34</v>
      </c>
      <c r="R23" t="s">
        <v>63</v>
      </c>
    </row>
    <row r="24" spans="1:19" x14ac:dyDescent="0.3">
      <c r="A24" s="15">
        <v>23</v>
      </c>
      <c r="B24" s="16">
        <v>40544</v>
      </c>
      <c r="C24" s="15">
        <v>1</v>
      </c>
      <c r="D24" s="15">
        <v>0</v>
      </c>
      <c r="E24" s="15">
        <v>1</v>
      </c>
      <c r="F24" s="15">
        <v>22</v>
      </c>
      <c r="G24" s="17" t="b">
        <v>0</v>
      </c>
      <c r="H24" s="15">
        <v>6</v>
      </c>
      <c r="I24" s="15">
        <v>2</v>
      </c>
      <c r="J24" s="15">
        <v>0.4</v>
      </c>
      <c r="K24" s="14">
        <v>0.40910000000000002</v>
      </c>
      <c r="L24" s="14">
        <v>0.94</v>
      </c>
      <c r="M24" s="14">
        <v>0.22389999999999999</v>
      </c>
      <c r="N24" s="14">
        <v>11</v>
      </c>
      <c r="O24" s="14">
        <v>17</v>
      </c>
      <c r="P24" s="14">
        <v>28</v>
      </c>
    </row>
    <row r="25" spans="1:19" x14ac:dyDescent="0.3">
      <c r="A25" s="15">
        <v>24</v>
      </c>
      <c r="B25" s="16">
        <v>40544</v>
      </c>
      <c r="C25" s="15">
        <v>1</v>
      </c>
      <c r="D25" s="15">
        <v>0</v>
      </c>
      <c r="E25" s="15">
        <v>1</v>
      </c>
      <c r="F25" s="15">
        <v>23</v>
      </c>
      <c r="G25" s="17" t="b">
        <v>0</v>
      </c>
      <c r="H25" s="15">
        <v>6</v>
      </c>
      <c r="I25" s="15">
        <v>2</v>
      </c>
      <c r="J25" s="15">
        <v>0.46</v>
      </c>
      <c r="K25" s="14"/>
      <c r="L25" s="14">
        <v>0.88</v>
      </c>
      <c r="M25" s="14">
        <v>0.29849999999999999</v>
      </c>
      <c r="N25" s="14">
        <v>15</v>
      </c>
      <c r="O25" s="14">
        <v>24</v>
      </c>
      <c r="P25" s="14">
        <v>39</v>
      </c>
    </row>
    <row r="26" spans="1:19" x14ac:dyDescent="0.3">
      <c r="A26" s="15">
        <v>25</v>
      </c>
      <c r="B26" s="16">
        <v>40545</v>
      </c>
      <c r="C26" s="15">
        <v>1</v>
      </c>
      <c r="D26" s="15">
        <v>0</v>
      </c>
      <c r="E26" s="15">
        <v>1</v>
      </c>
      <c r="F26" s="15">
        <v>0</v>
      </c>
      <c r="G26" s="17" t="b">
        <v>0</v>
      </c>
      <c r="H26" s="15">
        <v>0</v>
      </c>
      <c r="I26" s="15">
        <v>2</v>
      </c>
      <c r="J26" s="15">
        <v>0.46</v>
      </c>
      <c r="K26" s="14">
        <v>0.45450000000000002</v>
      </c>
      <c r="L26" s="14">
        <v>0.88</v>
      </c>
      <c r="M26" s="14">
        <v>0.29849999999999999</v>
      </c>
      <c r="N26" s="14">
        <v>4</v>
      </c>
      <c r="O26" s="14">
        <v>13</v>
      </c>
      <c r="P26" s="14">
        <v>17</v>
      </c>
    </row>
    <row r="27" spans="1:19" x14ac:dyDescent="0.3">
      <c r="A27" s="15">
        <v>26</v>
      </c>
      <c r="B27" s="16">
        <v>40545</v>
      </c>
      <c r="C27" s="15">
        <v>1</v>
      </c>
      <c r="D27" s="15">
        <v>0</v>
      </c>
      <c r="E27" s="15">
        <v>1</v>
      </c>
      <c r="F27" s="15">
        <v>1</v>
      </c>
      <c r="G27" s="17" t="b">
        <v>0</v>
      </c>
      <c r="H27" s="15">
        <v>0</v>
      </c>
      <c r="I27" s="15">
        <v>2</v>
      </c>
      <c r="J27" s="15">
        <v>0.44</v>
      </c>
      <c r="K27" s="14">
        <v>0.43940000000000001</v>
      </c>
      <c r="L27" s="14">
        <v>0.94</v>
      </c>
      <c r="M27" s="14">
        <v>0.25369999999999998</v>
      </c>
      <c r="N27" s="14">
        <v>1</v>
      </c>
      <c r="O27" s="14">
        <v>16</v>
      </c>
      <c r="P27" s="14">
        <v>17</v>
      </c>
    </row>
    <row r="28" spans="1:19" x14ac:dyDescent="0.3">
      <c r="A28" s="15">
        <v>27</v>
      </c>
      <c r="B28" s="16">
        <v>40545</v>
      </c>
      <c r="C28" s="15">
        <v>1</v>
      </c>
      <c r="D28" s="15">
        <v>0</v>
      </c>
      <c r="E28" s="15">
        <v>1</v>
      </c>
      <c r="F28" s="15">
        <v>2</v>
      </c>
      <c r="G28" s="17" t="b">
        <v>0</v>
      </c>
      <c r="H28" s="15">
        <v>0</v>
      </c>
      <c r="I28" s="15">
        <v>2</v>
      </c>
      <c r="J28" s="15">
        <v>0.42</v>
      </c>
      <c r="K28" s="14">
        <v>0.42420000000000002</v>
      </c>
      <c r="L28" s="14">
        <v>1</v>
      </c>
      <c r="M28" s="14">
        <v>0.28360000000000002</v>
      </c>
      <c r="N28" s="14">
        <v>1</v>
      </c>
      <c r="O28" s="14">
        <v>8</v>
      </c>
      <c r="P28" s="14">
        <v>9</v>
      </c>
    </row>
    <row r="29" spans="1:19" x14ac:dyDescent="0.3">
      <c r="A29" s="15">
        <v>28</v>
      </c>
      <c r="B29" s="16">
        <v>40545</v>
      </c>
      <c r="C29" s="15">
        <v>1</v>
      </c>
      <c r="D29" s="15">
        <v>0</v>
      </c>
      <c r="E29" s="15">
        <v>1</v>
      </c>
      <c r="F29" s="15">
        <v>3</v>
      </c>
      <c r="G29" s="17" t="b">
        <v>0</v>
      </c>
      <c r="H29" s="15">
        <v>0</v>
      </c>
      <c r="I29" s="15">
        <v>2</v>
      </c>
      <c r="J29" s="15">
        <v>0.46</v>
      </c>
      <c r="K29" s="14">
        <v>0.45450000000000002</v>
      </c>
      <c r="L29" s="14">
        <v>0.94</v>
      </c>
      <c r="M29" s="14">
        <v>0.19400000000000001</v>
      </c>
      <c r="N29" s="14">
        <v>2</v>
      </c>
      <c r="O29" s="14">
        <v>4</v>
      </c>
      <c r="P29" s="14">
        <v>6</v>
      </c>
    </row>
    <row r="30" spans="1:19" x14ac:dyDescent="0.3">
      <c r="A30" s="15">
        <v>29</v>
      </c>
      <c r="B30" s="16">
        <v>40545</v>
      </c>
      <c r="C30" s="15">
        <v>1</v>
      </c>
      <c r="D30" s="15">
        <v>0</v>
      </c>
      <c r="E30" s="15">
        <v>1</v>
      </c>
      <c r="F30" s="15">
        <v>4</v>
      </c>
      <c r="G30" s="17" t="b">
        <v>0</v>
      </c>
      <c r="H30" s="15">
        <v>0</v>
      </c>
      <c r="I30" s="15">
        <v>2</v>
      </c>
      <c r="J30" s="15">
        <v>0.46</v>
      </c>
      <c r="K30" s="14"/>
      <c r="L30" s="14">
        <v>0.94</v>
      </c>
      <c r="M30" s="14">
        <v>0.19400000000000001</v>
      </c>
      <c r="N30" s="14">
        <v>2</v>
      </c>
      <c r="O30" s="14">
        <v>1</v>
      </c>
      <c r="P30" s="14">
        <v>3</v>
      </c>
    </row>
    <row r="31" spans="1:19" x14ac:dyDescent="0.3">
      <c r="A31" s="15">
        <v>30</v>
      </c>
      <c r="B31" s="16">
        <v>40545</v>
      </c>
      <c r="C31" s="15">
        <v>1</v>
      </c>
      <c r="D31" s="15">
        <v>0</v>
      </c>
      <c r="E31" s="15">
        <v>1</v>
      </c>
      <c r="F31" s="15">
        <v>6</v>
      </c>
      <c r="G31" s="17" t="b">
        <v>0</v>
      </c>
      <c r="H31" s="15">
        <v>0</v>
      </c>
      <c r="I31" s="15">
        <v>3</v>
      </c>
      <c r="J31" s="15">
        <v>0.42</v>
      </c>
      <c r="K31" s="14">
        <v>0.42420000000000002</v>
      </c>
      <c r="L31" s="14">
        <v>0.77</v>
      </c>
      <c r="M31" s="14">
        <v>0.29849999999999999</v>
      </c>
      <c r="N31" s="14">
        <v>0</v>
      </c>
      <c r="O31" s="14">
        <v>2</v>
      </c>
      <c r="P31" s="14">
        <v>2</v>
      </c>
    </row>
    <row r="32" spans="1:19" x14ac:dyDescent="0.3">
      <c r="A32" s="15">
        <v>31</v>
      </c>
      <c r="B32" s="16">
        <v>40545</v>
      </c>
      <c r="C32" s="15">
        <v>1</v>
      </c>
      <c r="D32" s="15">
        <v>0</v>
      </c>
      <c r="E32" s="15">
        <v>1</v>
      </c>
      <c r="F32" s="15">
        <v>7</v>
      </c>
      <c r="G32" s="17" t="b">
        <v>0</v>
      </c>
      <c r="H32" s="15">
        <v>0</v>
      </c>
      <c r="I32" s="15">
        <v>2</v>
      </c>
      <c r="J32" s="15">
        <v>0.4</v>
      </c>
      <c r="K32" s="14">
        <v>0.40910000000000002</v>
      </c>
      <c r="L32" s="14">
        <v>0.76</v>
      </c>
      <c r="M32" s="14">
        <v>0.19400000000000001</v>
      </c>
      <c r="N32" s="14">
        <v>0</v>
      </c>
      <c r="O32" s="14">
        <v>1</v>
      </c>
      <c r="P32" s="14">
        <v>1</v>
      </c>
    </row>
    <row r="33" spans="1:16" x14ac:dyDescent="0.3">
      <c r="A33" s="15">
        <v>32</v>
      </c>
      <c r="B33" s="16">
        <v>40545</v>
      </c>
      <c r="C33" s="15">
        <v>1</v>
      </c>
      <c r="D33" s="15">
        <v>0</v>
      </c>
      <c r="E33" s="15">
        <v>1</v>
      </c>
      <c r="F33" s="15">
        <v>8</v>
      </c>
      <c r="G33" s="17" t="b">
        <v>0</v>
      </c>
      <c r="H33" s="15">
        <v>0</v>
      </c>
      <c r="I33" s="15">
        <v>3</v>
      </c>
      <c r="J33" s="15">
        <v>0.4</v>
      </c>
      <c r="K33" s="14">
        <v>0.40910000000000002</v>
      </c>
      <c r="L33" s="14">
        <v>0.71</v>
      </c>
      <c r="M33" s="14">
        <v>0.22389999999999999</v>
      </c>
      <c r="N33" s="14">
        <v>0</v>
      </c>
      <c r="O33" s="14">
        <v>8</v>
      </c>
      <c r="P33" s="14">
        <v>8</v>
      </c>
    </row>
    <row r="34" spans="1:16" x14ac:dyDescent="0.3">
      <c r="A34" s="15">
        <v>33</v>
      </c>
      <c r="B34" s="16">
        <v>40545</v>
      </c>
      <c r="C34" s="15">
        <v>1</v>
      </c>
      <c r="D34" s="15">
        <v>0</v>
      </c>
      <c r="E34" s="15">
        <v>1</v>
      </c>
      <c r="F34" s="15">
        <v>9</v>
      </c>
      <c r="G34" s="17" t="b">
        <v>0</v>
      </c>
      <c r="H34" s="15">
        <v>0</v>
      </c>
      <c r="I34" s="15">
        <v>2</v>
      </c>
      <c r="J34" s="15">
        <v>0.38</v>
      </c>
      <c r="K34" s="14"/>
      <c r="L34" s="14">
        <v>0.76</v>
      </c>
      <c r="M34" s="14">
        <v>0.22389999999999999</v>
      </c>
      <c r="N34" s="14">
        <v>1</v>
      </c>
      <c r="O34" s="14">
        <v>19</v>
      </c>
      <c r="P34" s="14">
        <v>20</v>
      </c>
    </row>
    <row r="35" spans="1:16" x14ac:dyDescent="0.3">
      <c r="A35" s="15">
        <v>34</v>
      </c>
      <c r="B35" s="16">
        <v>40545</v>
      </c>
      <c r="C35" s="15">
        <v>1</v>
      </c>
      <c r="D35" s="15">
        <v>0</v>
      </c>
      <c r="E35" s="15">
        <v>1</v>
      </c>
      <c r="F35" s="15">
        <v>10</v>
      </c>
      <c r="G35" s="17" t="b">
        <v>0</v>
      </c>
      <c r="H35" s="15">
        <v>0</v>
      </c>
      <c r="I35" s="15">
        <v>2</v>
      </c>
      <c r="J35" s="15">
        <v>0.36</v>
      </c>
      <c r="K35" s="14">
        <v>0.34849999999999998</v>
      </c>
      <c r="L35" s="14">
        <v>0.81</v>
      </c>
      <c r="M35" s="14">
        <v>0.22389999999999999</v>
      </c>
      <c r="N35" s="14">
        <v>7</v>
      </c>
      <c r="O35" s="14">
        <v>46</v>
      </c>
      <c r="P35" s="14">
        <v>53</v>
      </c>
    </row>
    <row r="36" spans="1:16" x14ac:dyDescent="0.3">
      <c r="A36" s="15">
        <v>35</v>
      </c>
      <c r="B36" s="16">
        <v>40545</v>
      </c>
      <c r="C36" s="15">
        <v>1</v>
      </c>
      <c r="D36" s="15">
        <v>0</v>
      </c>
      <c r="E36" s="15">
        <v>1</v>
      </c>
      <c r="F36" s="15">
        <v>11</v>
      </c>
      <c r="G36" s="17" t="b">
        <v>0</v>
      </c>
      <c r="H36" s="15">
        <v>0</v>
      </c>
      <c r="I36" s="15">
        <v>2</v>
      </c>
      <c r="J36" s="15">
        <v>0.36</v>
      </c>
      <c r="K36" s="14">
        <v>0.33329999999999999</v>
      </c>
      <c r="L36" s="14">
        <v>0.71</v>
      </c>
      <c r="M36" s="14">
        <v>0.25369999999999998</v>
      </c>
      <c r="N36" s="14">
        <v>16</v>
      </c>
      <c r="O36" s="14">
        <v>54</v>
      </c>
      <c r="P36" s="14">
        <v>70</v>
      </c>
    </row>
    <row r="37" spans="1:16" x14ac:dyDescent="0.3">
      <c r="A37" s="15">
        <v>36</v>
      </c>
      <c r="B37" s="16">
        <v>40545</v>
      </c>
      <c r="C37" s="15">
        <v>1</v>
      </c>
      <c r="D37" s="15">
        <v>0</v>
      </c>
      <c r="E37" s="15">
        <v>1</v>
      </c>
      <c r="F37" s="15">
        <v>12</v>
      </c>
      <c r="G37" s="17" t="b">
        <v>0</v>
      </c>
      <c r="H37" s="15">
        <v>0</v>
      </c>
      <c r="I37" s="15">
        <v>2</v>
      </c>
      <c r="J37" s="15">
        <v>0.36</v>
      </c>
      <c r="K37" s="14">
        <v>0.33329999999999999</v>
      </c>
      <c r="L37" s="14">
        <v>0.66</v>
      </c>
      <c r="M37" s="14">
        <v>0.29849999999999999</v>
      </c>
      <c r="N37" s="14">
        <v>20</v>
      </c>
      <c r="O37" s="14">
        <v>73</v>
      </c>
      <c r="P37" s="14">
        <v>93</v>
      </c>
    </row>
    <row r="38" spans="1:16" x14ac:dyDescent="0.3">
      <c r="A38" s="15">
        <v>37</v>
      </c>
      <c r="B38" s="16">
        <v>40545</v>
      </c>
      <c r="C38" s="15">
        <v>1</v>
      </c>
      <c r="D38" s="15">
        <v>0</v>
      </c>
      <c r="E38" s="15">
        <v>1</v>
      </c>
      <c r="F38" s="15">
        <v>13</v>
      </c>
      <c r="G38" s="17" t="b">
        <v>0</v>
      </c>
      <c r="H38" s="15">
        <v>0</v>
      </c>
      <c r="I38" s="15">
        <v>2</v>
      </c>
      <c r="J38" s="15">
        <v>0.36</v>
      </c>
      <c r="K38" s="14">
        <v>0.34849999999999998</v>
      </c>
      <c r="L38" s="14">
        <v>0.66</v>
      </c>
      <c r="M38" s="14">
        <v>0.1343</v>
      </c>
      <c r="N38" s="14">
        <v>11</v>
      </c>
      <c r="O38" s="14">
        <v>64</v>
      </c>
      <c r="P38" s="14">
        <v>75</v>
      </c>
    </row>
    <row r="39" spans="1:16" x14ac:dyDescent="0.3">
      <c r="A39" s="15">
        <v>38</v>
      </c>
      <c r="B39" s="16">
        <v>40545</v>
      </c>
      <c r="C39" s="15">
        <v>1</v>
      </c>
      <c r="D39" s="15">
        <v>0</v>
      </c>
      <c r="E39" s="15">
        <v>1</v>
      </c>
      <c r="F39" s="15">
        <v>14</v>
      </c>
      <c r="G39" s="17" t="b">
        <v>0</v>
      </c>
      <c r="H39" s="15">
        <v>0</v>
      </c>
      <c r="I39" s="15">
        <v>3</v>
      </c>
      <c r="J39" s="15">
        <v>0.36</v>
      </c>
      <c r="K39" s="14"/>
      <c r="L39" s="14">
        <v>0.76</v>
      </c>
      <c r="M39" s="14">
        <v>0.19400000000000001</v>
      </c>
      <c r="N39" s="14">
        <v>4</v>
      </c>
      <c r="O39" s="14">
        <v>55</v>
      </c>
      <c r="P39" s="14">
        <v>59</v>
      </c>
    </row>
    <row r="40" spans="1:16" x14ac:dyDescent="0.3">
      <c r="A40" s="15">
        <v>39</v>
      </c>
      <c r="B40" s="16">
        <v>40545</v>
      </c>
      <c r="C40" s="15">
        <v>1</v>
      </c>
      <c r="D40" s="15">
        <v>0</v>
      </c>
      <c r="E40" s="15">
        <v>1</v>
      </c>
      <c r="F40" s="15">
        <v>15</v>
      </c>
      <c r="G40" s="17" t="b">
        <v>0</v>
      </c>
      <c r="H40" s="15">
        <v>0</v>
      </c>
      <c r="I40" s="15">
        <v>3</v>
      </c>
      <c r="J40" s="15">
        <v>0.34</v>
      </c>
      <c r="K40" s="14">
        <v>0.33329999999999999</v>
      </c>
      <c r="L40" s="14">
        <v>0.81</v>
      </c>
      <c r="M40" s="14">
        <v>0.16420000000000001</v>
      </c>
      <c r="N40" s="14">
        <v>19</v>
      </c>
      <c r="O40" s="14">
        <v>55</v>
      </c>
      <c r="P40" s="14">
        <v>74</v>
      </c>
    </row>
    <row r="41" spans="1:16" x14ac:dyDescent="0.3">
      <c r="A41" s="15">
        <v>40</v>
      </c>
      <c r="B41" s="16">
        <v>40545</v>
      </c>
      <c r="C41" s="15">
        <v>1</v>
      </c>
      <c r="D41" s="15">
        <v>0</v>
      </c>
      <c r="E41" s="15">
        <v>1</v>
      </c>
      <c r="F41" s="15">
        <v>16</v>
      </c>
      <c r="G41" s="17" t="b">
        <v>0</v>
      </c>
      <c r="H41" s="15">
        <v>0</v>
      </c>
      <c r="I41" s="15">
        <v>3</v>
      </c>
      <c r="J41" s="15">
        <v>0.34</v>
      </c>
      <c r="K41" s="14">
        <v>0.33329999999999999</v>
      </c>
      <c r="L41" s="14">
        <v>0.71</v>
      </c>
      <c r="M41" s="14">
        <v>0.16420000000000001</v>
      </c>
      <c r="N41" s="14">
        <v>9</v>
      </c>
      <c r="O41" s="14">
        <v>67</v>
      </c>
      <c r="P41" s="14">
        <v>76</v>
      </c>
    </row>
    <row r="42" spans="1:16" x14ac:dyDescent="0.3">
      <c r="A42" s="15">
        <v>41</v>
      </c>
      <c r="B42" s="16">
        <v>40545</v>
      </c>
      <c r="C42" s="15">
        <v>1</v>
      </c>
      <c r="D42" s="15">
        <v>0</v>
      </c>
      <c r="E42" s="15">
        <v>1</v>
      </c>
      <c r="F42" s="15">
        <v>17</v>
      </c>
      <c r="G42" s="17" t="b">
        <v>0</v>
      </c>
      <c r="H42" s="15">
        <v>0</v>
      </c>
      <c r="I42" s="15">
        <v>1</v>
      </c>
      <c r="J42" s="15">
        <v>0.34</v>
      </c>
      <c r="K42" s="14">
        <v>0.33329999999999999</v>
      </c>
      <c r="L42" s="14">
        <v>0.56999999999999995</v>
      </c>
      <c r="M42" s="14">
        <v>0.19400000000000001</v>
      </c>
      <c r="N42" s="14">
        <v>7</v>
      </c>
      <c r="O42" s="14">
        <v>58</v>
      </c>
      <c r="P42" s="14">
        <v>65</v>
      </c>
    </row>
    <row r="43" spans="1:16" x14ac:dyDescent="0.3">
      <c r="A43" s="15">
        <v>42</v>
      </c>
      <c r="B43" s="16">
        <v>40545</v>
      </c>
      <c r="C43" s="15">
        <v>1</v>
      </c>
      <c r="D43" s="15">
        <v>0</v>
      </c>
      <c r="E43" s="15">
        <v>1</v>
      </c>
      <c r="F43" s="15">
        <v>18</v>
      </c>
      <c r="G43" s="17" t="b">
        <v>0</v>
      </c>
      <c r="H43" s="15">
        <v>0</v>
      </c>
      <c r="I43" s="15">
        <v>2</v>
      </c>
      <c r="J43" s="15">
        <v>0.36</v>
      </c>
      <c r="K43" s="14">
        <v>0.33329999999999999</v>
      </c>
      <c r="L43" s="14">
        <v>0.46</v>
      </c>
      <c r="M43" s="14">
        <v>0.32840000000000003</v>
      </c>
      <c r="N43" s="14">
        <v>10</v>
      </c>
      <c r="O43" s="14">
        <v>43</v>
      </c>
      <c r="P43" s="14">
        <v>53</v>
      </c>
    </row>
    <row r="44" spans="1:16" x14ac:dyDescent="0.3">
      <c r="A44" s="15">
        <v>43</v>
      </c>
      <c r="B44" s="16">
        <v>40545</v>
      </c>
      <c r="C44" s="15">
        <v>1</v>
      </c>
      <c r="D44" s="15">
        <v>0</v>
      </c>
      <c r="E44" s="15">
        <v>1</v>
      </c>
      <c r="F44" s="15">
        <v>19</v>
      </c>
      <c r="G44" s="17" t="b">
        <v>0</v>
      </c>
      <c r="H44" s="15">
        <v>0</v>
      </c>
      <c r="I44" s="15">
        <v>1</v>
      </c>
      <c r="J44" s="15">
        <v>0.32</v>
      </c>
      <c r="K44" s="14">
        <v>0.28789999999999999</v>
      </c>
      <c r="L44" s="14">
        <v>0.42</v>
      </c>
      <c r="M44" s="14">
        <v>0.44779999999999998</v>
      </c>
      <c r="N44" s="14">
        <v>1</v>
      </c>
      <c r="O44" s="14">
        <v>29</v>
      </c>
      <c r="P44" s="14">
        <v>30</v>
      </c>
    </row>
    <row r="45" spans="1:16" x14ac:dyDescent="0.3">
      <c r="A45" s="15">
        <v>44</v>
      </c>
      <c r="B45" s="16">
        <v>40545</v>
      </c>
      <c r="C45" s="15">
        <v>1</v>
      </c>
      <c r="D45" s="15">
        <v>0</v>
      </c>
      <c r="E45" s="15">
        <v>1</v>
      </c>
      <c r="F45" s="15">
        <v>20</v>
      </c>
      <c r="G45" s="17" t="b">
        <v>0</v>
      </c>
      <c r="H45" s="15">
        <v>0</v>
      </c>
      <c r="I45" s="15">
        <v>1</v>
      </c>
      <c r="J45" s="15">
        <v>0.3</v>
      </c>
      <c r="K45" s="14"/>
      <c r="L45" s="14">
        <v>0.39</v>
      </c>
      <c r="M45" s="14">
        <v>0.35820000000000002</v>
      </c>
      <c r="N45" s="14">
        <v>5</v>
      </c>
      <c r="O45" s="14">
        <v>17</v>
      </c>
      <c r="P45" s="14">
        <v>22</v>
      </c>
    </row>
    <row r="46" spans="1:16" x14ac:dyDescent="0.3">
      <c r="A46" s="15">
        <v>45</v>
      </c>
      <c r="B46" s="16">
        <v>40545</v>
      </c>
      <c r="C46" s="15">
        <v>1</v>
      </c>
      <c r="D46" s="15">
        <v>0</v>
      </c>
      <c r="E46" s="15">
        <v>1</v>
      </c>
      <c r="F46" s="15">
        <v>21</v>
      </c>
      <c r="G46" s="17" t="b">
        <v>0</v>
      </c>
      <c r="H46" s="15">
        <v>0</v>
      </c>
      <c r="I46" s="15">
        <v>1</v>
      </c>
      <c r="J46" s="15">
        <v>0.26</v>
      </c>
      <c r="K46" s="14">
        <v>0.2273</v>
      </c>
      <c r="L46" s="14">
        <v>0.44</v>
      </c>
      <c r="M46" s="14">
        <v>0.32840000000000003</v>
      </c>
      <c r="N46" s="14">
        <v>11</v>
      </c>
      <c r="O46" s="14">
        <v>20</v>
      </c>
      <c r="P46" s="14">
        <v>31</v>
      </c>
    </row>
    <row r="47" spans="1:16" x14ac:dyDescent="0.3">
      <c r="A47" s="15">
        <v>46</v>
      </c>
      <c r="B47" s="16">
        <v>40545</v>
      </c>
      <c r="C47" s="15">
        <v>1</v>
      </c>
      <c r="D47" s="15">
        <v>0</v>
      </c>
      <c r="E47" s="15">
        <v>1</v>
      </c>
      <c r="F47" s="15">
        <v>22</v>
      </c>
      <c r="G47" s="17" t="b">
        <v>0</v>
      </c>
      <c r="H47" s="15">
        <v>0</v>
      </c>
      <c r="I47" s="15">
        <v>1</v>
      </c>
      <c r="J47" s="15">
        <v>0.24</v>
      </c>
      <c r="K47" s="14">
        <v>0.21210000000000001</v>
      </c>
      <c r="L47" s="14">
        <v>0.44</v>
      </c>
      <c r="M47" s="14">
        <v>0.29849999999999999</v>
      </c>
      <c r="N47" s="14">
        <v>0</v>
      </c>
      <c r="O47" s="14">
        <v>9</v>
      </c>
      <c r="P47" s="14">
        <v>9</v>
      </c>
    </row>
    <row r="48" spans="1:16" x14ac:dyDescent="0.3">
      <c r="A48" s="15">
        <v>47</v>
      </c>
      <c r="B48" s="16">
        <v>40545</v>
      </c>
      <c r="C48" s="15">
        <v>1</v>
      </c>
      <c r="D48" s="15">
        <v>0</v>
      </c>
      <c r="E48" s="15">
        <v>1</v>
      </c>
      <c r="F48" s="15">
        <v>23</v>
      </c>
      <c r="G48" s="17" t="b">
        <v>0</v>
      </c>
      <c r="H48" s="15">
        <v>0</v>
      </c>
      <c r="I48" s="15">
        <v>1</v>
      </c>
      <c r="J48" s="15">
        <v>0.22</v>
      </c>
      <c r="K48" s="14">
        <v>0.2273</v>
      </c>
      <c r="L48" s="14">
        <v>0.47</v>
      </c>
      <c r="M48" s="14">
        <v>0.16420000000000001</v>
      </c>
      <c r="N48" s="14">
        <v>0</v>
      </c>
      <c r="O48" s="14">
        <v>8</v>
      </c>
      <c r="P48" s="14">
        <v>8</v>
      </c>
    </row>
    <row r="49" spans="1:16" x14ac:dyDescent="0.3">
      <c r="A49" s="15">
        <v>48</v>
      </c>
      <c r="B49" s="16">
        <v>40546</v>
      </c>
      <c r="C49" s="15">
        <v>1</v>
      </c>
      <c r="D49" s="15">
        <v>0</v>
      </c>
      <c r="E49" s="15">
        <v>1</v>
      </c>
      <c r="F49" s="15">
        <v>0</v>
      </c>
      <c r="G49" s="17" t="b">
        <v>0</v>
      </c>
      <c r="H49" s="15">
        <v>1</v>
      </c>
      <c r="I49" s="15">
        <v>1</v>
      </c>
      <c r="J49" s="15">
        <v>0.22</v>
      </c>
      <c r="K49" s="14">
        <v>0.19700000000000001</v>
      </c>
      <c r="L49" s="14">
        <v>0.44</v>
      </c>
      <c r="M49" s="14">
        <v>0.35820000000000002</v>
      </c>
      <c r="N49" s="14">
        <v>0</v>
      </c>
      <c r="O49" s="14">
        <v>5</v>
      </c>
      <c r="P49" s="14">
        <v>5</v>
      </c>
    </row>
    <row r="50" spans="1:16" x14ac:dyDescent="0.3">
      <c r="A50" s="15">
        <v>49</v>
      </c>
      <c r="B50" s="16">
        <v>40546</v>
      </c>
      <c r="C50" s="15">
        <v>1</v>
      </c>
      <c r="D50" s="15">
        <v>0</v>
      </c>
      <c r="E50" s="15">
        <v>1</v>
      </c>
      <c r="F50" s="15">
        <v>1</v>
      </c>
      <c r="G50" s="17" t="b">
        <v>0</v>
      </c>
      <c r="H50" s="15">
        <v>1</v>
      </c>
      <c r="I50" s="15">
        <v>1</v>
      </c>
      <c r="J50" s="15">
        <v>0.2</v>
      </c>
      <c r="K50" s="14"/>
      <c r="L50" s="14">
        <v>0.44</v>
      </c>
      <c r="M50" s="14">
        <v>0.41789999999999999</v>
      </c>
      <c r="N50" s="14">
        <v>0</v>
      </c>
      <c r="O50" s="14">
        <v>2</v>
      </c>
      <c r="P50" s="14">
        <v>2</v>
      </c>
    </row>
    <row r="51" spans="1:16" x14ac:dyDescent="0.3">
      <c r="A51" s="15">
        <v>50</v>
      </c>
      <c r="B51" s="16">
        <v>40546</v>
      </c>
      <c r="C51" s="15">
        <v>1</v>
      </c>
      <c r="D51" s="15">
        <v>0</v>
      </c>
      <c r="E51" s="15">
        <v>1</v>
      </c>
      <c r="F51" s="15">
        <v>4</v>
      </c>
      <c r="G51" s="17" t="b">
        <v>0</v>
      </c>
      <c r="H51" s="15">
        <v>1</v>
      </c>
      <c r="I51" s="15">
        <v>1</v>
      </c>
      <c r="J51" s="15">
        <v>0.16</v>
      </c>
      <c r="K51" s="14">
        <v>0.13639999999999999</v>
      </c>
      <c r="L51" s="14">
        <v>0.47</v>
      </c>
      <c r="M51" s="14">
        <v>0.3881</v>
      </c>
      <c r="N51" s="14">
        <v>0</v>
      </c>
      <c r="O51" s="14">
        <v>1</v>
      </c>
      <c r="P51" s="14">
        <v>1</v>
      </c>
    </row>
    <row r="52" spans="1:16" x14ac:dyDescent="0.3">
      <c r="A52" s="15">
        <v>51</v>
      </c>
      <c r="B52" s="16">
        <v>40546</v>
      </c>
      <c r="C52" s="15">
        <v>1</v>
      </c>
      <c r="D52" s="15">
        <v>0</v>
      </c>
      <c r="E52" s="15">
        <v>1</v>
      </c>
      <c r="F52" s="15">
        <v>5</v>
      </c>
      <c r="G52" s="17" t="b">
        <v>0</v>
      </c>
      <c r="H52" s="15">
        <v>1</v>
      </c>
      <c r="I52" s="15">
        <v>1</v>
      </c>
      <c r="J52" s="15">
        <v>0.16</v>
      </c>
      <c r="K52" s="14">
        <v>0.13639999999999999</v>
      </c>
      <c r="L52" s="14">
        <v>0.47</v>
      </c>
      <c r="M52" s="14">
        <v>0.28360000000000002</v>
      </c>
      <c r="N52" s="14">
        <v>0</v>
      </c>
      <c r="O52" s="14">
        <v>3</v>
      </c>
      <c r="P52" s="14">
        <v>3</v>
      </c>
    </row>
    <row r="53" spans="1:16" x14ac:dyDescent="0.3">
      <c r="A53" s="15">
        <v>52</v>
      </c>
      <c r="B53" s="16">
        <v>40546</v>
      </c>
      <c r="C53" s="15">
        <v>1</v>
      </c>
      <c r="D53" s="15">
        <v>0</v>
      </c>
      <c r="E53" s="15">
        <v>1</v>
      </c>
      <c r="F53" s="15">
        <v>6</v>
      </c>
      <c r="G53" s="17" t="b">
        <v>0</v>
      </c>
      <c r="H53" s="15">
        <v>1</v>
      </c>
      <c r="I53" s="15">
        <v>1</v>
      </c>
      <c r="J53" s="15">
        <v>0.14000000000000001</v>
      </c>
      <c r="K53" s="14">
        <v>0.1061</v>
      </c>
      <c r="L53" s="14">
        <v>0.5</v>
      </c>
      <c r="M53" s="14">
        <v>0.3881</v>
      </c>
      <c r="N53" s="14">
        <v>0</v>
      </c>
      <c r="O53" s="14">
        <v>30</v>
      </c>
      <c r="P53" s="14">
        <v>30</v>
      </c>
    </row>
    <row r="54" spans="1:16" x14ac:dyDescent="0.3">
      <c r="A54" s="15">
        <v>53</v>
      </c>
      <c r="B54" s="16">
        <v>40546</v>
      </c>
      <c r="C54" s="15">
        <v>1</v>
      </c>
      <c r="D54" s="15">
        <v>0</v>
      </c>
      <c r="E54" s="15">
        <v>1</v>
      </c>
      <c r="F54" s="15">
        <v>7</v>
      </c>
      <c r="G54" s="17" t="b">
        <v>0</v>
      </c>
      <c r="H54" s="15">
        <v>1</v>
      </c>
      <c r="I54" s="15">
        <v>1</v>
      </c>
      <c r="J54" s="15">
        <v>0.14000000000000001</v>
      </c>
      <c r="K54" s="14">
        <v>0.13639999999999999</v>
      </c>
      <c r="L54" s="14">
        <v>0.5</v>
      </c>
      <c r="M54" s="14">
        <v>0.19400000000000001</v>
      </c>
      <c r="N54" s="14">
        <v>1</v>
      </c>
      <c r="O54" s="14">
        <v>63</v>
      </c>
      <c r="P54" s="14">
        <v>64</v>
      </c>
    </row>
    <row r="55" spans="1:16" x14ac:dyDescent="0.3">
      <c r="A55" s="15">
        <v>54</v>
      </c>
      <c r="B55" s="16">
        <v>40546</v>
      </c>
      <c r="C55" s="15">
        <v>1</v>
      </c>
      <c r="D55" s="15">
        <v>0</v>
      </c>
      <c r="E55" s="15">
        <v>1</v>
      </c>
      <c r="F55" s="15">
        <v>8</v>
      </c>
      <c r="G55" s="17" t="b">
        <v>0</v>
      </c>
      <c r="H55" s="15">
        <v>1</v>
      </c>
      <c r="I55" s="15">
        <v>1</v>
      </c>
      <c r="J55" s="15">
        <v>0.14000000000000001</v>
      </c>
      <c r="K55" s="14">
        <v>0.1212</v>
      </c>
      <c r="L55" s="14">
        <v>0.5</v>
      </c>
      <c r="M55" s="14">
        <v>0.28360000000000002</v>
      </c>
      <c r="N55" s="14">
        <v>1</v>
      </c>
      <c r="O55" s="14">
        <v>153</v>
      </c>
      <c r="P55" s="14">
        <v>154</v>
      </c>
    </row>
    <row r="56" spans="1:16" x14ac:dyDescent="0.3">
      <c r="A56" s="15">
        <v>55</v>
      </c>
      <c r="B56" s="16">
        <v>40546</v>
      </c>
      <c r="C56" s="15">
        <v>1</v>
      </c>
      <c r="D56" s="15">
        <v>0</v>
      </c>
      <c r="E56" s="15">
        <v>1</v>
      </c>
      <c r="F56" s="15">
        <v>9</v>
      </c>
      <c r="G56" s="17" t="b">
        <v>0</v>
      </c>
      <c r="H56" s="15">
        <v>1</v>
      </c>
      <c r="I56" s="15">
        <v>1</v>
      </c>
      <c r="J56" s="15">
        <v>0.16</v>
      </c>
      <c r="K56" s="14">
        <v>0.13639999999999999</v>
      </c>
      <c r="L56" s="14">
        <v>0.43</v>
      </c>
      <c r="M56" s="14">
        <v>0.3881</v>
      </c>
      <c r="N56" s="14">
        <v>7</v>
      </c>
      <c r="O56" s="14">
        <v>81</v>
      </c>
      <c r="P56" s="14">
        <v>88</v>
      </c>
    </row>
    <row r="57" spans="1:16" x14ac:dyDescent="0.3">
      <c r="A57" s="15">
        <v>56</v>
      </c>
      <c r="B57" s="16">
        <v>40546</v>
      </c>
      <c r="C57" s="15">
        <v>1</v>
      </c>
      <c r="D57" s="15">
        <v>0</v>
      </c>
      <c r="E57" s="15">
        <v>1</v>
      </c>
      <c r="F57" s="15">
        <v>10</v>
      </c>
      <c r="G57" s="17" t="b">
        <v>0</v>
      </c>
      <c r="H57" s="15">
        <v>1</v>
      </c>
      <c r="I57" s="15">
        <v>1</v>
      </c>
      <c r="J57" s="15">
        <v>0.18</v>
      </c>
      <c r="K57" s="14">
        <v>0.16669999999999999</v>
      </c>
      <c r="L57" s="14">
        <v>0.43</v>
      </c>
      <c r="M57" s="14">
        <v>0.25369999999999998</v>
      </c>
      <c r="N57" s="14">
        <v>11</v>
      </c>
      <c r="O57" s="14">
        <v>33</v>
      </c>
      <c r="P57" s="14">
        <v>44</v>
      </c>
    </row>
    <row r="58" spans="1:16" x14ac:dyDescent="0.3">
      <c r="A58" s="15">
        <v>57</v>
      </c>
      <c r="B58" s="16">
        <v>40546</v>
      </c>
      <c r="C58" s="15">
        <v>1</v>
      </c>
      <c r="D58" s="15">
        <v>0</v>
      </c>
      <c r="E58" s="15">
        <v>1</v>
      </c>
      <c r="F58" s="15">
        <v>11</v>
      </c>
      <c r="G58" s="17" t="b">
        <v>0</v>
      </c>
      <c r="H58" s="15">
        <v>1</v>
      </c>
      <c r="I58" s="15">
        <v>1</v>
      </c>
      <c r="J58" s="15">
        <v>0.2</v>
      </c>
      <c r="K58" s="14">
        <v>0.18179999999999999</v>
      </c>
      <c r="L58" s="14">
        <v>0.4</v>
      </c>
      <c r="M58" s="14">
        <v>0.32840000000000003</v>
      </c>
      <c r="N58" s="14">
        <v>10</v>
      </c>
      <c r="O58" s="14">
        <v>41</v>
      </c>
      <c r="P58" s="14">
        <v>51</v>
      </c>
    </row>
    <row r="59" spans="1:16" x14ac:dyDescent="0.3">
      <c r="A59" s="15">
        <v>58</v>
      </c>
      <c r="B59" s="16">
        <v>40546</v>
      </c>
      <c r="C59" s="15">
        <v>1</v>
      </c>
      <c r="D59" s="15">
        <v>0</v>
      </c>
      <c r="E59" s="15">
        <v>1</v>
      </c>
      <c r="F59" s="15">
        <v>12</v>
      </c>
      <c r="G59" s="17" t="b">
        <v>0</v>
      </c>
      <c r="H59" s="15">
        <v>1</v>
      </c>
      <c r="I59" s="15">
        <v>1</v>
      </c>
      <c r="J59" s="15">
        <v>0.22</v>
      </c>
      <c r="K59" s="14">
        <v>0.21210000000000001</v>
      </c>
      <c r="L59" s="14">
        <v>0.35</v>
      </c>
      <c r="M59" s="14">
        <v>0.29849999999999999</v>
      </c>
      <c r="N59" s="14">
        <v>13</v>
      </c>
      <c r="O59" s="14">
        <v>48</v>
      </c>
      <c r="P59" s="14">
        <v>61</v>
      </c>
    </row>
    <row r="60" spans="1:16" x14ac:dyDescent="0.3">
      <c r="A60" s="15">
        <v>59</v>
      </c>
      <c r="B60" s="16">
        <v>40546</v>
      </c>
      <c r="C60" s="15">
        <v>1</v>
      </c>
      <c r="D60" s="15">
        <v>0</v>
      </c>
      <c r="E60" s="15">
        <v>1</v>
      </c>
      <c r="F60" s="15">
        <v>13</v>
      </c>
      <c r="G60" s="17" t="b">
        <v>0</v>
      </c>
      <c r="H60" s="15">
        <v>1</v>
      </c>
      <c r="I60" s="15">
        <v>1</v>
      </c>
      <c r="J60" s="15">
        <v>0.24</v>
      </c>
      <c r="K60" s="14"/>
      <c r="L60" s="14">
        <v>0.35</v>
      </c>
      <c r="M60" s="14">
        <v>0.28360000000000002</v>
      </c>
      <c r="N60" s="14">
        <v>8</v>
      </c>
      <c r="O60" s="14">
        <v>53</v>
      </c>
      <c r="P60" s="14">
        <v>61</v>
      </c>
    </row>
    <row r="61" spans="1:16" x14ac:dyDescent="0.3">
      <c r="A61" s="15">
        <v>60</v>
      </c>
      <c r="B61" s="16">
        <v>40546</v>
      </c>
      <c r="C61" s="15">
        <v>1</v>
      </c>
      <c r="D61" s="15">
        <v>0</v>
      </c>
      <c r="E61" s="15">
        <v>1</v>
      </c>
      <c r="F61" s="15">
        <v>14</v>
      </c>
      <c r="G61" s="17" t="b">
        <v>0</v>
      </c>
      <c r="H61" s="15">
        <v>1</v>
      </c>
      <c r="I61" s="15">
        <v>1</v>
      </c>
      <c r="J61" s="15">
        <v>0.26</v>
      </c>
      <c r="K61" s="14">
        <v>0.2424</v>
      </c>
      <c r="L61" s="14">
        <v>0.3</v>
      </c>
      <c r="M61" s="14">
        <v>0.28360000000000002</v>
      </c>
      <c r="N61" s="14">
        <v>11</v>
      </c>
      <c r="O61" s="14">
        <v>66</v>
      </c>
      <c r="P61" s="14">
        <v>77</v>
      </c>
    </row>
    <row r="62" spans="1:16" x14ac:dyDescent="0.3">
      <c r="A62" s="15">
        <v>61</v>
      </c>
      <c r="B62" s="16">
        <v>40546</v>
      </c>
      <c r="C62" s="15">
        <v>1</v>
      </c>
      <c r="D62" s="15">
        <v>0</v>
      </c>
      <c r="E62" s="15">
        <v>1</v>
      </c>
      <c r="F62" s="15">
        <v>15</v>
      </c>
      <c r="G62" s="17" t="b">
        <v>0</v>
      </c>
      <c r="H62" s="15">
        <v>1</v>
      </c>
      <c r="I62" s="15">
        <v>1</v>
      </c>
      <c r="J62" s="15">
        <v>0.26</v>
      </c>
      <c r="K62" s="14">
        <v>0.2424</v>
      </c>
      <c r="L62" s="14">
        <v>0.3</v>
      </c>
      <c r="M62" s="14">
        <v>0.25369999999999998</v>
      </c>
      <c r="N62" s="14">
        <v>14</v>
      </c>
      <c r="O62" s="14">
        <v>58</v>
      </c>
      <c r="P62" s="14">
        <v>72</v>
      </c>
    </row>
    <row r="63" spans="1:16" x14ac:dyDescent="0.3">
      <c r="A63" s="15">
        <v>62</v>
      </c>
      <c r="B63" s="16">
        <v>40546</v>
      </c>
      <c r="C63" s="15">
        <v>1</v>
      </c>
      <c r="D63" s="15">
        <v>0</v>
      </c>
      <c r="E63" s="15">
        <v>1</v>
      </c>
      <c r="F63" s="15">
        <v>16</v>
      </c>
      <c r="G63" s="17" t="b">
        <v>0</v>
      </c>
      <c r="H63" s="15">
        <v>1</v>
      </c>
      <c r="I63" s="15">
        <v>1</v>
      </c>
      <c r="J63" s="15">
        <v>0.26</v>
      </c>
      <c r="K63" s="14">
        <v>0.2424</v>
      </c>
      <c r="L63" s="14">
        <v>0.3</v>
      </c>
      <c r="M63" s="14">
        <v>0.25369999999999998</v>
      </c>
      <c r="N63" s="14">
        <v>9</v>
      </c>
      <c r="O63" s="14">
        <v>67</v>
      </c>
      <c r="P63" s="14">
        <v>76</v>
      </c>
    </row>
    <row r="64" spans="1:16" x14ac:dyDescent="0.3">
      <c r="A64" s="15">
        <v>63</v>
      </c>
      <c r="B64" s="16">
        <v>40546</v>
      </c>
      <c r="C64" s="15">
        <v>1</v>
      </c>
      <c r="D64" s="15">
        <v>0</v>
      </c>
      <c r="E64" s="15">
        <v>1</v>
      </c>
      <c r="F64" s="15">
        <v>17</v>
      </c>
      <c r="G64" s="17" t="b">
        <v>0</v>
      </c>
      <c r="H64" s="15">
        <v>1</v>
      </c>
      <c r="I64" s="15">
        <v>1</v>
      </c>
      <c r="J64" s="15">
        <v>0.24</v>
      </c>
      <c r="K64" s="14">
        <v>0.2273</v>
      </c>
      <c r="L64" s="14">
        <v>0.3</v>
      </c>
      <c r="M64" s="14">
        <v>0.22389999999999999</v>
      </c>
      <c r="N64" s="14">
        <v>11</v>
      </c>
      <c r="O64" s="14">
        <v>146</v>
      </c>
      <c r="P64" s="14">
        <v>157</v>
      </c>
    </row>
    <row r="65" spans="1:16" x14ac:dyDescent="0.3">
      <c r="A65" s="15">
        <v>64</v>
      </c>
      <c r="B65" s="16">
        <v>40546</v>
      </c>
      <c r="C65" s="15">
        <v>1</v>
      </c>
      <c r="D65" s="15">
        <v>0</v>
      </c>
      <c r="E65" s="15">
        <v>1</v>
      </c>
      <c r="F65" s="15">
        <v>18</v>
      </c>
      <c r="G65" s="17" t="b">
        <v>0</v>
      </c>
      <c r="H65" s="15">
        <v>1</v>
      </c>
      <c r="I65" s="15">
        <v>1</v>
      </c>
      <c r="J65" s="15">
        <v>0.24</v>
      </c>
      <c r="K65" s="14">
        <v>0.2576</v>
      </c>
      <c r="L65" s="14">
        <v>0.32</v>
      </c>
      <c r="M65" s="14">
        <v>0.1045</v>
      </c>
      <c r="N65" s="14">
        <v>9</v>
      </c>
      <c r="O65" s="14">
        <v>148</v>
      </c>
      <c r="P65" s="14">
        <v>157</v>
      </c>
    </row>
    <row r="66" spans="1:16" x14ac:dyDescent="0.3">
      <c r="A66" s="15">
        <v>65</v>
      </c>
      <c r="B66" s="16">
        <v>40546</v>
      </c>
      <c r="C66" s="15">
        <v>1</v>
      </c>
      <c r="D66" s="15">
        <v>0</v>
      </c>
      <c r="E66" s="15">
        <v>1</v>
      </c>
      <c r="F66" s="15">
        <v>19</v>
      </c>
      <c r="G66" s="17" t="b">
        <v>0</v>
      </c>
      <c r="H66" s="15">
        <v>1</v>
      </c>
      <c r="I66" s="15">
        <v>1</v>
      </c>
      <c r="J66" s="15">
        <v>0.2</v>
      </c>
      <c r="K66" s="14">
        <v>0.2576</v>
      </c>
      <c r="L66" s="14">
        <v>0.47</v>
      </c>
      <c r="M66" s="14">
        <v>0</v>
      </c>
      <c r="N66" s="14">
        <v>8</v>
      </c>
      <c r="O66" s="14">
        <v>102</v>
      </c>
      <c r="P66" s="14">
        <v>110</v>
      </c>
    </row>
    <row r="67" spans="1:16" x14ac:dyDescent="0.3">
      <c r="A67" s="15">
        <v>66</v>
      </c>
      <c r="B67" s="16">
        <v>40546</v>
      </c>
      <c r="C67" s="15">
        <v>1</v>
      </c>
      <c r="D67" s="15">
        <v>0</v>
      </c>
      <c r="E67" s="15">
        <v>1</v>
      </c>
      <c r="F67" s="15">
        <v>20</v>
      </c>
      <c r="G67" s="17" t="b">
        <v>0</v>
      </c>
      <c r="H67" s="15">
        <v>1</v>
      </c>
      <c r="I67" s="15">
        <v>1</v>
      </c>
      <c r="J67" s="15">
        <v>0.2</v>
      </c>
      <c r="K67" s="14"/>
      <c r="L67" s="14">
        <v>0.47</v>
      </c>
      <c r="M67" s="14">
        <v>0.1045</v>
      </c>
      <c r="N67" s="14">
        <v>3</v>
      </c>
      <c r="O67" s="14">
        <v>49</v>
      </c>
      <c r="P67" s="14">
        <v>52</v>
      </c>
    </row>
    <row r="68" spans="1:16" x14ac:dyDescent="0.3">
      <c r="A68" s="15">
        <v>67</v>
      </c>
      <c r="B68" s="16">
        <v>40546</v>
      </c>
      <c r="C68" s="15">
        <v>1</v>
      </c>
      <c r="D68" s="15">
        <v>0</v>
      </c>
      <c r="E68" s="15">
        <v>1</v>
      </c>
      <c r="F68" s="15">
        <v>21</v>
      </c>
      <c r="G68" s="17" t="b">
        <v>0</v>
      </c>
      <c r="H68" s="15">
        <v>1</v>
      </c>
      <c r="I68" s="15">
        <v>1</v>
      </c>
      <c r="J68" s="15">
        <v>0.18</v>
      </c>
      <c r="K68" s="14">
        <v>0.19700000000000001</v>
      </c>
      <c r="L68" s="14">
        <v>0.64</v>
      </c>
      <c r="M68" s="14">
        <v>0.1343</v>
      </c>
      <c r="N68" s="14">
        <v>3</v>
      </c>
      <c r="O68" s="14">
        <v>49</v>
      </c>
      <c r="P68" s="14">
        <v>52</v>
      </c>
    </row>
    <row r="69" spans="1:16" x14ac:dyDescent="0.3">
      <c r="A69" s="15">
        <v>68</v>
      </c>
      <c r="B69" s="16">
        <v>40546</v>
      </c>
      <c r="C69" s="15">
        <v>1</v>
      </c>
      <c r="D69" s="15">
        <v>0</v>
      </c>
      <c r="E69" s="15">
        <v>1</v>
      </c>
      <c r="F69" s="15">
        <v>22</v>
      </c>
      <c r="G69" s="17" t="b">
        <v>0</v>
      </c>
      <c r="H69" s="15">
        <v>1</v>
      </c>
      <c r="I69" s="15">
        <v>1</v>
      </c>
      <c r="J69" s="15">
        <v>0.14000000000000001</v>
      </c>
      <c r="K69" s="14">
        <v>0.1515</v>
      </c>
      <c r="L69" s="14">
        <v>0.69</v>
      </c>
      <c r="M69" s="14">
        <v>0.1343</v>
      </c>
      <c r="N69" s="14">
        <v>0</v>
      </c>
      <c r="O69" s="14">
        <v>20</v>
      </c>
      <c r="P69" s="14">
        <v>20</v>
      </c>
    </row>
    <row r="70" spans="1:16" x14ac:dyDescent="0.3">
      <c r="A70" s="15">
        <v>69</v>
      </c>
      <c r="B70" s="16">
        <v>40546</v>
      </c>
      <c r="C70" s="15">
        <v>1</v>
      </c>
      <c r="D70" s="15">
        <v>0</v>
      </c>
      <c r="E70" s="15">
        <v>1</v>
      </c>
      <c r="F70" s="15">
        <v>23</v>
      </c>
      <c r="G70" s="17" t="b">
        <v>0</v>
      </c>
      <c r="H70" s="15">
        <v>1</v>
      </c>
      <c r="I70" s="15">
        <v>1</v>
      </c>
      <c r="J70" s="15">
        <v>0.18</v>
      </c>
      <c r="K70" s="14">
        <v>0.21210000000000001</v>
      </c>
      <c r="L70" s="14">
        <v>0.55000000000000004</v>
      </c>
      <c r="M70" s="14">
        <v>0.1045</v>
      </c>
      <c r="N70" s="14">
        <v>1</v>
      </c>
      <c r="O70" s="14">
        <v>11</v>
      </c>
      <c r="P70" s="14">
        <v>12</v>
      </c>
    </row>
    <row r="71" spans="1:16" x14ac:dyDescent="0.3">
      <c r="A71" s="15">
        <v>70</v>
      </c>
      <c r="B71" s="16">
        <v>40547</v>
      </c>
      <c r="C71" s="15">
        <v>1</v>
      </c>
      <c r="D71" s="15">
        <v>0</v>
      </c>
      <c r="E71" s="15">
        <v>1</v>
      </c>
      <c r="F71" s="15">
        <v>0</v>
      </c>
      <c r="G71" s="17" t="b">
        <v>0</v>
      </c>
      <c r="H71" s="15">
        <v>2</v>
      </c>
      <c r="I71" s="15">
        <v>1</v>
      </c>
      <c r="J71" s="15">
        <v>0.16</v>
      </c>
      <c r="K71" s="14"/>
      <c r="L71" s="14">
        <v>0.55000000000000004</v>
      </c>
      <c r="M71" s="14">
        <v>0.1045</v>
      </c>
      <c r="N71" s="14">
        <v>0</v>
      </c>
      <c r="O71" s="14">
        <v>5</v>
      </c>
      <c r="P71" s="14">
        <v>5</v>
      </c>
    </row>
    <row r="72" spans="1:16" x14ac:dyDescent="0.3">
      <c r="A72" s="15">
        <v>71</v>
      </c>
      <c r="B72" s="16">
        <v>40547</v>
      </c>
      <c r="C72" s="15">
        <v>1</v>
      </c>
      <c r="D72" s="15">
        <v>0</v>
      </c>
      <c r="E72" s="15">
        <v>1</v>
      </c>
      <c r="F72" s="15">
        <v>1</v>
      </c>
      <c r="G72" s="17" t="b">
        <v>0</v>
      </c>
      <c r="H72" s="15">
        <v>2</v>
      </c>
      <c r="I72" s="15">
        <v>1</v>
      </c>
      <c r="J72" s="15">
        <v>0.16</v>
      </c>
      <c r="K72" s="14">
        <v>0.18179999999999999</v>
      </c>
      <c r="L72" s="14">
        <v>0.59</v>
      </c>
      <c r="M72" s="14">
        <v>0.1045</v>
      </c>
      <c r="N72" s="14">
        <v>0</v>
      </c>
      <c r="O72" s="14">
        <v>2</v>
      </c>
      <c r="P72" s="14">
        <v>2</v>
      </c>
    </row>
    <row r="73" spans="1:16" x14ac:dyDescent="0.3">
      <c r="A73" s="15">
        <v>72</v>
      </c>
      <c r="B73" s="16">
        <v>40547</v>
      </c>
      <c r="C73" s="15">
        <v>1</v>
      </c>
      <c r="D73" s="15">
        <v>0</v>
      </c>
      <c r="E73" s="15">
        <v>1</v>
      </c>
      <c r="F73" s="15">
        <v>2</v>
      </c>
      <c r="G73" s="17" t="b">
        <v>0</v>
      </c>
      <c r="H73" s="15">
        <v>2</v>
      </c>
      <c r="I73" s="15">
        <v>1</v>
      </c>
      <c r="J73" s="15">
        <v>0.14000000000000001</v>
      </c>
      <c r="K73" s="14">
        <v>0.1515</v>
      </c>
      <c r="L73" s="14">
        <v>0.63</v>
      </c>
      <c r="M73" s="14">
        <v>0.1343</v>
      </c>
      <c r="N73" s="14">
        <v>0</v>
      </c>
      <c r="O73" s="14">
        <v>1</v>
      </c>
      <c r="P73" s="14">
        <v>1</v>
      </c>
    </row>
    <row r="74" spans="1:16" x14ac:dyDescent="0.3">
      <c r="A74" s="15">
        <v>73</v>
      </c>
      <c r="B74" s="16">
        <v>40547</v>
      </c>
      <c r="C74" s="15">
        <v>1</v>
      </c>
      <c r="D74" s="15">
        <v>0</v>
      </c>
      <c r="E74" s="15">
        <v>1</v>
      </c>
      <c r="F74" s="15">
        <v>4</v>
      </c>
      <c r="G74" s="17" t="b">
        <v>0</v>
      </c>
      <c r="H74" s="15">
        <v>2</v>
      </c>
      <c r="I74" s="15">
        <v>1</v>
      </c>
      <c r="J74" s="15">
        <v>0.14000000000000001</v>
      </c>
      <c r="K74" s="14">
        <v>0.18179999999999999</v>
      </c>
      <c r="L74" s="14">
        <v>0.63</v>
      </c>
      <c r="M74" s="14">
        <v>8.9599999999999999E-2</v>
      </c>
      <c r="N74" s="14">
        <v>0</v>
      </c>
      <c r="O74" s="14">
        <v>2</v>
      </c>
      <c r="P74" s="14">
        <v>2</v>
      </c>
    </row>
    <row r="75" spans="1:16" x14ac:dyDescent="0.3">
      <c r="A75" s="15">
        <v>74</v>
      </c>
      <c r="B75" s="16">
        <v>40547</v>
      </c>
      <c r="C75" s="15">
        <v>1</v>
      </c>
      <c r="D75" s="15">
        <v>0</v>
      </c>
      <c r="E75" s="15">
        <v>1</v>
      </c>
      <c r="F75" s="15">
        <v>5</v>
      </c>
      <c r="G75" s="17" t="b">
        <v>0</v>
      </c>
      <c r="H75" s="15">
        <v>2</v>
      </c>
      <c r="I75" s="15">
        <v>1</v>
      </c>
      <c r="J75" s="15">
        <v>0.12</v>
      </c>
      <c r="K75" s="14">
        <v>0.1515</v>
      </c>
      <c r="L75" s="14">
        <v>0.68</v>
      </c>
      <c r="M75" s="14">
        <v>0.1045</v>
      </c>
      <c r="N75" s="14">
        <v>0</v>
      </c>
      <c r="O75" s="14">
        <v>4</v>
      </c>
      <c r="P75" s="14">
        <v>4</v>
      </c>
    </row>
    <row r="76" spans="1:16" x14ac:dyDescent="0.3">
      <c r="A76" s="15">
        <v>75</v>
      </c>
      <c r="B76" s="16">
        <v>40547</v>
      </c>
      <c r="C76" s="15">
        <v>1</v>
      </c>
      <c r="D76" s="15">
        <v>0</v>
      </c>
      <c r="E76" s="15">
        <v>1</v>
      </c>
      <c r="F76" s="15">
        <v>6</v>
      </c>
      <c r="G76" s="17" t="b">
        <v>0</v>
      </c>
      <c r="H76" s="15">
        <v>2</v>
      </c>
      <c r="I76" s="15">
        <v>1</v>
      </c>
      <c r="J76" s="15">
        <v>0.12</v>
      </c>
      <c r="K76" s="14">
        <v>0.1515</v>
      </c>
      <c r="L76" s="14">
        <v>0.74</v>
      </c>
      <c r="M76" s="14">
        <v>0.1045</v>
      </c>
      <c r="N76" s="14">
        <v>0</v>
      </c>
      <c r="O76" s="14">
        <v>36</v>
      </c>
      <c r="P76" s="14">
        <v>36</v>
      </c>
    </row>
    <row r="77" spans="1:16" x14ac:dyDescent="0.3">
      <c r="A77" s="15">
        <v>76</v>
      </c>
      <c r="B77" s="16">
        <v>40547</v>
      </c>
      <c r="C77" s="15">
        <v>1</v>
      </c>
      <c r="D77" s="15">
        <v>0</v>
      </c>
      <c r="E77" s="15">
        <v>1</v>
      </c>
      <c r="F77" s="15">
        <v>7</v>
      </c>
      <c r="G77" s="17" t="b">
        <v>0</v>
      </c>
      <c r="H77" s="15">
        <v>2</v>
      </c>
      <c r="I77" s="15">
        <v>1</v>
      </c>
      <c r="J77" s="15">
        <v>0.12</v>
      </c>
      <c r="K77" s="14">
        <v>0.1515</v>
      </c>
      <c r="L77" s="14">
        <v>0.74</v>
      </c>
      <c r="M77" s="14">
        <v>0.1343</v>
      </c>
      <c r="N77" s="14">
        <v>2</v>
      </c>
      <c r="O77" s="14">
        <v>92</v>
      </c>
      <c r="P77" s="14">
        <v>94</v>
      </c>
    </row>
    <row r="78" spans="1:16" x14ac:dyDescent="0.3">
      <c r="A78" s="15">
        <v>77</v>
      </c>
      <c r="B78" s="16">
        <v>40547</v>
      </c>
      <c r="C78" s="15">
        <v>1</v>
      </c>
      <c r="D78" s="15">
        <v>0</v>
      </c>
      <c r="E78" s="15">
        <v>1</v>
      </c>
      <c r="F78" s="15">
        <v>8</v>
      </c>
      <c r="G78" s="17" t="b">
        <v>0</v>
      </c>
      <c r="H78" s="15">
        <v>2</v>
      </c>
      <c r="I78" s="15">
        <v>1</v>
      </c>
      <c r="J78" s="15">
        <v>0.14000000000000001</v>
      </c>
      <c r="K78" s="14">
        <v>0.1515</v>
      </c>
      <c r="L78" s="14">
        <v>0.69</v>
      </c>
      <c r="M78" s="14">
        <v>0.16420000000000001</v>
      </c>
      <c r="N78" s="14">
        <v>2</v>
      </c>
      <c r="O78" s="14">
        <v>177</v>
      </c>
      <c r="P78" s="14">
        <v>179</v>
      </c>
    </row>
    <row r="79" spans="1:16" x14ac:dyDescent="0.3">
      <c r="A79" s="15">
        <v>78</v>
      </c>
      <c r="B79" s="16">
        <v>40547</v>
      </c>
      <c r="C79" s="15">
        <v>1</v>
      </c>
      <c r="D79" s="15">
        <v>0</v>
      </c>
      <c r="E79" s="15">
        <v>1</v>
      </c>
      <c r="F79" s="15">
        <v>9</v>
      </c>
      <c r="G79" s="17" t="b">
        <v>0</v>
      </c>
      <c r="H79" s="15">
        <v>2</v>
      </c>
      <c r="I79" s="15">
        <v>1</v>
      </c>
      <c r="J79" s="15">
        <v>0.16</v>
      </c>
      <c r="K79" s="14">
        <v>0.1515</v>
      </c>
      <c r="L79" s="14">
        <v>0.64</v>
      </c>
      <c r="M79" s="14">
        <v>0.22389999999999999</v>
      </c>
      <c r="N79" s="14">
        <v>2</v>
      </c>
      <c r="O79" s="14">
        <v>98</v>
      </c>
      <c r="P79" s="14">
        <v>100</v>
      </c>
    </row>
    <row r="80" spans="1:16" x14ac:dyDescent="0.3">
      <c r="A80" s="15">
        <v>79</v>
      </c>
      <c r="B80" s="16">
        <v>40547</v>
      </c>
      <c r="C80" s="15">
        <v>1</v>
      </c>
      <c r="D80" s="15">
        <v>0</v>
      </c>
      <c r="E80" s="15">
        <v>1</v>
      </c>
      <c r="F80" s="15">
        <v>10</v>
      </c>
      <c r="G80" s="17" t="b">
        <v>0</v>
      </c>
      <c r="H80" s="15">
        <v>2</v>
      </c>
      <c r="I80" s="15">
        <v>2</v>
      </c>
      <c r="J80" s="15">
        <v>0.16</v>
      </c>
      <c r="K80" s="14">
        <v>0.13639999999999999</v>
      </c>
      <c r="L80" s="14">
        <v>0.69</v>
      </c>
      <c r="M80" s="14">
        <v>0.32840000000000003</v>
      </c>
      <c r="N80" s="14">
        <v>5</v>
      </c>
      <c r="O80" s="14">
        <v>37</v>
      </c>
      <c r="P80" s="14">
        <v>42</v>
      </c>
    </row>
    <row r="81" spans="1:16" x14ac:dyDescent="0.3">
      <c r="A81" s="15">
        <v>80</v>
      </c>
      <c r="B81" s="16">
        <v>40547</v>
      </c>
      <c r="C81" s="15">
        <v>1</v>
      </c>
      <c r="D81" s="15">
        <v>0</v>
      </c>
      <c r="E81" s="15">
        <v>1</v>
      </c>
      <c r="F81" s="15">
        <v>11</v>
      </c>
      <c r="G81" s="17" t="b">
        <v>0</v>
      </c>
      <c r="H81" s="15">
        <v>2</v>
      </c>
      <c r="I81" s="15">
        <v>1</v>
      </c>
      <c r="J81" s="15">
        <v>0.22</v>
      </c>
      <c r="K81" s="14">
        <v>0.21210000000000001</v>
      </c>
      <c r="L81" s="14">
        <v>0.51</v>
      </c>
      <c r="M81" s="14">
        <v>0.29849999999999999</v>
      </c>
      <c r="N81" s="14">
        <v>7</v>
      </c>
      <c r="O81" s="14">
        <v>50</v>
      </c>
      <c r="P81" s="14">
        <v>57</v>
      </c>
    </row>
    <row r="82" spans="1:16" x14ac:dyDescent="0.3">
      <c r="A82" s="15">
        <v>81</v>
      </c>
      <c r="B82" s="16">
        <v>40547</v>
      </c>
      <c r="C82" s="15">
        <v>1</v>
      </c>
      <c r="D82" s="15">
        <v>0</v>
      </c>
      <c r="E82" s="15">
        <v>1</v>
      </c>
      <c r="F82" s="15">
        <v>12</v>
      </c>
      <c r="G82" s="17" t="b">
        <v>0</v>
      </c>
      <c r="H82" s="15">
        <v>2</v>
      </c>
      <c r="I82" s="15">
        <v>1</v>
      </c>
      <c r="J82" s="15">
        <v>0.22</v>
      </c>
      <c r="K82" s="14">
        <v>0.2273</v>
      </c>
      <c r="L82" s="14">
        <v>0.51</v>
      </c>
      <c r="M82" s="14">
        <v>0.16420000000000001</v>
      </c>
      <c r="N82" s="14">
        <v>12</v>
      </c>
      <c r="O82" s="14">
        <v>66</v>
      </c>
      <c r="P82" s="14">
        <v>78</v>
      </c>
    </row>
    <row r="83" spans="1:16" x14ac:dyDescent="0.3">
      <c r="A83" s="15">
        <v>82</v>
      </c>
      <c r="B83" s="16">
        <v>40547</v>
      </c>
      <c r="C83" s="15">
        <v>1</v>
      </c>
      <c r="D83" s="15">
        <v>0</v>
      </c>
      <c r="E83" s="15">
        <v>1</v>
      </c>
      <c r="F83" s="15">
        <v>13</v>
      </c>
      <c r="G83" s="17" t="b">
        <v>0</v>
      </c>
      <c r="H83" s="15">
        <v>2</v>
      </c>
      <c r="I83" s="15">
        <v>1</v>
      </c>
      <c r="J83" s="15">
        <v>0.24</v>
      </c>
      <c r="K83" s="14">
        <v>0.2273</v>
      </c>
      <c r="L83" s="14">
        <v>0.56000000000000005</v>
      </c>
      <c r="M83" s="14">
        <v>0.19400000000000001</v>
      </c>
      <c r="N83" s="14">
        <v>18</v>
      </c>
      <c r="O83" s="14">
        <v>79</v>
      </c>
      <c r="P83" s="14">
        <v>97</v>
      </c>
    </row>
    <row r="84" spans="1:16" x14ac:dyDescent="0.3">
      <c r="A84" s="15">
        <v>83</v>
      </c>
      <c r="B84" s="16">
        <v>40547</v>
      </c>
      <c r="C84" s="15">
        <v>1</v>
      </c>
      <c r="D84" s="15">
        <v>0</v>
      </c>
      <c r="E84" s="15">
        <v>1</v>
      </c>
      <c r="F84" s="15">
        <v>14</v>
      </c>
      <c r="G84" s="17" t="b">
        <v>0</v>
      </c>
      <c r="H84" s="15">
        <v>2</v>
      </c>
      <c r="I84" s="15">
        <v>1</v>
      </c>
      <c r="J84" s="15">
        <v>0.26</v>
      </c>
      <c r="K84" s="14">
        <v>0.2576</v>
      </c>
      <c r="L84" s="14">
        <v>0.52</v>
      </c>
      <c r="M84" s="14">
        <v>0.22389999999999999</v>
      </c>
      <c r="N84" s="14">
        <v>9</v>
      </c>
      <c r="O84" s="14">
        <v>54</v>
      </c>
      <c r="P84" s="14">
        <v>63</v>
      </c>
    </row>
    <row r="85" spans="1:16" x14ac:dyDescent="0.3">
      <c r="A85" s="15">
        <v>84</v>
      </c>
      <c r="B85" s="16">
        <v>40547</v>
      </c>
      <c r="C85" s="15">
        <v>1</v>
      </c>
      <c r="D85" s="15">
        <v>0</v>
      </c>
      <c r="E85" s="15">
        <v>1</v>
      </c>
      <c r="F85" s="15">
        <v>15</v>
      </c>
      <c r="G85" s="17" t="b">
        <v>0</v>
      </c>
      <c r="H85" s="15">
        <v>2</v>
      </c>
      <c r="I85" s="15">
        <v>1</v>
      </c>
      <c r="J85" s="15">
        <v>0.28000000000000003</v>
      </c>
      <c r="K85" s="14">
        <v>0.2727</v>
      </c>
      <c r="L85" s="14">
        <v>0.52</v>
      </c>
      <c r="M85" s="14">
        <v>0.25369999999999998</v>
      </c>
      <c r="N85" s="14">
        <v>17</v>
      </c>
      <c r="O85" s="14">
        <v>48</v>
      </c>
      <c r="P85" s="14">
        <v>65</v>
      </c>
    </row>
    <row r="86" spans="1:16" x14ac:dyDescent="0.3">
      <c r="A86" s="15">
        <v>85</v>
      </c>
      <c r="B86" s="16">
        <v>40547</v>
      </c>
      <c r="C86" s="15">
        <v>1</v>
      </c>
      <c r="D86" s="15">
        <v>0</v>
      </c>
      <c r="E86" s="15">
        <v>1</v>
      </c>
      <c r="F86" s="15">
        <v>16</v>
      </c>
      <c r="G86" s="17" t="b">
        <v>0</v>
      </c>
      <c r="H86" s="15">
        <v>2</v>
      </c>
      <c r="I86" s="15">
        <v>1</v>
      </c>
      <c r="J86" s="15">
        <v>0.3</v>
      </c>
      <c r="K86" s="14">
        <v>0.28789999999999999</v>
      </c>
      <c r="L86" s="14">
        <v>0.49</v>
      </c>
      <c r="M86" s="14">
        <v>0.25369999999999998</v>
      </c>
      <c r="N86" s="14">
        <v>15</v>
      </c>
      <c r="O86" s="14">
        <v>68</v>
      </c>
      <c r="P86" s="14">
        <v>83</v>
      </c>
    </row>
    <row r="87" spans="1:16" x14ac:dyDescent="0.3">
      <c r="A87" s="15">
        <v>86</v>
      </c>
      <c r="B87" s="16">
        <v>40547</v>
      </c>
      <c r="C87" s="15">
        <v>1</v>
      </c>
      <c r="D87" s="15">
        <v>0</v>
      </c>
      <c r="E87" s="15">
        <v>1</v>
      </c>
      <c r="F87" s="15">
        <v>17</v>
      </c>
      <c r="G87" s="17" t="b">
        <v>0</v>
      </c>
      <c r="H87" s="15">
        <v>2</v>
      </c>
      <c r="I87" s="15">
        <v>1</v>
      </c>
      <c r="J87" s="15">
        <v>0.28000000000000003</v>
      </c>
      <c r="K87" s="14">
        <v>0.2727</v>
      </c>
      <c r="L87" s="14">
        <v>0.48</v>
      </c>
      <c r="M87" s="14">
        <v>0.22389999999999999</v>
      </c>
      <c r="N87" s="14">
        <v>10</v>
      </c>
      <c r="O87" s="14">
        <v>202</v>
      </c>
      <c r="P87" s="14">
        <v>212</v>
      </c>
    </row>
    <row r="88" spans="1:16" x14ac:dyDescent="0.3">
      <c r="A88" s="15">
        <v>87</v>
      </c>
      <c r="B88" s="16">
        <v>40547</v>
      </c>
      <c r="C88" s="15">
        <v>1</v>
      </c>
      <c r="D88" s="15">
        <v>0</v>
      </c>
      <c r="E88" s="15">
        <v>1</v>
      </c>
      <c r="F88" s="15">
        <v>18</v>
      </c>
      <c r="G88" s="17" t="b">
        <v>0</v>
      </c>
      <c r="H88" s="15">
        <v>2</v>
      </c>
      <c r="I88" s="15">
        <v>1</v>
      </c>
      <c r="J88" s="15">
        <v>0.26</v>
      </c>
      <c r="K88" s="14">
        <v>0.2576</v>
      </c>
      <c r="L88" s="14">
        <v>0.48</v>
      </c>
      <c r="M88" s="14">
        <v>0.19400000000000001</v>
      </c>
      <c r="N88" s="14">
        <v>3</v>
      </c>
      <c r="O88" s="14">
        <v>179</v>
      </c>
      <c r="P88" s="14">
        <v>182</v>
      </c>
    </row>
    <row r="89" spans="1:16" x14ac:dyDescent="0.3">
      <c r="A89" s="15">
        <v>88</v>
      </c>
      <c r="B89" s="16">
        <v>40547</v>
      </c>
      <c r="C89" s="15">
        <v>1</v>
      </c>
      <c r="D89" s="15">
        <v>0</v>
      </c>
      <c r="E89" s="15">
        <v>1</v>
      </c>
      <c r="F89" s="15">
        <v>19</v>
      </c>
      <c r="G89" s="17" t="b">
        <v>0</v>
      </c>
      <c r="H89" s="15">
        <v>2</v>
      </c>
      <c r="I89" s="15">
        <v>1</v>
      </c>
      <c r="J89" s="15">
        <v>0.24</v>
      </c>
      <c r="K89" s="14">
        <v>0.2576</v>
      </c>
      <c r="L89" s="14">
        <v>0.48</v>
      </c>
      <c r="M89" s="14">
        <v>0.1045</v>
      </c>
      <c r="N89" s="14">
        <v>2</v>
      </c>
      <c r="O89" s="14">
        <v>110</v>
      </c>
      <c r="P89" s="14">
        <v>112</v>
      </c>
    </row>
    <row r="90" spans="1:16" x14ac:dyDescent="0.3">
      <c r="A90" s="15">
        <v>89</v>
      </c>
      <c r="B90" s="16">
        <v>40547</v>
      </c>
      <c r="C90" s="15">
        <v>1</v>
      </c>
      <c r="D90" s="15">
        <v>0</v>
      </c>
      <c r="E90" s="15">
        <v>1</v>
      </c>
      <c r="F90" s="15">
        <v>20</v>
      </c>
      <c r="G90" s="17" t="b">
        <v>0</v>
      </c>
      <c r="H90" s="15">
        <v>2</v>
      </c>
      <c r="I90" s="15">
        <v>1</v>
      </c>
      <c r="J90" s="15">
        <v>0.24</v>
      </c>
      <c r="K90" s="14">
        <v>0.2576</v>
      </c>
      <c r="L90" s="14">
        <v>0.48</v>
      </c>
      <c r="M90" s="14">
        <v>0.1045</v>
      </c>
      <c r="N90" s="14">
        <v>1</v>
      </c>
      <c r="O90" s="14">
        <v>53</v>
      </c>
      <c r="P90" s="14">
        <v>54</v>
      </c>
    </row>
    <row r="91" spans="1:16" x14ac:dyDescent="0.3">
      <c r="A91" s="15">
        <v>90</v>
      </c>
      <c r="B91" s="16">
        <v>40547</v>
      </c>
      <c r="C91" s="15">
        <v>1</v>
      </c>
      <c r="D91" s="15">
        <v>0</v>
      </c>
      <c r="E91" s="15">
        <v>1</v>
      </c>
      <c r="F91" s="15">
        <v>21</v>
      </c>
      <c r="G91" s="17" t="b">
        <v>0</v>
      </c>
      <c r="H91" s="15">
        <v>2</v>
      </c>
      <c r="I91" s="15">
        <v>1</v>
      </c>
      <c r="J91" s="15">
        <v>0.22</v>
      </c>
      <c r="K91" s="14">
        <v>0.2727</v>
      </c>
      <c r="L91" s="14">
        <v>0.64</v>
      </c>
      <c r="M91" s="14">
        <v>0</v>
      </c>
      <c r="N91" s="14">
        <v>0</v>
      </c>
      <c r="O91" s="14">
        <v>48</v>
      </c>
      <c r="P91" s="14">
        <v>48</v>
      </c>
    </row>
    <row r="92" spans="1:16" x14ac:dyDescent="0.3">
      <c r="A92" s="15">
        <v>91</v>
      </c>
      <c r="B92" s="16">
        <v>40547</v>
      </c>
      <c r="C92" s="15">
        <v>1</v>
      </c>
      <c r="D92" s="15">
        <v>0</v>
      </c>
      <c r="E92" s="15">
        <v>1</v>
      </c>
      <c r="F92" s="15">
        <v>22</v>
      </c>
      <c r="G92" s="17" t="b">
        <v>0</v>
      </c>
      <c r="H92" s="15">
        <v>2</v>
      </c>
      <c r="I92" s="15">
        <v>1</v>
      </c>
      <c r="J92" s="15">
        <v>0.22</v>
      </c>
      <c r="K92" s="14">
        <v>0.2576</v>
      </c>
      <c r="L92" s="14">
        <v>0.64</v>
      </c>
      <c r="M92" s="14">
        <v>8.9599999999999999E-2</v>
      </c>
      <c r="N92" s="14">
        <v>1</v>
      </c>
      <c r="O92" s="14">
        <v>34</v>
      </c>
      <c r="P92" s="14">
        <v>35</v>
      </c>
    </row>
    <row r="93" spans="1:16" x14ac:dyDescent="0.3">
      <c r="A93" s="15">
        <v>92</v>
      </c>
      <c r="B93" s="16">
        <v>40547</v>
      </c>
      <c r="C93" s="15">
        <v>1</v>
      </c>
      <c r="D93" s="15">
        <v>0</v>
      </c>
      <c r="E93" s="15">
        <v>1</v>
      </c>
      <c r="F93" s="15">
        <v>23</v>
      </c>
      <c r="G93" s="17" t="b">
        <v>0</v>
      </c>
      <c r="H93" s="15">
        <v>2</v>
      </c>
      <c r="I93" s="15">
        <v>1</v>
      </c>
      <c r="J93" s="15">
        <v>0.2</v>
      </c>
      <c r="K93" s="14">
        <v>0.2273</v>
      </c>
      <c r="L93" s="14">
        <v>0.69</v>
      </c>
      <c r="M93" s="14">
        <v>8.9599999999999999E-2</v>
      </c>
      <c r="N93" s="14">
        <v>2</v>
      </c>
      <c r="O93" s="14">
        <v>9</v>
      </c>
      <c r="P93" s="14">
        <v>11</v>
      </c>
    </row>
    <row r="94" spans="1:16" x14ac:dyDescent="0.3">
      <c r="A94" s="15">
        <v>93</v>
      </c>
      <c r="B94" s="16">
        <v>40548</v>
      </c>
      <c r="C94" s="15">
        <v>1</v>
      </c>
      <c r="D94" s="15">
        <v>0</v>
      </c>
      <c r="E94" s="15">
        <v>1</v>
      </c>
      <c r="F94" s="15">
        <v>0</v>
      </c>
      <c r="G94" s="17" t="b">
        <v>0</v>
      </c>
      <c r="H94" s="15">
        <v>3</v>
      </c>
      <c r="I94" s="15">
        <v>1</v>
      </c>
      <c r="J94" s="15">
        <v>0.2</v>
      </c>
      <c r="K94" s="14">
        <v>0.2576</v>
      </c>
      <c r="L94" s="14">
        <v>0.64</v>
      </c>
      <c r="M94" s="14">
        <v>0</v>
      </c>
      <c r="N94" s="14">
        <v>0</v>
      </c>
      <c r="O94" s="14">
        <v>6</v>
      </c>
      <c r="P94" s="14">
        <v>6</v>
      </c>
    </row>
    <row r="95" spans="1:16" x14ac:dyDescent="0.3">
      <c r="A95" s="15">
        <v>94</v>
      </c>
      <c r="B95" s="16">
        <v>40548</v>
      </c>
      <c r="C95" s="15">
        <v>1</v>
      </c>
      <c r="D95" s="15">
        <v>0</v>
      </c>
      <c r="E95" s="15">
        <v>1</v>
      </c>
      <c r="F95" s="15">
        <v>1</v>
      </c>
      <c r="G95" s="17" t="b">
        <v>0</v>
      </c>
      <c r="H95" s="15">
        <v>3</v>
      </c>
      <c r="I95" s="15">
        <v>1</v>
      </c>
      <c r="J95" s="15">
        <v>0.16</v>
      </c>
      <c r="K95" s="14">
        <v>0.19700000000000001</v>
      </c>
      <c r="L95" s="14">
        <v>0.74</v>
      </c>
      <c r="M95" s="14">
        <v>8.9599999999999999E-2</v>
      </c>
      <c r="N95" s="14">
        <v>0</v>
      </c>
      <c r="O95" s="14">
        <v>6</v>
      </c>
      <c r="P95" s="14">
        <v>6</v>
      </c>
    </row>
    <row r="96" spans="1:16" x14ac:dyDescent="0.3">
      <c r="A96" s="15">
        <v>95</v>
      </c>
      <c r="B96" s="16">
        <v>40548</v>
      </c>
      <c r="C96" s="15">
        <v>1</v>
      </c>
      <c r="D96" s="15">
        <v>0</v>
      </c>
      <c r="E96" s="15">
        <v>1</v>
      </c>
      <c r="F96" s="15">
        <v>2</v>
      </c>
      <c r="G96" s="17" t="b">
        <v>0</v>
      </c>
      <c r="H96" s="15">
        <v>3</v>
      </c>
      <c r="I96" s="15">
        <v>1</v>
      </c>
      <c r="J96" s="15">
        <v>0.16</v>
      </c>
      <c r="K96" s="14">
        <v>0.19700000000000001</v>
      </c>
      <c r="L96" s="14">
        <v>0.74</v>
      </c>
      <c r="M96" s="14">
        <v>8.9599999999999999E-2</v>
      </c>
      <c r="N96" s="14">
        <v>0</v>
      </c>
      <c r="O96" s="14">
        <v>2</v>
      </c>
      <c r="P96" s="14">
        <v>2</v>
      </c>
    </row>
    <row r="97" spans="1:16" x14ac:dyDescent="0.3">
      <c r="A97" s="15">
        <v>96</v>
      </c>
      <c r="B97" s="16">
        <v>40548</v>
      </c>
      <c r="C97" s="15">
        <v>1</v>
      </c>
      <c r="D97" s="15">
        <v>0</v>
      </c>
      <c r="E97" s="15">
        <v>1</v>
      </c>
      <c r="F97" s="15">
        <v>4</v>
      </c>
      <c r="G97" s="17" t="b">
        <v>0</v>
      </c>
      <c r="H97" s="15">
        <v>3</v>
      </c>
      <c r="I97" s="15">
        <v>1</v>
      </c>
      <c r="J97" s="15">
        <v>0.24</v>
      </c>
      <c r="K97" s="14">
        <v>0.2273</v>
      </c>
      <c r="L97" s="14">
        <v>0.48</v>
      </c>
      <c r="M97" s="14">
        <v>0.22389999999999999</v>
      </c>
      <c r="N97" s="14">
        <v>0</v>
      </c>
      <c r="O97" s="14">
        <v>2</v>
      </c>
      <c r="P97" s="14">
        <v>2</v>
      </c>
    </row>
    <row r="98" spans="1:16" x14ac:dyDescent="0.3">
      <c r="A98" s="15">
        <v>97</v>
      </c>
      <c r="B98" s="16">
        <v>40548</v>
      </c>
      <c r="C98" s="15">
        <v>1</v>
      </c>
      <c r="D98" s="15">
        <v>0</v>
      </c>
      <c r="E98" s="15">
        <v>1</v>
      </c>
      <c r="F98" s="15">
        <v>5</v>
      </c>
      <c r="G98" s="17" t="b">
        <v>0</v>
      </c>
      <c r="H98" s="15">
        <v>3</v>
      </c>
      <c r="I98" s="15">
        <v>1</v>
      </c>
      <c r="J98" s="15">
        <v>0.22</v>
      </c>
      <c r="K98" s="14">
        <v>0.2273</v>
      </c>
      <c r="L98" s="14">
        <v>0.47</v>
      </c>
      <c r="M98" s="14">
        <v>0.16420000000000001</v>
      </c>
      <c r="N98" s="14">
        <v>0</v>
      </c>
      <c r="O98" s="14">
        <v>3</v>
      </c>
      <c r="P98" s="14">
        <v>3</v>
      </c>
    </row>
    <row r="99" spans="1:16" x14ac:dyDescent="0.3">
      <c r="A99" s="15">
        <v>98</v>
      </c>
      <c r="B99" s="16">
        <v>40548</v>
      </c>
      <c r="C99" s="15">
        <v>1</v>
      </c>
      <c r="D99" s="15">
        <v>0</v>
      </c>
      <c r="E99" s="15">
        <v>1</v>
      </c>
      <c r="F99" s="15">
        <v>6</v>
      </c>
      <c r="G99" s="17" t="b">
        <v>0</v>
      </c>
      <c r="H99" s="15">
        <v>3</v>
      </c>
      <c r="I99" s="15">
        <v>1</v>
      </c>
      <c r="J99" s="15">
        <v>0.2</v>
      </c>
      <c r="K99" s="14">
        <v>0.19700000000000001</v>
      </c>
      <c r="L99" s="14">
        <v>0.47</v>
      </c>
      <c r="M99" s="14">
        <v>0.22389999999999999</v>
      </c>
      <c r="N99" s="14">
        <v>0</v>
      </c>
      <c r="O99" s="14">
        <v>33</v>
      </c>
      <c r="P99" s="14">
        <v>33</v>
      </c>
    </row>
    <row r="100" spans="1:16" x14ac:dyDescent="0.3">
      <c r="A100" s="15">
        <v>99</v>
      </c>
      <c r="B100" s="16">
        <v>40548</v>
      </c>
      <c r="C100" s="15">
        <v>1</v>
      </c>
      <c r="D100" s="15">
        <v>0</v>
      </c>
      <c r="E100" s="15">
        <v>1</v>
      </c>
      <c r="F100" s="15">
        <v>7</v>
      </c>
      <c r="G100" s="17" t="b">
        <v>0</v>
      </c>
      <c r="H100" s="15">
        <v>3</v>
      </c>
      <c r="I100" s="15">
        <v>1</v>
      </c>
      <c r="J100" s="15">
        <v>0.18</v>
      </c>
      <c r="K100" s="14">
        <v>0.18179999999999999</v>
      </c>
      <c r="L100" s="14">
        <v>0.43</v>
      </c>
      <c r="M100" s="14">
        <v>0.19400000000000001</v>
      </c>
      <c r="N100" s="14">
        <v>1</v>
      </c>
      <c r="O100" s="14">
        <v>87</v>
      </c>
      <c r="P100" s="14">
        <v>88</v>
      </c>
    </row>
    <row r="101" spans="1:16" x14ac:dyDescent="0.3">
      <c r="A101" s="15">
        <v>100</v>
      </c>
      <c r="B101" s="16">
        <v>40548</v>
      </c>
      <c r="C101" s="15">
        <v>1</v>
      </c>
      <c r="D101" s="15">
        <v>0</v>
      </c>
      <c r="E101" s="15">
        <v>1</v>
      </c>
      <c r="F101" s="15">
        <v>8</v>
      </c>
      <c r="G101" s="17" t="b">
        <v>0</v>
      </c>
      <c r="H101" s="15">
        <v>3</v>
      </c>
      <c r="I101" s="15">
        <v>1</v>
      </c>
      <c r="J101" s="15">
        <v>0.2</v>
      </c>
      <c r="K101" s="14">
        <v>0.18179999999999999</v>
      </c>
      <c r="L101" s="14">
        <v>0.4</v>
      </c>
      <c r="M101" s="14">
        <v>0.29849999999999999</v>
      </c>
      <c r="N101" s="14">
        <v>3</v>
      </c>
      <c r="O101" s="14">
        <v>192</v>
      </c>
      <c r="P101" s="14">
        <v>195</v>
      </c>
    </row>
    <row r="102" spans="1:16" x14ac:dyDescent="0.3">
      <c r="A102" s="15">
        <v>101</v>
      </c>
      <c r="B102" s="16">
        <v>40548</v>
      </c>
      <c r="C102" s="15">
        <v>1</v>
      </c>
      <c r="D102" s="15">
        <v>0</v>
      </c>
      <c r="E102" s="15">
        <v>1</v>
      </c>
      <c r="F102" s="15">
        <v>9</v>
      </c>
      <c r="G102" s="17" t="b">
        <v>0</v>
      </c>
      <c r="H102" s="15">
        <v>3</v>
      </c>
      <c r="I102" s="15">
        <v>1</v>
      </c>
      <c r="J102" s="15">
        <v>0.22</v>
      </c>
      <c r="K102" s="14">
        <v>0.19700000000000001</v>
      </c>
      <c r="L102" s="14">
        <v>0.37</v>
      </c>
      <c r="M102" s="14">
        <v>0.32840000000000003</v>
      </c>
      <c r="N102" s="14">
        <v>6</v>
      </c>
      <c r="O102" s="14">
        <v>109</v>
      </c>
      <c r="P102" s="14">
        <v>115</v>
      </c>
    </row>
    <row r="103" spans="1:16" x14ac:dyDescent="0.3">
      <c r="A103" s="15">
        <v>102</v>
      </c>
      <c r="B103" s="16">
        <v>40548</v>
      </c>
      <c r="C103" s="15">
        <v>1</v>
      </c>
      <c r="D103" s="15">
        <v>0</v>
      </c>
      <c r="E103" s="15">
        <v>1</v>
      </c>
      <c r="F103" s="15">
        <v>10</v>
      </c>
      <c r="G103" s="17" t="b">
        <v>0</v>
      </c>
      <c r="H103" s="15">
        <v>3</v>
      </c>
      <c r="I103" s="15">
        <v>1</v>
      </c>
      <c r="J103" s="15">
        <v>0.22</v>
      </c>
      <c r="K103" s="14">
        <v>0.19700000000000001</v>
      </c>
      <c r="L103" s="14">
        <v>0.37</v>
      </c>
      <c r="M103" s="14">
        <v>0.32840000000000003</v>
      </c>
      <c r="N103" s="14">
        <v>4</v>
      </c>
      <c r="O103" s="14">
        <v>53</v>
      </c>
      <c r="P103" s="14">
        <v>57</v>
      </c>
    </row>
    <row r="104" spans="1:16" x14ac:dyDescent="0.3">
      <c r="A104" s="15">
        <v>103</v>
      </c>
      <c r="B104" s="16">
        <v>40548</v>
      </c>
      <c r="C104" s="15">
        <v>1</v>
      </c>
      <c r="D104" s="15">
        <v>0</v>
      </c>
      <c r="E104" s="15">
        <v>1</v>
      </c>
      <c r="F104" s="15">
        <v>11</v>
      </c>
      <c r="G104" s="17" t="b">
        <v>0</v>
      </c>
      <c r="H104" s="15">
        <v>3</v>
      </c>
      <c r="I104" s="15">
        <v>1</v>
      </c>
      <c r="J104" s="15">
        <v>0.26</v>
      </c>
      <c r="K104" s="14">
        <v>0.2273</v>
      </c>
      <c r="L104" s="14">
        <v>0.33</v>
      </c>
      <c r="M104" s="14">
        <v>0.32840000000000003</v>
      </c>
      <c r="N104" s="14">
        <v>12</v>
      </c>
      <c r="O104" s="14">
        <v>34</v>
      </c>
      <c r="P104" s="14">
        <v>46</v>
      </c>
    </row>
    <row r="105" spans="1:16" x14ac:dyDescent="0.3">
      <c r="A105" s="15">
        <v>104</v>
      </c>
      <c r="B105" s="16">
        <v>40548</v>
      </c>
      <c r="C105" s="15">
        <v>1</v>
      </c>
      <c r="D105" s="15">
        <v>0</v>
      </c>
      <c r="E105" s="15">
        <v>1</v>
      </c>
      <c r="F105" s="15">
        <v>12</v>
      </c>
      <c r="G105" s="17" t="b">
        <v>0</v>
      </c>
      <c r="H105" s="15">
        <v>3</v>
      </c>
      <c r="I105" s="15">
        <v>1</v>
      </c>
      <c r="J105" s="15">
        <v>0.26</v>
      </c>
      <c r="K105" s="14">
        <v>0.2273</v>
      </c>
      <c r="L105" s="14">
        <v>0.33</v>
      </c>
      <c r="M105" s="14">
        <v>0.32840000000000003</v>
      </c>
      <c r="N105" s="14">
        <v>5</v>
      </c>
      <c r="O105" s="14">
        <v>74</v>
      </c>
      <c r="P105" s="14">
        <v>79</v>
      </c>
    </row>
    <row r="106" spans="1:16" x14ac:dyDescent="0.3">
      <c r="A106" s="15">
        <v>105</v>
      </c>
      <c r="B106" s="16">
        <v>40548</v>
      </c>
      <c r="C106" s="15">
        <v>1</v>
      </c>
      <c r="D106" s="15">
        <v>0</v>
      </c>
      <c r="E106" s="15">
        <v>1</v>
      </c>
      <c r="F106" s="15">
        <v>13</v>
      </c>
      <c r="G106" s="17" t="b">
        <v>0</v>
      </c>
      <c r="H106" s="15">
        <v>3</v>
      </c>
      <c r="I106" s="15">
        <v>1</v>
      </c>
      <c r="J106" s="15">
        <v>0.28000000000000003</v>
      </c>
      <c r="K106" s="14">
        <v>0.2576</v>
      </c>
      <c r="L106" s="14">
        <v>0.3</v>
      </c>
      <c r="M106" s="14">
        <v>0.29849999999999999</v>
      </c>
      <c r="N106" s="14">
        <v>6</v>
      </c>
      <c r="O106" s="14">
        <v>65</v>
      </c>
      <c r="P106" s="14">
        <v>71</v>
      </c>
    </row>
    <row r="107" spans="1:16" x14ac:dyDescent="0.3">
      <c r="A107" s="15">
        <v>106</v>
      </c>
      <c r="B107" s="16">
        <v>40548</v>
      </c>
      <c r="C107" s="15">
        <v>1</v>
      </c>
      <c r="D107" s="15">
        <v>0</v>
      </c>
      <c r="E107" s="15">
        <v>1</v>
      </c>
      <c r="F107" s="15">
        <v>14</v>
      </c>
      <c r="G107" s="17" t="b">
        <v>0</v>
      </c>
      <c r="H107" s="15">
        <v>3</v>
      </c>
      <c r="I107" s="15">
        <v>1</v>
      </c>
      <c r="J107" s="15">
        <v>0.3</v>
      </c>
      <c r="K107" s="14">
        <v>0.28789999999999999</v>
      </c>
      <c r="L107" s="14">
        <v>0.28000000000000003</v>
      </c>
      <c r="M107" s="14">
        <v>0.19400000000000001</v>
      </c>
      <c r="N107" s="14">
        <v>10</v>
      </c>
      <c r="O107" s="14">
        <v>52</v>
      </c>
      <c r="P107" s="14">
        <v>62</v>
      </c>
    </row>
    <row r="108" spans="1:16" x14ac:dyDescent="0.3">
      <c r="A108" s="15">
        <v>107</v>
      </c>
      <c r="B108" s="16">
        <v>40548</v>
      </c>
      <c r="C108" s="15">
        <v>1</v>
      </c>
      <c r="D108" s="15">
        <v>0</v>
      </c>
      <c r="E108" s="15">
        <v>1</v>
      </c>
      <c r="F108" s="15">
        <v>15</v>
      </c>
      <c r="G108" s="17" t="b">
        <v>0</v>
      </c>
      <c r="H108" s="15">
        <v>3</v>
      </c>
      <c r="I108" s="15">
        <v>1</v>
      </c>
      <c r="J108" s="15">
        <v>0.3</v>
      </c>
      <c r="K108" s="14">
        <v>0.28789999999999999</v>
      </c>
      <c r="L108" s="14">
        <v>0.28000000000000003</v>
      </c>
      <c r="M108" s="14">
        <v>0.19400000000000001</v>
      </c>
      <c r="N108" s="14">
        <v>7</v>
      </c>
      <c r="O108" s="14">
        <v>55</v>
      </c>
      <c r="P108" s="14">
        <v>62</v>
      </c>
    </row>
    <row r="109" spans="1:16" x14ac:dyDescent="0.3">
      <c r="A109" s="15">
        <v>108</v>
      </c>
      <c r="B109" s="16">
        <v>40548</v>
      </c>
      <c r="C109" s="15">
        <v>1</v>
      </c>
      <c r="D109" s="15">
        <v>0</v>
      </c>
      <c r="E109" s="15">
        <v>1</v>
      </c>
      <c r="F109" s="15">
        <v>16</v>
      </c>
      <c r="G109" s="17" t="b">
        <v>0</v>
      </c>
      <c r="H109" s="15">
        <v>3</v>
      </c>
      <c r="I109" s="15">
        <v>1</v>
      </c>
      <c r="J109" s="15">
        <v>0.3</v>
      </c>
      <c r="K109" s="14">
        <v>0.31819999999999998</v>
      </c>
      <c r="L109" s="14">
        <v>0.28000000000000003</v>
      </c>
      <c r="M109" s="14">
        <v>8.9599999999999999E-2</v>
      </c>
      <c r="N109" s="14">
        <v>4</v>
      </c>
      <c r="O109" s="14">
        <v>85</v>
      </c>
      <c r="P109" s="14">
        <v>89</v>
      </c>
    </row>
    <row r="110" spans="1:16" x14ac:dyDescent="0.3">
      <c r="A110" s="15">
        <v>109</v>
      </c>
      <c r="B110" s="16">
        <v>40548</v>
      </c>
      <c r="C110" s="15">
        <v>1</v>
      </c>
      <c r="D110" s="15">
        <v>0</v>
      </c>
      <c r="E110" s="15">
        <v>1</v>
      </c>
      <c r="F110" s="15">
        <v>17</v>
      </c>
      <c r="G110" s="17" t="b">
        <v>0</v>
      </c>
      <c r="H110" s="15">
        <v>3</v>
      </c>
      <c r="I110" s="15">
        <v>1</v>
      </c>
      <c r="J110" s="15">
        <v>0.24</v>
      </c>
      <c r="K110" s="14">
        <v>0.2273</v>
      </c>
      <c r="L110" s="14">
        <v>0.38</v>
      </c>
      <c r="M110" s="14">
        <v>0.19400000000000001</v>
      </c>
      <c r="N110" s="14">
        <v>4</v>
      </c>
      <c r="O110" s="14">
        <v>186</v>
      </c>
      <c r="P110" s="14">
        <v>190</v>
      </c>
    </row>
    <row r="111" spans="1:16" x14ac:dyDescent="0.3">
      <c r="A111" s="15">
        <v>110</v>
      </c>
      <c r="B111" s="16">
        <v>40548</v>
      </c>
      <c r="C111" s="15">
        <v>1</v>
      </c>
      <c r="D111" s="15">
        <v>0</v>
      </c>
      <c r="E111" s="15">
        <v>1</v>
      </c>
      <c r="F111" s="15">
        <v>18</v>
      </c>
      <c r="G111" s="17" t="b">
        <v>0</v>
      </c>
      <c r="H111" s="15">
        <v>3</v>
      </c>
      <c r="I111" s="15">
        <v>1</v>
      </c>
      <c r="J111" s="15">
        <v>0.24</v>
      </c>
      <c r="K111" s="14">
        <v>0.2424</v>
      </c>
      <c r="L111" s="14">
        <v>0.38</v>
      </c>
      <c r="M111" s="14">
        <v>0.1343</v>
      </c>
      <c r="N111" s="14">
        <v>3</v>
      </c>
      <c r="O111" s="14">
        <v>166</v>
      </c>
      <c r="P111" s="14">
        <v>169</v>
      </c>
    </row>
    <row r="112" spans="1:16" x14ac:dyDescent="0.3">
      <c r="A112" s="15">
        <v>111</v>
      </c>
      <c r="B112" s="16">
        <v>40548</v>
      </c>
      <c r="C112" s="15">
        <v>1</v>
      </c>
      <c r="D112" s="15">
        <v>0</v>
      </c>
      <c r="E112" s="15">
        <v>1</v>
      </c>
      <c r="F112" s="15">
        <v>19</v>
      </c>
      <c r="G112" s="17" t="b">
        <v>0</v>
      </c>
      <c r="H112" s="15">
        <v>3</v>
      </c>
      <c r="I112" s="15">
        <v>1</v>
      </c>
      <c r="J112" s="15">
        <v>0.24</v>
      </c>
      <c r="K112" s="14">
        <v>0.2576</v>
      </c>
      <c r="L112" s="14">
        <v>0.38</v>
      </c>
      <c r="M112" s="14">
        <v>0.1045</v>
      </c>
      <c r="N112" s="14">
        <v>5</v>
      </c>
      <c r="O112" s="14">
        <v>127</v>
      </c>
      <c r="P112" s="14">
        <v>132</v>
      </c>
    </row>
    <row r="113" spans="1:16" x14ac:dyDescent="0.3">
      <c r="A113" s="15">
        <v>112</v>
      </c>
      <c r="B113" s="16">
        <v>40548</v>
      </c>
      <c r="C113" s="15">
        <v>1</v>
      </c>
      <c r="D113" s="15">
        <v>0</v>
      </c>
      <c r="E113" s="15">
        <v>1</v>
      </c>
      <c r="F113" s="15">
        <v>20</v>
      </c>
      <c r="G113" s="17" t="b">
        <v>0</v>
      </c>
      <c r="H113" s="15">
        <v>3</v>
      </c>
      <c r="I113" s="15">
        <v>1</v>
      </c>
      <c r="J113" s="15">
        <v>0.22</v>
      </c>
      <c r="K113" s="14">
        <v>0.2273</v>
      </c>
      <c r="L113" s="14">
        <v>0.47</v>
      </c>
      <c r="M113" s="14">
        <v>0.16420000000000001</v>
      </c>
      <c r="N113" s="14">
        <v>7</v>
      </c>
      <c r="O113" s="14">
        <v>82</v>
      </c>
      <c r="P113" s="14">
        <v>89</v>
      </c>
    </row>
    <row r="114" spans="1:16" x14ac:dyDescent="0.3">
      <c r="A114" s="15">
        <v>113</v>
      </c>
      <c r="B114" s="16">
        <v>40548</v>
      </c>
      <c r="C114" s="15">
        <v>1</v>
      </c>
      <c r="D114" s="15">
        <v>0</v>
      </c>
      <c r="E114" s="15">
        <v>1</v>
      </c>
      <c r="F114" s="15">
        <v>21</v>
      </c>
      <c r="G114" s="17" t="b">
        <v>0</v>
      </c>
      <c r="H114" s="15">
        <v>3</v>
      </c>
      <c r="I114" s="15">
        <v>1</v>
      </c>
      <c r="J114" s="15">
        <v>0.2</v>
      </c>
      <c r="K114" s="14">
        <v>0.19700000000000001</v>
      </c>
      <c r="L114" s="14">
        <v>0.51</v>
      </c>
      <c r="M114" s="14">
        <v>0.19400000000000001</v>
      </c>
      <c r="N114" s="14">
        <v>3</v>
      </c>
      <c r="O114" s="14">
        <v>40</v>
      </c>
      <c r="P114" s="14">
        <v>43</v>
      </c>
    </row>
    <row r="115" spans="1:16" x14ac:dyDescent="0.3">
      <c r="A115" s="15">
        <v>114</v>
      </c>
      <c r="B115" s="16">
        <v>40548</v>
      </c>
      <c r="C115" s="15">
        <v>1</v>
      </c>
      <c r="D115" s="15">
        <v>0</v>
      </c>
      <c r="E115" s="15">
        <v>1</v>
      </c>
      <c r="F115" s="15">
        <v>22</v>
      </c>
      <c r="G115" s="17" t="b">
        <v>0</v>
      </c>
      <c r="H115" s="15">
        <v>3</v>
      </c>
      <c r="I115" s="15">
        <v>1</v>
      </c>
      <c r="J115" s="15">
        <v>0.18</v>
      </c>
      <c r="K115" s="14">
        <v>0.19700000000000001</v>
      </c>
      <c r="L115" s="14">
        <v>0.55000000000000004</v>
      </c>
      <c r="M115" s="14">
        <v>0.1343</v>
      </c>
      <c r="N115" s="14">
        <v>1</v>
      </c>
      <c r="O115" s="14">
        <v>41</v>
      </c>
      <c r="P115" s="14">
        <v>42</v>
      </c>
    </row>
    <row r="116" spans="1:16" x14ac:dyDescent="0.3">
      <c r="A116" s="15">
        <v>115</v>
      </c>
      <c r="B116" s="16">
        <v>40548</v>
      </c>
      <c r="C116" s="15">
        <v>1</v>
      </c>
      <c r="D116" s="15">
        <v>0</v>
      </c>
      <c r="E116" s="15">
        <v>1</v>
      </c>
      <c r="F116" s="15">
        <v>23</v>
      </c>
      <c r="G116" s="17" t="b">
        <v>0</v>
      </c>
      <c r="H116" s="15">
        <v>3</v>
      </c>
      <c r="I116" s="15">
        <v>1</v>
      </c>
      <c r="J116" s="15">
        <v>0.2</v>
      </c>
      <c r="K116" s="14">
        <v>0.2576</v>
      </c>
      <c r="L116" s="14">
        <v>0.47</v>
      </c>
      <c r="M116" s="14">
        <v>0</v>
      </c>
      <c r="N116" s="14">
        <v>1</v>
      </c>
      <c r="O116" s="14">
        <v>18</v>
      </c>
      <c r="P116" s="14">
        <v>19</v>
      </c>
    </row>
    <row r="117" spans="1:16" x14ac:dyDescent="0.3">
      <c r="A117" s="15">
        <v>116</v>
      </c>
      <c r="B117" s="16">
        <v>40549</v>
      </c>
      <c r="C117" s="15">
        <v>1</v>
      </c>
      <c r="D117" s="15">
        <v>0</v>
      </c>
      <c r="E117" s="15">
        <v>1</v>
      </c>
      <c r="F117" s="15">
        <v>0</v>
      </c>
      <c r="G117" s="17" t="b">
        <v>0</v>
      </c>
      <c r="H117" s="15">
        <v>4</v>
      </c>
      <c r="I117" s="15">
        <v>1</v>
      </c>
      <c r="J117" s="15">
        <v>0.18</v>
      </c>
      <c r="K117" s="14">
        <v>0.2424</v>
      </c>
      <c r="L117" s="14">
        <v>0.55000000000000004</v>
      </c>
      <c r="M117" s="14">
        <v>0</v>
      </c>
      <c r="N117" s="14">
        <v>0</v>
      </c>
      <c r="O117" s="14">
        <v>11</v>
      </c>
      <c r="P117" s="14">
        <v>11</v>
      </c>
    </row>
    <row r="118" spans="1:16" x14ac:dyDescent="0.3">
      <c r="A118" s="15">
        <v>117</v>
      </c>
      <c r="B118" s="16">
        <v>40549</v>
      </c>
      <c r="C118" s="15">
        <v>1</v>
      </c>
      <c r="D118" s="15">
        <v>0</v>
      </c>
      <c r="E118" s="15">
        <v>1</v>
      </c>
      <c r="F118" s="15">
        <v>1</v>
      </c>
      <c r="G118" s="17" t="b">
        <v>0</v>
      </c>
      <c r="H118" s="15">
        <v>4</v>
      </c>
      <c r="I118" s="15">
        <v>1</v>
      </c>
      <c r="J118" s="15">
        <v>0.16</v>
      </c>
      <c r="K118" s="14">
        <v>0.2273</v>
      </c>
      <c r="L118" s="14">
        <v>0.64</v>
      </c>
      <c r="M118" s="14">
        <v>0</v>
      </c>
      <c r="N118" s="14">
        <v>0</v>
      </c>
      <c r="O118" s="14">
        <v>4</v>
      </c>
      <c r="P118" s="14">
        <v>4</v>
      </c>
    </row>
    <row r="119" spans="1:16" x14ac:dyDescent="0.3">
      <c r="A119" s="15">
        <v>118</v>
      </c>
      <c r="B119" s="16">
        <v>40549</v>
      </c>
      <c r="C119" s="15">
        <v>1</v>
      </c>
      <c r="D119" s="15">
        <v>0</v>
      </c>
      <c r="E119" s="15">
        <v>1</v>
      </c>
      <c r="F119" s="15">
        <v>2</v>
      </c>
      <c r="G119" s="17" t="b">
        <v>0</v>
      </c>
      <c r="H119" s="15">
        <v>4</v>
      </c>
      <c r="I119" s="15">
        <v>1</v>
      </c>
      <c r="J119" s="15">
        <v>0.16</v>
      </c>
      <c r="K119" s="14">
        <v>0.2273</v>
      </c>
      <c r="L119" s="14">
        <v>0.64</v>
      </c>
      <c r="M119" s="14">
        <v>0</v>
      </c>
      <c r="N119" s="14">
        <v>0</v>
      </c>
      <c r="O119" s="14">
        <v>2</v>
      </c>
      <c r="P119" s="14">
        <v>2</v>
      </c>
    </row>
    <row r="120" spans="1:16" x14ac:dyDescent="0.3">
      <c r="A120" s="15">
        <v>119</v>
      </c>
      <c r="B120" s="16">
        <v>40549</v>
      </c>
      <c r="C120" s="15">
        <v>1</v>
      </c>
      <c r="D120" s="15">
        <v>0</v>
      </c>
      <c r="E120" s="15">
        <v>1</v>
      </c>
      <c r="F120" s="15">
        <v>4</v>
      </c>
      <c r="G120" s="17" t="b">
        <v>0</v>
      </c>
      <c r="H120" s="15">
        <v>4</v>
      </c>
      <c r="I120" s="15">
        <v>2</v>
      </c>
      <c r="J120" s="15">
        <v>0.16</v>
      </c>
      <c r="K120" s="14">
        <v>0.19700000000000001</v>
      </c>
      <c r="L120" s="14">
        <v>0.64</v>
      </c>
      <c r="M120" s="14">
        <v>8.9599999999999999E-2</v>
      </c>
      <c r="N120" s="14">
        <v>0</v>
      </c>
      <c r="O120" s="14">
        <v>1</v>
      </c>
      <c r="P120" s="14">
        <v>1</v>
      </c>
    </row>
    <row r="121" spans="1:16" x14ac:dyDescent="0.3">
      <c r="A121" s="15">
        <v>120</v>
      </c>
      <c r="B121" s="16">
        <v>40549</v>
      </c>
      <c r="C121" s="15">
        <v>1</v>
      </c>
      <c r="D121" s="15">
        <v>0</v>
      </c>
      <c r="E121" s="15">
        <v>1</v>
      </c>
      <c r="F121" s="15">
        <v>5</v>
      </c>
      <c r="G121" s="17" t="b">
        <v>0</v>
      </c>
      <c r="H121" s="15">
        <v>4</v>
      </c>
      <c r="I121" s="15">
        <v>2</v>
      </c>
      <c r="J121" s="15">
        <v>0.14000000000000001</v>
      </c>
      <c r="K121" s="14">
        <v>0.18179999999999999</v>
      </c>
      <c r="L121" s="14">
        <v>0.69</v>
      </c>
      <c r="M121" s="14">
        <v>8.9599999999999999E-2</v>
      </c>
      <c r="N121" s="14">
        <v>0</v>
      </c>
      <c r="O121" s="14">
        <v>4</v>
      </c>
      <c r="P121" s="14">
        <v>4</v>
      </c>
    </row>
    <row r="122" spans="1:16" x14ac:dyDescent="0.3">
      <c r="A122" s="15">
        <v>121</v>
      </c>
      <c r="B122" s="16">
        <v>40549</v>
      </c>
      <c r="C122" s="15">
        <v>1</v>
      </c>
      <c r="D122" s="15">
        <v>0</v>
      </c>
      <c r="E122" s="15">
        <v>1</v>
      </c>
      <c r="F122" s="15">
        <v>6</v>
      </c>
      <c r="G122" s="17" t="b">
        <v>0</v>
      </c>
      <c r="H122" s="15">
        <v>4</v>
      </c>
      <c r="I122" s="15">
        <v>2</v>
      </c>
      <c r="J122" s="15">
        <v>0.14000000000000001</v>
      </c>
      <c r="K122" s="14">
        <v>0.16669999999999999</v>
      </c>
      <c r="L122" s="14">
        <v>0.63</v>
      </c>
      <c r="M122" s="14">
        <v>0.1045</v>
      </c>
      <c r="N122" s="14">
        <v>0</v>
      </c>
      <c r="O122" s="14">
        <v>36</v>
      </c>
      <c r="P122" s="14">
        <v>36</v>
      </c>
    </row>
    <row r="123" spans="1:16" x14ac:dyDescent="0.3">
      <c r="A123" s="15">
        <v>122</v>
      </c>
      <c r="B123" s="16">
        <v>40549</v>
      </c>
      <c r="C123" s="15">
        <v>1</v>
      </c>
      <c r="D123" s="15">
        <v>0</v>
      </c>
      <c r="E123" s="15">
        <v>1</v>
      </c>
      <c r="F123" s="15">
        <v>7</v>
      </c>
      <c r="G123" s="17" t="b">
        <v>0</v>
      </c>
      <c r="H123" s="15">
        <v>4</v>
      </c>
      <c r="I123" s="15">
        <v>2</v>
      </c>
      <c r="J123" s="15">
        <v>0.16</v>
      </c>
      <c r="K123" s="14">
        <v>0.2273</v>
      </c>
      <c r="L123" s="14">
        <v>0.59</v>
      </c>
      <c r="M123" s="14">
        <v>0</v>
      </c>
      <c r="N123" s="14">
        <v>0</v>
      </c>
      <c r="O123" s="14">
        <v>95</v>
      </c>
      <c r="P123" s="14">
        <v>95</v>
      </c>
    </row>
    <row r="124" spans="1:16" x14ac:dyDescent="0.3">
      <c r="A124" s="15">
        <v>123</v>
      </c>
      <c r="B124" s="16">
        <v>40549</v>
      </c>
      <c r="C124" s="15">
        <v>1</v>
      </c>
      <c r="D124" s="15">
        <v>0</v>
      </c>
      <c r="E124" s="15">
        <v>1</v>
      </c>
      <c r="F124" s="15">
        <v>8</v>
      </c>
      <c r="G124" s="17" t="b">
        <v>0</v>
      </c>
      <c r="H124" s="15">
        <v>4</v>
      </c>
      <c r="I124" s="15">
        <v>1</v>
      </c>
      <c r="J124" s="15">
        <v>0.16</v>
      </c>
      <c r="K124" s="14">
        <v>0.2273</v>
      </c>
      <c r="L124" s="14">
        <v>0.59</v>
      </c>
      <c r="M124" s="14">
        <v>0</v>
      </c>
      <c r="N124" s="14">
        <v>3</v>
      </c>
      <c r="O124" s="14">
        <v>216</v>
      </c>
      <c r="P124" s="14">
        <v>219</v>
      </c>
    </row>
    <row r="125" spans="1:16" x14ac:dyDescent="0.3">
      <c r="A125" s="15">
        <v>124</v>
      </c>
      <c r="B125" s="16">
        <v>40549</v>
      </c>
      <c r="C125" s="15">
        <v>1</v>
      </c>
      <c r="D125" s="15">
        <v>0</v>
      </c>
      <c r="E125" s="15">
        <v>1</v>
      </c>
      <c r="F125" s="15">
        <v>9</v>
      </c>
      <c r="G125" s="17" t="b">
        <v>0</v>
      </c>
      <c r="H125" s="15">
        <v>4</v>
      </c>
      <c r="I125" s="15">
        <v>2</v>
      </c>
      <c r="J125" s="15">
        <v>0.18</v>
      </c>
      <c r="K125" s="14">
        <v>0.2424</v>
      </c>
      <c r="L125" s="14">
        <v>0.51</v>
      </c>
      <c r="M125" s="14">
        <v>0</v>
      </c>
      <c r="N125" s="14">
        <v>6</v>
      </c>
      <c r="O125" s="14">
        <v>116</v>
      </c>
      <c r="P125" s="14">
        <v>122</v>
      </c>
    </row>
    <row r="126" spans="1:16" x14ac:dyDescent="0.3">
      <c r="A126" s="15">
        <v>125</v>
      </c>
      <c r="B126" s="16">
        <v>40549</v>
      </c>
      <c r="C126" s="15">
        <v>1</v>
      </c>
      <c r="D126" s="15">
        <v>0</v>
      </c>
      <c r="E126" s="15">
        <v>1</v>
      </c>
      <c r="F126" s="15">
        <v>10</v>
      </c>
      <c r="G126" s="17" t="b">
        <v>0</v>
      </c>
      <c r="H126" s="15">
        <v>4</v>
      </c>
      <c r="I126" s="15">
        <v>1</v>
      </c>
      <c r="J126" s="15">
        <v>0.2</v>
      </c>
      <c r="K126" s="14">
        <v>0.2576</v>
      </c>
      <c r="L126" s="14">
        <v>0.47</v>
      </c>
      <c r="M126" s="14">
        <v>0</v>
      </c>
      <c r="N126" s="14">
        <v>3</v>
      </c>
      <c r="O126" s="14">
        <v>42</v>
      </c>
      <c r="P126" s="14">
        <v>45</v>
      </c>
    </row>
    <row r="127" spans="1:16" x14ac:dyDescent="0.3">
      <c r="A127" s="15">
        <v>126</v>
      </c>
      <c r="B127" s="16">
        <v>40549</v>
      </c>
      <c r="C127" s="15">
        <v>1</v>
      </c>
      <c r="D127" s="15">
        <v>0</v>
      </c>
      <c r="E127" s="15">
        <v>1</v>
      </c>
      <c r="F127" s="15">
        <v>11</v>
      </c>
      <c r="G127" s="17" t="b">
        <v>0</v>
      </c>
      <c r="H127" s="15">
        <v>4</v>
      </c>
      <c r="I127" s="15">
        <v>1</v>
      </c>
      <c r="J127" s="15">
        <v>0.22</v>
      </c>
      <c r="K127" s="14">
        <v>0.2576</v>
      </c>
      <c r="L127" s="14">
        <v>0.44</v>
      </c>
      <c r="M127" s="14">
        <v>8.9599999999999999E-2</v>
      </c>
      <c r="N127" s="14">
        <v>2</v>
      </c>
      <c r="O127" s="14">
        <v>57</v>
      </c>
      <c r="P127" s="14">
        <v>59</v>
      </c>
    </row>
    <row r="128" spans="1:16" x14ac:dyDescent="0.3">
      <c r="A128" s="15">
        <v>127</v>
      </c>
      <c r="B128" s="16">
        <v>40549</v>
      </c>
      <c r="C128" s="15">
        <v>1</v>
      </c>
      <c r="D128" s="15">
        <v>0</v>
      </c>
      <c r="E128" s="15">
        <v>1</v>
      </c>
      <c r="F128" s="15">
        <v>12</v>
      </c>
      <c r="G128" s="17" t="b">
        <v>0</v>
      </c>
      <c r="H128" s="15">
        <v>4</v>
      </c>
      <c r="I128" s="15">
        <v>1</v>
      </c>
      <c r="J128" s="15">
        <v>0.26</v>
      </c>
      <c r="K128" s="14">
        <v>0.28789999999999999</v>
      </c>
      <c r="L128" s="14">
        <v>0.35</v>
      </c>
      <c r="M128" s="14">
        <v>0</v>
      </c>
      <c r="N128" s="14">
        <v>6</v>
      </c>
      <c r="O128" s="14">
        <v>78</v>
      </c>
      <c r="P128" s="14">
        <v>84</v>
      </c>
    </row>
    <row r="129" spans="1:16" x14ac:dyDescent="0.3">
      <c r="A129" s="15">
        <v>128</v>
      </c>
      <c r="B129" s="16">
        <v>40549</v>
      </c>
      <c r="C129" s="15">
        <v>1</v>
      </c>
      <c r="D129" s="15">
        <v>0</v>
      </c>
      <c r="E129" s="15">
        <v>1</v>
      </c>
      <c r="F129" s="15">
        <v>13</v>
      </c>
      <c r="G129" s="17" t="b">
        <v>0</v>
      </c>
      <c r="H129" s="15">
        <v>4</v>
      </c>
      <c r="I129" s="15">
        <v>1</v>
      </c>
      <c r="J129" s="15">
        <v>0.26</v>
      </c>
      <c r="K129" s="14">
        <v>0.2727</v>
      </c>
      <c r="L129" s="14">
        <v>0.35</v>
      </c>
      <c r="M129" s="14">
        <v>0.1045</v>
      </c>
      <c r="N129" s="14">
        <v>12</v>
      </c>
      <c r="O129" s="14">
        <v>55</v>
      </c>
      <c r="P129" s="14">
        <v>67</v>
      </c>
    </row>
    <row r="130" spans="1:16" x14ac:dyDescent="0.3">
      <c r="A130" s="15">
        <v>129</v>
      </c>
      <c r="B130" s="16">
        <v>40549</v>
      </c>
      <c r="C130" s="15">
        <v>1</v>
      </c>
      <c r="D130" s="15">
        <v>0</v>
      </c>
      <c r="E130" s="15">
        <v>1</v>
      </c>
      <c r="F130" s="15">
        <v>14</v>
      </c>
      <c r="G130" s="17" t="b">
        <v>0</v>
      </c>
      <c r="H130" s="15">
        <v>4</v>
      </c>
      <c r="I130" s="15">
        <v>1</v>
      </c>
      <c r="J130" s="15">
        <v>0.28000000000000003</v>
      </c>
      <c r="K130" s="14">
        <v>0.2727</v>
      </c>
      <c r="L130" s="14">
        <v>0.36</v>
      </c>
      <c r="M130" s="14">
        <v>0.16420000000000001</v>
      </c>
      <c r="N130" s="14">
        <v>11</v>
      </c>
      <c r="O130" s="14">
        <v>59</v>
      </c>
      <c r="P130" s="14">
        <v>70</v>
      </c>
    </row>
    <row r="131" spans="1:16" x14ac:dyDescent="0.3">
      <c r="A131" s="15">
        <v>130</v>
      </c>
      <c r="B131" s="16">
        <v>40549</v>
      </c>
      <c r="C131" s="15">
        <v>1</v>
      </c>
      <c r="D131" s="15">
        <v>0</v>
      </c>
      <c r="E131" s="15">
        <v>1</v>
      </c>
      <c r="F131" s="15">
        <v>15</v>
      </c>
      <c r="G131" s="17" t="b">
        <v>0</v>
      </c>
      <c r="H131" s="15">
        <v>4</v>
      </c>
      <c r="I131" s="15">
        <v>1</v>
      </c>
      <c r="J131" s="15">
        <v>0.28000000000000003</v>
      </c>
      <c r="K131" s="14">
        <v>0.2727</v>
      </c>
      <c r="L131" s="14">
        <v>0.36</v>
      </c>
      <c r="M131" s="14">
        <v>0</v>
      </c>
      <c r="N131" s="14">
        <v>8</v>
      </c>
      <c r="O131" s="14">
        <v>54</v>
      </c>
      <c r="P131" s="14">
        <v>62</v>
      </c>
    </row>
    <row r="132" spans="1:16" x14ac:dyDescent="0.3">
      <c r="A132" s="15">
        <v>131</v>
      </c>
      <c r="B132" s="16">
        <v>40549</v>
      </c>
      <c r="C132" s="15">
        <v>1</v>
      </c>
      <c r="D132" s="15">
        <v>0</v>
      </c>
      <c r="E132" s="15">
        <v>1</v>
      </c>
      <c r="F132" s="15">
        <v>16</v>
      </c>
      <c r="G132" s="17" t="b">
        <v>0</v>
      </c>
      <c r="H132" s="15">
        <v>4</v>
      </c>
      <c r="I132" s="15">
        <v>1</v>
      </c>
      <c r="J132" s="15">
        <v>0.26</v>
      </c>
      <c r="K132" s="14">
        <v>0.2576</v>
      </c>
      <c r="L132" s="14">
        <v>0.38</v>
      </c>
      <c r="M132" s="14">
        <v>0.16420000000000001</v>
      </c>
      <c r="N132" s="14">
        <v>12</v>
      </c>
      <c r="O132" s="14">
        <v>74</v>
      </c>
      <c r="P132" s="14">
        <v>86</v>
      </c>
    </row>
    <row r="133" spans="1:16" x14ac:dyDescent="0.3">
      <c r="A133" s="15">
        <v>132</v>
      </c>
      <c r="B133" s="16">
        <v>40549</v>
      </c>
      <c r="C133" s="15">
        <v>1</v>
      </c>
      <c r="D133" s="15">
        <v>0</v>
      </c>
      <c r="E133" s="15">
        <v>1</v>
      </c>
      <c r="F133" s="15">
        <v>17</v>
      </c>
      <c r="G133" s="17" t="b">
        <v>0</v>
      </c>
      <c r="H133" s="15">
        <v>4</v>
      </c>
      <c r="I133" s="15">
        <v>1</v>
      </c>
      <c r="J133" s="15">
        <v>0.22</v>
      </c>
      <c r="K133" s="14">
        <v>0.2273</v>
      </c>
      <c r="L133" s="14">
        <v>0.51</v>
      </c>
      <c r="M133" s="14">
        <v>0.16420000000000001</v>
      </c>
      <c r="N133" s="14">
        <v>9</v>
      </c>
      <c r="O133" s="14">
        <v>163</v>
      </c>
      <c r="P133" s="14">
        <v>172</v>
      </c>
    </row>
    <row r="134" spans="1:16" x14ac:dyDescent="0.3">
      <c r="A134" s="15">
        <v>133</v>
      </c>
      <c r="B134" s="16">
        <v>40549</v>
      </c>
      <c r="C134" s="15">
        <v>1</v>
      </c>
      <c r="D134" s="15">
        <v>0</v>
      </c>
      <c r="E134" s="15">
        <v>1</v>
      </c>
      <c r="F134" s="15">
        <v>18</v>
      </c>
      <c r="G134" s="17" t="b">
        <v>0</v>
      </c>
      <c r="H134" s="15">
        <v>4</v>
      </c>
      <c r="I134" s="15">
        <v>1</v>
      </c>
      <c r="J134" s="15">
        <v>0.22</v>
      </c>
      <c r="K134" s="14">
        <v>0.2273</v>
      </c>
      <c r="L134" s="14">
        <v>0.51</v>
      </c>
      <c r="M134" s="14">
        <v>0.1343</v>
      </c>
      <c r="N134" s="14">
        <v>5</v>
      </c>
      <c r="O134" s="14">
        <v>158</v>
      </c>
      <c r="P134" s="14">
        <v>163</v>
      </c>
    </row>
    <row r="135" spans="1:16" x14ac:dyDescent="0.3">
      <c r="A135" s="15">
        <v>134</v>
      </c>
      <c r="B135" s="16">
        <v>40549</v>
      </c>
      <c r="C135" s="15">
        <v>1</v>
      </c>
      <c r="D135" s="15">
        <v>0</v>
      </c>
      <c r="E135" s="15">
        <v>1</v>
      </c>
      <c r="F135" s="15">
        <v>19</v>
      </c>
      <c r="G135" s="17" t="b">
        <v>0</v>
      </c>
      <c r="H135" s="15">
        <v>4</v>
      </c>
      <c r="I135" s="15">
        <v>1</v>
      </c>
      <c r="J135" s="15">
        <v>0.22</v>
      </c>
      <c r="K135" s="14">
        <v>0.2576</v>
      </c>
      <c r="L135" s="14">
        <v>0.55000000000000004</v>
      </c>
      <c r="M135" s="14">
        <v>8.9599999999999999E-2</v>
      </c>
      <c r="N135" s="14">
        <v>3</v>
      </c>
      <c r="O135" s="14">
        <v>109</v>
      </c>
      <c r="P135" s="14">
        <v>112</v>
      </c>
    </row>
    <row r="136" spans="1:16" x14ac:dyDescent="0.3">
      <c r="A136" s="15">
        <v>135</v>
      </c>
      <c r="B136" s="16">
        <v>40549</v>
      </c>
      <c r="C136" s="15">
        <v>1</v>
      </c>
      <c r="D136" s="15">
        <v>0</v>
      </c>
      <c r="E136" s="15">
        <v>1</v>
      </c>
      <c r="F136" s="15">
        <v>20</v>
      </c>
      <c r="G136" s="17" t="b">
        <v>0</v>
      </c>
      <c r="H136" s="15">
        <v>4</v>
      </c>
      <c r="I136" s="15">
        <v>1</v>
      </c>
      <c r="J136" s="15">
        <v>0.2</v>
      </c>
      <c r="K136" s="14">
        <v>0.21210000000000001</v>
      </c>
      <c r="L136" s="14">
        <v>0.51</v>
      </c>
      <c r="M136" s="14">
        <v>0.16420000000000001</v>
      </c>
      <c r="N136" s="14">
        <v>3</v>
      </c>
      <c r="O136" s="14">
        <v>66</v>
      </c>
      <c r="P136" s="14">
        <v>69</v>
      </c>
    </row>
    <row r="137" spans="1:16" x14ac:dyDescent="0.3">
      <c r="A137" s="15">
        <v>136</v>
      </c>
      <c r="B137" s="16">
        <v>40549</v>
      </c>
      <c r="C137" s="15">
        <v>1</v>
      </c>
      <c r="D137" s="15">
        <v>0</v>
      </c>
      <c r="E137" s="15">
        <v>1</v>
      </c>
      <c r="F137" s="15">
        <v>21</v>
      </c>
      <c r="G137" s="17" t="b">
        <v>0</v>
      </c>
      <c r="H137" s="15">
        <v>4</v>
      </c>
      <c r="I137" s="15">
        <v>2</v>
      </c>
      <c r="J137" s="15">
        <v>0.22</v>
      </c>
      <c r="K137" s="14">
        <v>0.21210000000000001</v>
      </c>
      <c r="L137" s="14">
        <v>0.55000000000000004</v>
      </c>
      <c r="M137" s="14">
        <v>0.22389999999999999</v>
      </c>
      <c r="N137" s="14">
        <v>0</v>
      </c>
      <c r="O137" s="14">
        <v>48</v>
      </c>
      <c r="P137" s="14">
        <v>48</v>
      </c>
    </row>
    <row r="138" spans="1:16" x14ac:dyDescent="0.3">
      <c r="A138" s="15">
        <v>137</v>
      </c>
      <c r="B138" s="16">
        <v>40549</v>
      </c>
      <c r="C138" s="15">
        <v>1</v>
      </c>
      <c r="D138" s="15">
        <v>0</v>
      </c>
      <c r="E138" s="15">
        <v>1</v>
      </c>
      <c r="F138" s="15">
        <v>22</v>
      </c>
      <c r="G138" s="17" t="b">
        <v>0</v>
      </c>
      <c r="H138" s="15">
        <v>4</v>
      </c>
      <c r="I138" s="15">
        <v>2</v>
      </c>
      <c r="J138" s="15">
        <v>0.22</v>
      </c>
      <c r="K138" s="14">
        <v>0.21210000000000001</v>
      </c>
      <c r="L138" s="14">
        <v>0.51</v>
      </c>
      <c r="M138" s="14">
        <v>0.28360000000000002</v>
      </c>
      <c r="N138" s="14">
        <v>1</v>
      </c>
      <c r="O138" s="14">
        <v>51</v>
      </c>
      <c r="P138" s="14">
        <v>52</v>
      </c>
    </row>
    <row r="139" spans="1:16" x14ac:dyDescent="0.3">
      <c r="A139" s="15">
        <v>138</v>
      </c>
      <c r="B139" s="16">
        <v>40549</v>
      </c>
      <c r="C139" s="15">
        <v>1</v>
      </c>
      <c r="D139" s="15">
        <v>0</v>
      </c>
      <c r="E139" s="15">
        <v>1</v>
      </c>
      <c r="F139" s="15">
        <v>23</v>
      </c>
      <c r="G139" s="17" t="b">
        <v>0</v>
      </c>
      <c r="H139" s="15">
        <v>4</v>
      </c>
      <c r="I139" s="15">
        <v>2</v>
      </c>
      <c r="J139" s="15">
        <v>0.2</v>
      </c>
      <c r="K139" s="14">
        <v>0.19700000000000001</v>
      </c>
      <c r="L139" s="14">
        <v>0.59</v>
      </c>
      <c r="M139" s="14">
        <v>0.19400000000000001</v>
      </c>
      <c r="N139" s="14">
        <v>4</v>
      </c>
      <c r="O139" s="14">
        <v>19</v>
      </c>
      <c r="P139" s="14">
        <v>23</v>
      </c>
    </row>
    <row r="140" spans="1:16" x14ac:dyDescent="0.3">
      <c r="A140" s="15">
        <v>139</v>
      </c>
      <c r="B140" s="16">
        <v>40550</v>
      </c>
      <c r="C140" s="15">
        <v>1</v>
      </c>
      <c r="D140" s="15">
        <v>0</v>
      </c>
      <c r="E140" s="15">
        <v>1</v>
      </c>
      <c r="F140" s="15">
        <v>0</v>
      </c>
      <c r="G140" s="17" t="b">
        <v>0</v>
      </c>
      <c r="H140" s="15">
        <v>5</v>
      </c>
      <c r="I140" s="15">
        <v>2</v>
      </c>
      <c r="J140" s="15">
        <v>0.2</v>
      </c>
      <c r="K140" s="14">
        <v>0.19700000000000001</v>
      </c>
      <c r="L140" s="14">
        <v>0.64</v>
      </c>
      <c r="M140" s="14">
        <v>0.19400000000000001</v>
      </c>
      <c r="N140" s="14">
        <v>4</v>
      </c>
      <c r="O140" s="14">
        <v>13</v>
      </c>
      <c r="P140" s="14">
        <v>17</v>
      </c>
    </row>
    <row r="141" spans="1:16" x14ac:dyDescent="0.3">
      <c r="A141" s="15">
        <v>140</v>
      </c>
      <c r="B141" s="16">
        <v>40550</v>
      </c>
      <c r="C141" s="15">
        <v>1</v>
      </c>
      <c r="D141" s="15">
        <v>0</v>
      </c>
      <c r="E141" s="15">
        <v>1</v>
      </c>
      <c r="F141" s="15">
        <v>1</v>
      </c>
      <c r="G141" s="17" t="b">
        <v>0</v>
      </c>
      <c r="H141" s="15">
        <v>5</v>
      </c>
      <c r="I141" s="15">
        <v>2</v>
      </c>
      <c r="J141" s="15">
        <v>0.2</v>
      </c>
      <c r="K141" s="14">
        <v>0.19700000000000001</v>
      </c>
      <c r="L141" s="14">
        <v>0.69</v>
      </c>
      <c r="M141" s="14">
        <v>0.22389999999999999</v>
      </c>
      <c r="N141" s="14">
        <v>2</v>
      </c>
      <c r="O141" s="14">
        <v>5</v>
      </c>
      <c r="P141" s="14">
        <v>7</v>
      </c>
    </row>
    <row r="142" spans="1:16" x14ac:dyDescent="0.3">
      <c r="A142" s="15">
        <v>141</v>
      </c>
      <c r="B142" s="16">
        <v>40550</v>
      </c>
      <c r="C142" s="15">
        <v>1</v>
      </c>
      <c r="D142" s="15">
        <v>0</v>
      </c>
      <c r="E142" s="15">
        <v>1</v>
      </c>
      <c r="F142" s="15">
        <v>2</v>
      </c>
      <c r="G142" s="17" t="b">
        <v>0</v>
      </c>
      <c r="H142" s="15">
        <v>5</v>
      </c>
      <c r="I142" s="15">
        <v>2</v>
      </c>
      <c r="J142" s="15">
        <v>0.2</v>
      </c>
      <c r="K142" s="14">
        <v>0.19700000000000001</v>
      </c>
      <c r="L142" s="14">
        <v>0.69</v>
      </c>
      <c r="M142" s="14">
        <v>0.22389999999999999</v>
      </c>
      <c r="N142" s="14">
        <v>0</v>
      </c>
      <c r="O142" s="14">
        <v>1</v>
      </c>
      <c r="P142" s="14">
        <v>1</v>
      </c>
    </row>
    <row r="143" spans="1:16" x14ac:dyDescent="0.3">
      <c r="A143" s="15">
        <v>142</v>
      </c>
      <c r="B143" s="16">
        <v>40550</v>
      </c>
      <c r="C143" s="15">
        <v>1</v>
      </c>
      <c r="D143" s="15">
        <v>0</v>
      </c>
      <c r="E143" s="15">
        <v>1</v>
      </c>
      <c r="F143" s="15">
        <v>4</v>
      </c>
      <c r="G143" s="17" t="b">
        <v>0</v>
      </c>
      <c r="H143" s="15">
        <v>5</v>
      </c>
      <c r="I143" s="15">
        <v>2</v>
      </c>
      <c r="J143" s="15">
        <v>0.2</v>
      </c>
      <c r="K143" s="14">
        <v>0.21210000000000001</v>
      </c>
      <c r="L143" s="14">
        <v>0.69</v>
      </c>
      <c r="M143" s="14">
        <v>0.1343</v>
      </c>
      <c r="N143" s="14">
        <v>0</v>
      </c>
      <c r="O143" s="14">
        <v>1</v>
      </c>
      <c r="P143" s="14">
        <v>1</v>
      </c>
    </row>
    <row r="144" spans="1:16" x14ac:dyDescent="0.3">
      <c r="A144" s="15">
        <v>143</v>
      </c>
      <c r="B144" s="16">
        <v>40550</v>
      </c>
      <c r="C144" s="15">
        <v>1</v>
      </c>
      <c r="D144" s="15">
        <v>0</v>
      </c>
      <c r="E144" s="15">
        <v>1</v>
      </c>
      <c r="F144" s="15">
        <v>5</v>
      </c>
      <c r="G144" s="17" t="b">
        <v>0</v>
      </c>
      <c r="H144" s="15">
        <v>5</v>
      </c>
      <c r="I144" s="15">
        <v>3</v>
      </c>
      <c r="J144" s="15">
        <v>0.22</v>
      </c>
      <c r="K144" s="14">
        <v>0.2727</v>
      </c>
      <c r="L144" s="14">
        <v>0.55000000000000004</v>
      </c>
      <c r="M144" s="14">
        <v>0</v>
      </c>
      <c r="N144" s="14">
        <v>0</v>
      </c>
      <c r="O144" s="14">
        <v>5</v>
      </c>
      <c r="P144" s="14">
        <v>5</v>
      </c>
    </row>
    <row r="145" spans="1:16" x14ac:dyDescent="0.3">
      <c r="A145" s="15">
        <v>144</v>
      </c>
      <c r="B145" s="16">
        <v>40550</v>
      </c>
      <c r="C145" s="15">
        <v>1</v>
      </c>
      <c r="D145" s="15">
        <v>0</v>
      </c>
      <c r="E145" s="15">
        <v>1</v>
      </c>
      <c r="F145" s="15">
        <v>6</v>
      </c>
      <c r="G145" s="17" t="b">
        <v>0</v>
      </c>
      <c r="H145" s="15">
        <v>5</v>
      </c>
      <c r="I145" s="15">
        <v>2</v>
      </c>
      <c r="J145" s="15">
        <v>0.2</v>
      </c>
      <c r="K145" s="14">
        <v>0.2576</v>
      </c>
      <c r="L145" s="14">
        <v>0.69</v>
      </c>
      <c r="M145" s="14">
        <v>0</v>
      </c>
      <c r="N145" s="14">
        <v>8</v>
      </c>
      <c r="O145" s="14">
        <v>26</v>
      </c>
      <c r="P145" s="14">
        <v>34</v>
      </c>
    </row>
    <row r="146" spans="1:16" x14ac:dyDescent="0.3">
      <c r="A146" s="15">
        <v>145</v>
      </c>
      <c r="B146" s="16">
        <v>40550</v>
      </c>
      <c r="C146" s="15">
        <v>1</v>
      </c>
      <c r="D146" s="15">
        <v>0</v>
      </c>
      <c r="E146" s="15">
        <v>1</v>
      </c>
      <c r="F146" s="15">
        <v>7</v>
      </c>
      <c r="G146" s="17" t="b">
        <v>0</v>
      </c>
      <c r="H146" s="15">
        <v>5</v>
      </c>
      <c r="I146" s="15">
        <v>1</v>
      </c>
      <c r="J146" s="15">
        <v>0.2</v>
      </c>
      <c r="K146" s="14">
        <v>0.21210000000000001</v>
      </c>
      <c r="L146" s="14">
        <v>0.69</v>
      </c>
      <c r="M146" s="14">
        <v>0.1343</v>
      </c>
      <c r="N146" s="14">
        <v>8</v>
      </c>
      <c r="O146" s="14">
        <v>76</v>
      </c>
      <c r="P146" s="14">
        <v>84</v>
      </c>
    </row>
    <row r="147" spans="1:16" x14ac:dyDescent="0.3">
      <c r="A147" s="15">
        <v>146</v>
      </c>
      <c r="B147" s="16">
        <v>40550</v>
      </c>
      <c r="C147" s="15">
        <v>1</v>
      </c>
      <c r="D147" s="15">
        <v>0</v>
      </c>
      <c r="E147" s="15">
        <v>1</v>
      </c>
      <c r="F147" s="15">
        <v>8</v>
      </c>
      <c r="G147" s="17" t="b">
        <v>0</v>
      </c>
      <c r="H147" s="15">
        <v>5</v>
      </c>
      <c r="I147" s="15">
        <v>1</v>
      </c>
      <c r="J147" s="15">
        <v>0.2</v>
      </c>
      <c r="K147" s="14">
        <v>0.19700000000000001</v>
      </c>
      <c r="L147" s="14">
        <v>0.51</v>
      </c>
      <c r="M147" s="14">
        <v>0.25369999999999998</v>
      </c>
      <c r="N147" s="14">
        <v>20</v>
      </c>
      <c r="O147" s="14">
        <v>190</v>
      </c>
      <c r="P147" s="14">
        <v>210</v>
      </c>
    </row>
    <row r="148" spans="1:16" x14ac:dyDescent="0.3">
      <c r="A148" s="15">
        <v>147</v>
      </c>
      <c r="B148" s="16">
        <v>40550</v>
      </c>
      <c r="C148" s="15">
        <v>1</v>
      </c>
      <c r="D148" s="15">
        <v>0</v>
      </c>
      <c r="E148" s="15">
        <v>1</v>
      </c>
      <c r="F148" s="15">
        <v>9</v>
      </c>
      <c r="G148" s="17" t="b">
        <v>0</v>
      </c>
      <c r="H148" s="15">
        <v>5</v>
      </c>
      <c r="I148" s="15">
        <v>1</v>
      </c>
      <c r="J148" s="15">
        <v>0.2</v>
      </c>
      <c r="K148" s="14">
        <v>0.18179999999999999</v>
      </c>
      <c r="L148" s="14">
        <v>0.47</v>
      </c>
      <c r="M148" s="14">
        <v>0.29849999999999999</v>
      </c>
      <c r="N148" s="14">
        <v>9</v>
      </c>
      <c r="O148" s="14">
        <v>125</v>
      </c>
      <c r="P148" s="14">
        <v>134</v>
      </c>
    </row>
    <row r="149" spans="1:16" x14ac:dyDescent="0.3">
      <c r="A149" s="15">
        <v>148</v>
      </c>
      <c r="B149" s="16">
        <v>40550</v>
      </c>
      <c r="C149" s="15">
        <v>1</v>
      </c>
      <c r="D149" s="15">
        <v>0</v>
      </c>
      <c r="E149" s="15">
        <v>1</v>
      </c>
      <c r="F149" s="15">
        <v>10</v>
      </c>
      <c r="G149" s="17" t="b">
        <v>0</v>
      </c>
      <c r="H149" s="15">
        <v>5</v>
      </c>
      <c r="I149" s="15">
        <v>1</v>
      </c>
      <c r="J149" s="15">
        <v>0.22</v>
      </c>
      <c r="K149" s="14">
        <v>0.19700000000000001</v>
      </c>
      <c r="L149" s="14">
        <v>0.37</v>
      </c>
      <c r="M149" s="14">
        <v>0.32840000000000003</v>
      </c>
      <c r="N149" s="14">
        <v>16</v>
      </c>
      <c r="O149" s="14">
        <v>47</v>
      </c>
      <c r="P149" s="14">
        <v>63</v>
      </c>
    </row>
    <row r="150" spans="1:16" x14ac:dyDescent="0.3">
      <c r="A150" s="15">
        <v>149</v>
      </c>
      <c r="B150" s="16">
        <v>40550</v>
      </c>
      <c r="C150" s="15">
        <v>1</v>
      </c>
      <c r="D150" s="15">
        <v>0</v>
      </c>
      <c r="E150" s="15">
        <v>1</v>
      </c>
      <c r="F150" s="15">
        <v>11</v>
      </c>
      <c r="G150" s="17" t="b">
        <v>0</v>
      </c>
      <c r="H150" s="15">
        <v>5</v>
      </c>
      <c r="I150" s="15">
        <v>2</v>
      </c>
      <c r="J150" s="15">
        <v>0.2</v>
      </c>
      <c r="K150" s="14">
        <v>0.19700000000000001</v>
      </c>
      <c r="L150" s="14">
        <v>0.4</v>
      </c>
      <c r="M150" s="14">
        <v>0.22389999999999999</v>
      </c>
      <c r="N150" s="14">
        <v>19</v>
      </c>
      <c r="O150" s="14">
        <v>48</v>
      </c>
      <c r="P150" s="14">
        <v>67</v>
      </c>
    </row>
    <row r="151" spans="1:16" x14ac:dyDescent="0.3">
      <c r="A151" s="15">
        <v>150</v>
      </c>
      <c r="B151" s="16">
        <v>40550</v>
      </c>
      <c r="C151" s="15">
        <v>1</v>
      </c>
      <c r="D151" s="15">
        <v>0</v>
      </c>
      <c r="E151" s="15">
        <v>1</v>
      </c>
      <c r="F151" s="15">
        <v>12</v>
      </c>
      <c r="G151" s="17" t="b">
        <v>0</v>
      </c>
      <c r="H151" s="15">
        <v>5</v>
      </c>
      <c r="I151" s="15">
        <v>2</v>
      </c>
      <c r="J151" s="15">
        <v>0.2</v>
      </c>
      <c r="K151" s="14">
        <v>0.19700000000000001</v>
      </c>
      <c r="L151" s="14">
        <v>0.37</v>
      </c>
      <c r="M151" s="14">
        <v>0.25369999999999998</v>
      </c>
      <c r="N151" s="14">
        <v>9</v>
      </c>
      <c r="O151" s="14">
        <v>50</v>
      </c>
      <c r="P151" s="14">
        <v>59</v>
      </c>
    </row>
    <row r="152" spans="1:16" x14ac:dyDescent="0.3">
      <c r="A152" s="15">
        <v>151</v>
      </c>
      <c r="B152" s="16">
        <v>40550</v>
      </c>
      <c r="C152" s="15">
        <v>1</v>
      </c>
      <c r="D152" s="15">
        <v>0</v>
      </c>
      <c r="E152" s="15">
        <v>1</v>
      </c>
      <c r="F152" s="15">
        <v>13</v>
      </c>
      <c r="G152" s="17" t="b">
        <v>0</v>
      </c>
      <c r="H152" s="15">
        <v>5</v>
      </c>
      <c r="I152" s="15">
        <v>2</v>
      </c>
      <c r="J152" s="15">
        <v>0.2</v>
      </c>
      <c r="K152" s="14">
        <v>0.18179999999999999</v>
      </c>
      <c r="L152" s="14">
        <v>0.37</v>
      </c>
      <c r="M152" s="14">
        <v>0.28360000000000002</v>
      </c>
      <c r="N152" s="14">
        <v>9</v>
      </c>
      <c r="O152" s="14">
        <v>64</v>
      </c>
      <c r="P152" s="14">
        <v>73</v>
      </c>
    </row>
    <row r="153" spans="1:16" x14ac:dyDescent="0.3">
      <c r="A153" s="15">
        <v>152</v>
      </c>
      <c r="B153" s="16">
        <v>40550</v>
      </c>
      <c r="C153" s="15">
        <v>1</v>
      </c>
      <c r="D153" s="15">
        <v>0</v>
      </c>
      <c r="E153" s="15">
        <v>1</v>
      </c>
      <c r="F153" s="15">
        <v>14</v>
      </c>
      <c r="G153" s="17" t="b">
        <v>0</v>
      </c>
      <c r="H153" s="15">
        <v>5</v>
      </c>
      <c r="I153" s="15">
        <v>2</v>
      </c>
      <c r="J153" s="15">
        <v>0.2</v>
      </c>
      <c r="K153" s="14">
        <v>0.19700000000000001</v>
      </c>
      <c r="L153" s="14">
        <v>0.4</v>
      </c>
      <c r="M153" s="14">
        <v>0.25369999999999998</v>
      </c>
      <c r="N153" s="14">
        <v>7</v>
      </c>
      <c r="O153" s="14">
        <v>43</v>
      </c>
      <c r="P153" s="14">
        <v>50</v>
      </c>
    </row>
    <row r="154" spans="1:16" x14ac:dyDescent="0.3">
      <c r="A154" s="15">
        <v>153</v>
      </c>
      <c r="B154" s="16">
        <v>40550</v>
      </c>
      <c r="C154" s="15">
        <v>1</v>
      </c>
      <c r="D154" s="15">
        <v>0</v>
      </c>
      <c r="E154" s="15">
        <v>1</v>
      </c>
      <c r="F154" s="15">
        <v>15</v>
      </c>
      <c r="G154" s="17" t="b">
        <v>0</v>
      </c>
      <c r="H154" s="15">
        <v>5</v>
      </c>
      <c r="I154" s="15">
        <v>2</v>
      </c>
      <c r="J154" s="15">
        <v>0.2</v>
      </c>
      <c r="K154" s="14">
        <v>0.21210000000000001</v>
      </c>
      <c r="L154" s="14">
        <v>0.37</v>
      </c>
      <c r="M154" s="14">
        <v>0.16420000000000001</v>
      </c>
      <c r="N154" s="14">
        <v>9</v>
      </c>
      <c r="O154" s="14">
        <v>63</v>
      </c>
      <c r="P154" s="14">
        <v>72</v>
      </c>
    </row>
    <row r="155" spans="1:16" x14ac:dyDescent="0.3">
      <c r="A155" s="15">
        <v>154</v>
      </c>
      <c r="B155" s="16">
        <v>40550</v>
      </c>
      <c r="C155" s="15">
        <v>1</v>
      </c>
      <c r="D155" s="15">
        <v>0</v>
      </c>
      <c r="E155" s="15">
        <v>1</v>
      </c>
      <c r="F155" s="15">
        <v>16</v>
      </c>
      <c r="G155" s="17" t="b">
        <v>0</v>
      </c>
      <c r="H155" s="15">
        <v>5</v>
      </c>
      <c r="I155" s="15">
        <v>2</v>
      </c>
      <c r="J155" s="15">
        <v>0.2</v>
      </c>
      <c r="K155" s="14">
        <v>0.21210000000000001</v>
      </c>
      <c r="L155" s="14">
        <v>0.37</v>
      </c>
      <c r="M155" s="14">
        <v>0.16420000000000001</v>
      </c>
      <c r="N155" s="14">
        <v>5</v>
      </c>
      <c r="O155" s="14">
        <v>82</v>
      </c>
      <c r="P155" s="14">
        <v>87</v>
      </c>
    </row>
    <row r="156" spans="1:16" x14ac:dyDescent="0.3">
      <c r="A156" s="15">
        <v>155</v>
      </c>
      <c r="B156" s="16">
        <v>40550</v>
      </c>
      <c r="C156" s="15">
        <v>1</v>
      </c>
      <c r="D156" s="15">
        <v>0</v>
      </c>
      <c r="E156" s="15">
        <v>1</v>
      </c>
      <c r="F156" s="15">
        <v>17</v>
      </c>
      <c r="G156" s="17" t="b">
        <v>0</v>
      </c>
      <c r="H156" s="15">
        <v>5</v>
      </c>
      <c r="I156" s="15">
        <v>2</v>
      </c>
      <c r="J156" s="15">
        <v>0.2</v>
      </c>
      <c r="K156" s="14">
        <v>0.2576</v>
      </c>
      <c r="L156" s="14">
        <v>0.37</v>
      </c>
      <c r="M156" s="14">
        <v>0</v>
      </c>
      <c r="N156" s="14">
        <v>9</v>
      </c>
      <c r="O156" s="14">
        <v>178</v>
      </c>
      <c r="P156" s="14">
        <v>187</v>
      </c>
    </row>
    <row r="157" spans="1:16" x14ac:dyDescent="0.3">
      <c r="A157" s="15">
        <v>156</v>
      </c>
      <c r="B157" s="16">
        <v>40550</v>
      </c>
      <c r="C157" s="15">
        <v>1</v>
      </c>
      <c r="D157" s="15">
        <v>0</v>
      </c>
      <c r="E157" s="15">
        <v>1</v>
      </c>
      <c r="F157" s="15">
        <v>18</v>
      </c>
      <c r="G157" s="17" t="b">
        <v>0</v>
      </c>
      <c r="H157" s="15">
        <v>5</v>
      </c>
      <c r="I157" s="15">
        <v>1</v>
      </c>
      <c r="J157" s="15">
        <v>0.2</v>
      </c>
      <c r="K157" s="14">
        <v>0.2273</v>
      </c>
      <c r="L157" s="14">
        <v>0.4</v>
      </c>
      <c r="M157" s="14">
        <v>8.9599999999999999E-2</v>
      </c>
      <c r="N157" s="14">
        <v>7</v>
      </c>
      <c r="O157" s="14">
        <v>116</v>
      </c>
      <c r="P157" s="14">
        <v>123</v>
      </c>
    </row>
    <row r="158" spans="1:16" x14ac:dyDescent="0.3">
      <c r="A158" s="15">
        <v>157</v>
      </c>
      <c r="B158" s="16">
        <v>40550</v>
      </c>
      <c r="C158" s="15">
        <v>1</v>
      </c>
      <c r="D158" s="15">
        <v>0</v>
      </c>
      <c r="E158" s="15">
        <v>1</v>
      </c>
      <c r="F158" s="15">
        <v>19</v>
      </c>
      <c r="G158" s="17" t="b">
        <v>0</v>
      </c>
      <c r="H158" s="15">
        <v>5</v>
      </c>
      <c r="I158" s="15">
        <v>1</v>
      </c>
      <c r="J158" s="15">
        <v>0.16</v>
      </c>
      <c r="K158" s="14">
        <v>0.19700000000000001</v>
      </c>
      <c r="L158" s="14">
        <v>0.55000000000000004</v>
      </c>
      <c r="M158" s="14">
        <v>8.9599999999999999E-2</v>
      </c>
      <c r="N158" s="14">
        <v>3</v>
      </c>
      <c r="O158" s="14">
        <v>92</v>
      </c>
      <c r="P158" s="14">
        <v>95</v>
      </c>
    </row>
    <row r="159" spans="1:16" x14ac:dyDescent="0.3">
      <c r="A159" s="15">
        <v>158</v>
      </c>
      <c r="B159" s="16">
        <v>40550</v>
      </c>
      <c r="C159" s="15">
        <v>1</v>
      </c>
      <c r="D159" s="15">
        <v>0</v>
      </c>
      <c r="E159" s="15">
        <v>1</v>
      </c>
      <c r="F159" s="15">
        <v>20</v>
      </c>
      <c r="G159" s="17" t="b">
        <v>0</v>
      </c>
      <c r="H159" s="15">
        <v>5</v>
      </c>
      <c r="I159" s="15">
        <v>1</v>
      </c>
      <c r="J159" s="15">
        <v>0.18</v>
      </c>
      <c r="K159" s="14">
        <v>0.21210000000000001</v>
      </c>
      <c r="L159" s="14">
        <v>0.47</v>
      </c>
      <c r="M159" s="14">
        <v>0.1045</v>
      </c>
      <c r="N159" s="14">
        <v>1</v>
      </c>
      <c r="O159" s="14">
        <v>50</v>
      </c>
      <c r="P159" s="14">
        <v>51</v>
      </c>
    </row>
    <row r="160" spans="1:16" x14ac:dyDescent="0.3">
      <c r="A160" s="15">
        <v>159</v>
      </c>
      <c r="B160" s="16">
        <v>40550</v>
      </c>
      <c r="C160" s="15">
        <v>1</v>
      </c>
      <c r="D160" s="15">
        <v>0</v>
      </c>
      <c r="E160" s="15">
        <v>1</v>
      </c>
      <c r="F160" s="15">
        <v>21</v>
      </c>
      <c r="G160" s="17" t="b">
        <v>0</v>
      </c>
      <c r="H160" s="15">
        <v>5</v>
      </c>
      <c r="I160" s="15">
        <v>1</v>
      </c>
      <c r="J160" s="15">
        <v>0.18</v>
      </c>
      <c r="K160" s="14">
        <v>0.19700000000000001</v>
      </c>
      <c r="L160" s="14">
        <v>0.47</v>
      </c>
      <c r="M160" s="14">
        <v>0.1343</v>
      </c>
      <c r="N160" s="14">
        <v>0</v>
      </c>
      <c r="O160" s="14">
        <v>39</v>
      </c>
      <c r="P160" s="14">
        <v>39</v>
      </c>
    </row>
    <row r="161" spans="1:16" x14ac:dyDescent="0.3">
      <c r="A161" s="15">
        <v>160</v>
      </c>
      <c r="B161" s="16">
        <v>40550</v>
      </c>
      <c r="C161" s="15">
        <v>1</v>
      </c>
      <c r="D161" s="15">
        <v>0</v>
      </c>
      <c r="E161" s="15">
        <v>1</v>
      </c>
      <c r="F161" s="15">
        <v>22</v>
      </c>
      <c r="G161" s="17" t="b">
        <v>0</v>
      </c>
      <c r="H161" s="15">
        <v>5</v>
      </c>
      <c r="I161" s="15">
        <v>2</v>
      </c>
      <c r="J161" s="15">
        <v>0.18</v>
      </c>
      <c r="K161" s="14">
        <v>0.19700000000000001</v>
      </c>
      <c r="L161" s="14">
        <v>0.43</v>
      </c>
      <c r="M161" s="14">
        <v>0.16420000000000001</v>
      </c>
      <c r="N161" s="14">
        <v>2</v>
      </c>
      <c r="O161" s="14">
        <v>34</v>
      </c>
      <c r="P161" s="14">
        <v>36</v>
      </c>
    </row>
    <row r="162" spans="1:16" x14ac:dyDescent="0.3">
      <c r="A162" s="15">
        <v>161</v>
      </c>
      <c r="B162" s="16">
        <v>40550</v>
      </c>
      <c r="C162" s="15">
        <v>1</v>
      </c>
      <c r="D162" s="15">
        <v>0</v>
      </c>
      <c r="E162" s="15">
        <v>1</v>
      </c>
      <c r="F162" s="15">
        <v>23</v>
      </c>
      <c r="G162" s="17" t="b">
        <v>0</v>
      </c>
      <c r="H162" s="15">
        <v>5</v>
      </c>
      <c r="I162" s="15">
        <v>2</v>
      </c>
      <c r="J162" s="15">
        <v>0.18</v>
      </c>
      <c r="K162" s="14">
        <v>0.19700000000000001</v>
      </c>
      <c r="L162" s="14">
        <v>0.51</v>
      </c>
      <c r="M162" s="14">
        <v>0.16420000000000001</v>
      </c>
      <c r="N162" s="14">
        <v>1</v>
      </c>
      <c r="O162" s="14">
        <v>14</v>
      </c>
      <c r="P162" s="14">
        <v>15</v>
      </c>
    </row>
    <row r="163" spans="1:16" x14ac:dyDescent="0.3">
      <c r="A163" s="15">
        <v>162</v>
      </c>
      <c r="B163" s="16">
        <v>40551</v>
      </c>
      <c r="C163" s="15">
        <v>1</v>
      </c>
      <c r="D163" s="15">
        <v>0</v>
      </c>
      <c r="E163" s="15">
        <v>1</v>
      </c>
      <c r="F163" s="15">
        <v>0</v>
      </c>
      <c r="G163" s="17" t="b">
        <v>0</v>
      </c>
      <c r="H163" s="15">
        <v>6</v>
      </c>
      <c r="I163" s="15">
        <v>2</v>
      </c>
      <c r="J163" s="15">
        <v>0.18</v>
      </c>
      <c r="K163" s="14">
        <v>0.19700000000000001</v>
      </c>
      <c r="L163" s="14">
        <v>0.51</v>
      </c>
      <c r="M163" s="14">
        <v>0.16420000000000001</v>
      </c>
      <c r="N163" s="14">
        <v>1</v>
      </c>
      <c r="O163" s="14">
        <v>24</v>
      </c>
      <c r="P163" s="14">
        <v>25</v>
      </c>
    </row>
    <row r="164" spans="1:16" x14ac:dyDescent="0.3">
      <c r="A164" s="15">
        <v>163</v>
      </c>
      <c r="B164" s="16">
        <v>40551</v>
      </c>
      <c r="C164" s="15">
        <v>1</v>
      </c>
      <c r="D164" s="15">
        <v>0</v>
      </c>
      <c r="E164" s="15">
        <v>1</v>
      </c>
      <c r="F164" s="15">
        <v>1</v>
      </c>
      <c r="G164" s="17" t="b">
        <v>0</v>
      </c>
      <c r="H164" s="15">
        <v>6</v>
      </c>
      <c r="I164" s="15">
        <v>2</v>
      </c>
      <c r="J164" s="15">
        <v>0.18</v>
      </c>
      <c r="K164" s="14">
        <v>0.21210000000000001</v>
      </c>
      <c r="L164" s="14">
        <v>0.55000000000000004</v>
      </c>
      <c r="M164" s="14">
        <v>8.9599999999999999E-2</v>
      </c>
      <c r="N164" s="14">
        <v>1</v>
      </c>
      <c r="O164" s="14">
        <v>15</v>
      </c>
      <c r="P164" s="14">
        <v>16</v>
      </c>
    </row>
    <row r="165" spans="1:16" x14ac:dyDescent="0.3">
      <c r="A165" s="15">
        <v>164</v>
      </c>
      <c r="B165" s="16">
        <v>40551</v>
      </c>
      <c r="C165" s="15">
        <v>1</v>
      </c>
      <c r="D165" s="15">
        <v>0</v>
      </c>
      <c r="E165" s="15">
        <v>1</v>
      </c>
      <c r="F165" s="15">
        <v>2</v>
      </c>
      <c r="G165" s="17" t="b">
        <v>0</v>
      </c>
      <c r="H165" s="15">
        <v>6</v>
      </c>
      <c r="I165" s="15">
        <v>2</v>
      </c>
      <c r="J165" s="15">
        <v>0.18</v>
      </c>
      <c r="K165" s="14">
        <v>0.2424</v>
      </c>
      <c r="L165" s="14">
        <v>0.55000000000000004</v>
      </c>
      <c r="M165" s="14">
        <v>0</v>
      </c>
      <c r="N165" s="14">
        <v>3</v>
      </c>
      <c r="O165" s="14">
        <v>13</v>
      </c>
      <c r="P165" s="14">
        <v>16</v>
      </c>
    </row>
    <row r="166" spans="1:16" x14ac:dyDescent="0.3">
      <c r="A166" s="15">
        <v>165</v>
      </c>
      <c r="B166" s="16">
        <v>40551</v>
      </c>
      <c r="C166" s="15">
        <v>1</v>
      </c>
      <c r="D166" s="15">
        <v>0</v>
      </c>
      <c r="E166" s="15">
        <v>1</v>
      </c>
      <c r="F166" s="15">
        <v>3</v>
      </c>
      <c r="G166" s="17" t="b">
        <v>0</v>
      </c>
      <c r="H166" s="15">
        <v>6</v>
      </c>
      <c r="I166" s="15">
        <v>3</v>
      </c>
      <c r="J166" s="15">
        <v>0.18</v>
      </c>
      <c r="K166" s="14">
        <v>0.19700000000000001</v>
      </c>
      <c r="L166" s="14">
        <v>0.55000000000000004</v>
      </c>
      <c r="M166" s="14">
        <v>0.16420000000000001</v>
      </c>
      <c r="N166" s="14">
        <v>0</v>
      </c>
      <c r="O166" s="14">
        <v>7</v>
      </c>
      <c r="P166" s="14">
        <v>7</v>
      </c>
    </row>
    <row r="167" spans="1:16" x14ac:dyDescent="0.3">
      <c r="A167" s="15">
        <v>166</v>
      </c>
      <c r="B167" s="16">
        <v>40551</v>
      </c>
      <c r="C167" s="15">
        <v>1</v>
      </c>
      <c r="D167" s="15">
        <v>0</v>
      </c>
      <c r="E167" s="15">
        <v>1</v>
      </c>
      <c r="F167" s="15">
        <v>4</v>
      </c>
      <c r="G167" s="17" t="b">
        <v>0</v>
      </c>
      <c r="H167" s="15">
        <v>6</v>
      </c>
      <c r="I167" s="15">
        <v>3</v>
      </c>
      <c r="J167" s="15">
        <v>0.18</v>
      </c>
      <c r="K167" s="14">
        <v>0.19700000000000001</v>
      </c>
      <c r="L167" s="14">
        <v>0.55000000000000004</v>
      </c>
      <c r="M167" s="14">
        <v>0.16420000000000001</v>
      </c>
      <c r="N167" s="14">
        <v>0</v>
      </c>
      <c r="O167" s="14">
        <v>1</v>
      </c>
      <c r="P167" s="14">
        <v>1</v>
      </c>
    </row>
    <row r="168" spans="1:16" x14ac:dyDescent="0.3">
      <c r="A168" s="15">
        <v>167</v>
      </c>
      <c r="B168" s="16">
        <v>40551</v>
      </c>
      <c r="C168" s="15">
        <v>1</v>
      </c>
      <c r="D168" s="15">
        <v>0</v>
      </c>
      <c r="E168" s="15">
        <v>1</v>
      </c>
      <c r="F168" s="15">
        <v>5</v>
      </c>
      <c r="G168" s="17" t="b">
        <v>0</v>
      </c>
      <c r="H168" s="15">
        <v>6</v>
      </c>
      <c r="I168" s="15">
        <v>2</v>
      </c>
      <c r="J168" s="15">
        <v>0.16</v>
      </c>
      <c r="K168" s="14">
        <v>0.16669999999999999</v>
      </c>
      <c r="L168" s="14">
        <v>0.74</v>
      </c>
      <c r="M168" s="14">
        <v>0.16420000000000001</v>
      </c>
      <c r="N168" s="14">
        <v>0</v>
      </c>
      <c r="O168" s="14">
        <v>5</v>
      </c>
      <c r="P168" s="14">
        <v>5</v>
      </c>
    </row>
    <row r="169" spans="1:16" x14ac:dyDescent="0.3">
      <c r="A169" s="15">
        <v>168</v>
      </c>
      <c r="B169" s="16">
        <v>40551</v>
      </c>
      <c r="C169" s="15">
        <v>1</v>
      </c>
      <c r="D169" s="15">
        <v>0</v>
      </c>
      <c r="E169" s="15">
        <v>1</v>
      </c>
      <c r="F169" s="15">
        <v>6</v>
      </c>
      <c r="G169" s="17" t="b">
        <v>0</v>
      </c>
      <c r="H169" s="15">
        <v>6</v>
      </c>
      <c r="I169" s="15">
        <v>2</v>
      </c>
      <c r="J169" s="15">
        <v>0.16</v>
      </c>
      <c r="K169" s="14">
        <v>0.16669999999999999</v>
      </c>
      <c r="L169" s="14">
        <v>0.74</v>
      </c>
      <c r="M169" s="14">
        <v>0.16420000000000001</v>
      </c>
      <c r="N169" s="14">
        <v>0</v>
      </c>
      <c r="O169" s="14">
        <v>2</v>
      </c>
      <c r="P169" s="14">
        <v>2</v>
      </c>
    </row>
    <row r="170" spans="1:16" x14ac:dyDescent="0.3">
      <c r="A170" s="15">
        <v>169</v>
      </c>
      <c r="B170" s="16">
        <v>40551</v>
      </c>
      <c r="C170" s="15">
        <v>1</v>
      </c>
      <c r="D170" s="15">
        <v>0</v>
      </c>
      <c r="E170" s="15">
        <v>1</v>
      </c>
      <c r="F170" s="15">
        <v>7</v>
      </c>
      <c r="G170" s="17" t="b">
        <v>0</v>
      </c>
      <c r="H170" s="15">
        <v>6</v>
      </c>
      <c r="I170" s="15">
        <v>2</v>
      </c>
      <c r="J170" s="15">
        <v>0.16</v>
      </c>
      <c r="K170" s="14">
        <v>0.18179999999999999</v>
      </c>
      <c r="L170" s="14">
        <v>0.74</v>
      </c>
      <c r="M170" s="14">
        <v>0.1045</v>
      </c>
      <c r="N170" s="14">
        <v>1</v>
      </c>
      <c r="O170" s="14">
        <v>8</v>
      </c>
      <c r="P170" s="14">
        <v>9</v>
      </c>
    </row>
    <row r="171" spans="1:16" x14ac:dyDescent="0.3">
      <c r="A171" s="15">
        <v>170</v>
      </c>
      <c r="B171" s="16">
        <v>40551</v>
      </c>
      <c r="C171" s="15">
        <v>1</v>
      </c>
      <c r="D171" s="15">
        <v>0</v>
      </c>
      <c r="E171" s="15">
        <v>1</v>
      </c>
      <c r="F171" s="15">
        <v>8</v>
      </c>
      <c r="G171" s="17" t="b">
        <v>0</v>
      </c>
      <c r="H171" s="15">
        <v>6</v>
      </c>
      <c r="I171" s="15">
        <v>3</v>
      </c>
      <c r="J171" s="15">
        <v>0.16</v>
      </c>
      <c r="K171" s="14">
        <v>0.18179999999999999</v>
      </c>
      <c r="L171" s="14">
        <v>0.93</v>
      </c>
      <c r="M171" s="14">
        <v>0.1045</v>
      </c>
      <c r="N171" s="14">
        <v>0</v>
      </c>
      <c r="O171" s="14">
        <v>15</v>
      </c>
      <c r="P171" s="14">
        <v>15</v>
      </c>
    </row>
    <row r="172" spans="1:16" x14ac:dyDescent="0.3">
      <c r="A172" s="15">
        <v>171</v>
      </c>
      <c r="B172" s="16">
        <v>40551</v>
      </c>
      <c r="C172" s="15">
        <v>1</v>
      </c>
      <c r="D172" s="15">
        <v>0</v>
      </c>
      <c r="E172" s="15">
        <v>1</v>
      </c>
      <c r="F172" s="15">
        <v>9</v>
      </c>
      <c r="G172" s="17" t="b">
        <v>0</v>
      </c>
      <c r="H172" s="15">
        <v>6</v>
      </c>
      <c r="I172" s="15">
        <v>3</v>
      </c>
      <c r="J172" s="15">
        <v>0.16</v>
      </c>
      <c r="K172" s="14">
        <v>0.18179999999999999</v>
      </c>
      <c r="L172" s="14">
        <v>0.93</v>
      </c>
      <c r="M172" s="14">
        <v>0.1045</v>
      </c>
      <c r="N172" s="14">
        <v>0</v>
      </c>
      <c r="O172" s="14">
        <v>20</v>
      </c>
      <c r="P172" s="14">
        <v>20</v>
      </c>
    </row>
    <row r="173" spans="1:16" x14ac:dyDescent="0.3">
      <c r="A173" s="15">
        <v>172</v>
      </c>
      <c r="B173" s="16">
        <v>40551</v>
      </c>
      <c r="C173" s="15">
        <v>1</v>
      </c>
      <c r="D173" s="15">
        <v>0</v>
      </c>
      <c r="E173" s="15">
        <v>1</v>
      </c>
      <c r="F173" s="15">
        <v>10</v>
      </c>
      <c r="G173" s="17" t="b">
        <v>0</v>
      </c>
      <c r="H173" s="15">
        <v>6</v>
      </c>
      <c r="I173" s="15">
        <v>2</v>
      </c>
      <c r="J173" s="15">
        <v>0.18</v>
      </c>
      <c r="K173" s="14">
        <v>0.19700000000000001</v>
      </c>
      <c r="L173" s="14">
        <v>0.8</v>
      </c>
      <c r="M173" s="14">
        <v>0.16420000000000001</v>
      </c>
      <c r="N173" s="14">
        <v>5</v>
      </c>
      <c r="O173" s="14">
        <v>56</v>
      </c>
      <c r="P173" s="14">
        <v>61</v>
      </c>
    </row>
    <row r="174" spans="1:16" x14ac:dyDescent="0.3">
      <c r="A174" s="15">
        <v>173</v>
      </c>
      <c r="B174" s="16">
        <v>40551</v>
      </c>
      <c r="C174" s="15">
        <v>1</v>
      </c>
      <c r="D174" s="15">
        <v>0</v>
      </c>
      <c r="E174" s="15">
        <v>1</v>
      </c>
      <c r="F174" s="15">
        <v>11</v>
      </c>
      <c r="G174" s="17" t="b">
        <v>0</v>
      </c>
      <c r="H174" s="15">
        <v>6</v>
      </c>
      <c r="I174" s="15">
        <v>2</v>
      </c>
      <c r="J174" s="15">
        <v>0.2</v>
      </c>
      <c r="K174" s="14">
        <v>0.18179999999999999</v>
      </c>
      <c r="L174" s="14">
        <v>0.69</v>
      </c>
      <c r="M174" s="14">
        <v>0.3881</v>
      </c>
      <c r="N174" s="14">
        <v>2</v>
      </c>
      <c r="O174" s="14">
        <v>60</v>
      </c>
      <c r="P174" s="14">
        <v>62</v>
      </c>
    </row>
    <row r="175" spans="1:16" x14ac:dyDescent="0.3">
      <c r="A175" s="15">
        <v>174</v>
      </c>
      <c r="B175" s="16">
        <v>40551</v>
      </c>
      <c r="C175" s="15">
        <v>1</v>
      </c>
      <c r="D175" s="15">
        <v>0</v>
      </c>
      <c r="E175" s="15">
        <v>1</v>
      </c>
      <c r="F175" s="15">
        <v>12</v>
      </c>
      <c r="G175" s="17" t="b">
        <v>0</v>
      </c>
      <c r="H175" s="15">
        <v>6</v>
      </c>
      <c r="I175" s="15">
        <v>2</v>
      </c>
      <c r="J175" s="15">
        <v>0.2</v>
      </c>
      <c r="K175" s="14">
        <v>0.18179999999999999</v>
      </c>
      <c r="L175" s="14">
        <v>0.59</v>
      </c>
      <c r="M175" s="14">
        <v>0.35820000000000002</v>
      </c>
      <c r="N175" s="14">
        <v>8</v>
      </c>
      <c r="O175" s="14">
        <v>90</v>
      </c>
      <c r="P175" s="14">
        <v>98</v>
      </c>
    </row>
    <row r="176" spans="1:16" x14ac:dyDescent="0.3">
      <c r="A176" s="15">
        <v>175</v>
      </c>
      <c r="B176" s="16">
        <v>40551</v>
      </c>
      <c r="C176" s="15">
        <v>1</v>
      </c>
      <c r="D176" s="15">
        <v>0</v>
      </c>
      <c r="E176" s="15">
        <v>1</v>
      </c>
      <c r="F176" s="15">
        <v>13</v>
      </c>
      <c r="G176" s="17" t="b">
        <v>0</v>
      </c>
      <c r="H176" s="15">
        <v>6</v>
      </c>
      <c r="I176" s="15">
        <v>1</v>
      </c>
      <c r="J176" s="15">
        <v>0.2</v>
      </c>
      <c r="K176" s="14">
        <v>0.18179999999999999</v>
      </c>
      <c r="L176" s="14">
        <v>0.44</v>
      </c>
      <c r="M176" s="14">
        <v>0.32840000000000003</v>
      </c>
      <c r="N176" s="14">
        <v>7</v>
      </c>
      <c r="O176" s="14">
        <v>95</v>
      </c>
      <c r="P176" s="14">
        <v>102</v>
      </c>
    </row>
    <row r="177" spans="1:16" x14ac:dyDescent="0.3">
      <c r="A177" s="15">
        <v>176</v>
      </c>
      <c r="B177" s="16">
        <v>40551</v>
      </c>
      <c r="C177" s="15">
        <v>1</v>
      </c>
      <c r="D177" s="15">
        <v>0</v>
      </c>
      <c r="E177" s="15">
        <v>1</v>
      </c>
      <c r="F177" s="15">
        <v>14</v>
      </c>
      <c r="G177" s="17" t="b">
        <v>0</v>
      </c>
      <c r="H177" s="15">
        <v>6</v>
      </c>
      <c r="I177" s="15">
        <v>1</v>
      </c>
      <c r="J177" s="15">
        <v>0.2</v>
      </c>
      <c r="K177" s="14">
        <v>0.16669999999999999</v>
      </c>
      <c r="L177" s="14">
        <v>0.32</v>
      </c>
      <c r="M177" s="14">
        <v>0.49249999999999999</v>
      </c>
      <c r="N177" s="14">
        <v>12</v>
      </c>
      <c r="O177" s="14">
        <v>83</v>
      </c>
      <c r="P177" s="14">
        <v>95</v>
      </c>
    </row>
    <row r="178" spans="1:16" x14ac:dyDescent="0.3">
      <c r="A178" s="15">
        <v>177</v>
      </c>
      <c r="B178" s="16">
        <v>40551</v>
      </c>
      <c r="C178" s="15">
        <v>1</v>
      </c>
      <c r="D178" s="15">
        <v>0</v>
      </c>
      <c r="E178" s="15">
        <v>1</v>
      </c>
      <c r="F178" s="15">
        <v>15</v>
      </c>
      <c r="G178" s="17" t="b">
        <v>0</v>
      </c>
      <c r="H178" s="15">
        <v>6</v>
      </c>
      <c r="I178" s="15">
        <v>1</v>
      </c>
      <c r="J178" s="15">
        <v>0.2</v>
      </c>
      <c r="K178" s="14">
        <v>0.16669999999999999</v>
      </c>
      <c r="L178" s="14">
        <v>0.32</v>
      </c>
      <c r="M178" s="14">
        <v>0.44779999999999998</v>
      </c>
      <c r="N178" s="14">
        <v>5</v>
      </c>
      <c r="O178" s="14">
        <v>69</v>
      </c>
      <c r="P178" s="14">
        <v>74</v>
      </c>
    </row>
    <row r="179" spans="1:16" x14ac:dyDescent="0.3">
      <c r="A179" s="15">
        <v>178</v>
      </c>
      <c r="B179" s="16">
        <v>40551</v>
      </c>
      <c r="C179" s="15">
        <v>1</v>
      </c>
      <c r="D179" s="15">
        <v>0</v>
      </c>
      <c r="E179" s="15">
        <v>1</v>
      </c>
      <c r="F179" s="15">
        <v>16</v>
      </c>
      <c r="G179" s="17" t="b">
        <v>0</v>
      </c>
      <c r="H179" s="15">
        <v>6</v>
      </c>
      <c r="I179" s="15">
        <v>1</v>
      </c>
      <c r="J179" s="15">
        <v>0.18</v>
      </c>
      <c r="K179" s="14">
        <v>0.13639999999999999</v>
      </c>
      <c r="L179" s="14">
        <v>0.28999999999999998</v>
      </c>
      <c r="M179" s="14">
        <v>0.44779999999999998</v>
      </c>
      <c r="N179" s="14">
        <v>8</v>
      </c>
      <c r="O179" s="14">
        <v>68</v>
      </c>
      <c r="P179" s="14">
        <v>76</v>
      </c>
    </row>
    <row r="180" spans="1:16" x14ac:dyDescent="0.3">
      <c r="A180" s="15">
        <v>179</v>
      </c>
      <c r="B180" s="16">
        <v>40551</v>
      </c>
      <c r="C180" s="15">
        <v>1</v>
      </c>
      <c r="D180" s="15">
        <v>0</v>
      </c>
      <c r="E180" s="15">
        <v>1</v>
      </c>
      <c r="F180" s="15">
        <v>17</v>
      </c>
      <c r="G180" s="17" t="b">
        <v>0</v>
      </c>
      <c r="H180" s="15">
        <v>6</v>
      </c>
      <c r="I180" s="15">
        <v>1</v>
      </c>
      <c r="J180" s="15">
        <v>0.16</v>
      </c>
      <c r="K180" s="14">
        <v>0.1212</v>
      </c>
      <c r="L180" s="14">
        <v>0.37</v>
      </c>
      <c r="M180" s="14">
        <v>0.55220000000000002</v>
      </c>
      <c r="N180" s="14">
        <v>5</v>
      </c>
      <c r="O180" s="14">
        <v>64</v>
      </c>
      <c r="P180" s="14">
        <v>69</v>
      </c>
    </row>
    <row r="181" spans="1:16" x14ac:dyDescent="0.3">
      <c r="A181" s="15">
        <v>180</v>
      </c>
      <c r="B181" s="16">
        <v>40551</v>
      </c>
      <c r="C181" s="15">
        <v>1</v>
      </c>
      <c r="D181" s="15">
        <v>0</v>
      </c>
      <c r="E181" s="15">
        <v>1</v>
      </c>
      <c r="F181" s="15">
        <v>18</v>
      </c>
      <c r="G181" s="17" t="b">
        <v>0</v>
      </c>
      <c r="H181" s="15">
        <v>6</v>
      </c>
      <c r="I181" s="15">
        <v>1</v>
      </c>
      <c r="J181" s="15">
        <v>0.14000000000000001</v>
      </c>
      <c r="K181" s="14">
        <v>0.1212</v>
      </c>
      <c r="L181" s="14">
        <v>0.39</v>
      </c>
      <c r="M181" s="14">
        <v>0.29849999999999999</v>
      </c>
      <c r="N181" s="14">
        <v>3</v>
      </c>
      <c r="O181" s="14">
        <v>52</v>
      </c>
      <c r="P181" s="14">
        <v>55</v>
      </c>
    </row>
    <row r="182" spans="1:16" x14ac:dyDescent="0.3">
      <c r="A182" s="15">
        <v>181</v>
      </c>
      <c r="B182" s="16">
        <v>40551</v>
      </c>
      <c r="C182" s="15">
        <v>1</v>
      </c>
      <c r="D182" s="15">
        <v>0</v>
      </c>
      <c r="E182" s="15">
        <v>1</v>
      </c>
      <c r="F182" s="15">
        <v>19</v>
      </c>
      <c r="G182" s="17" t="b">
        <v>0</v>
      </c>
      <c r="H182" s="15">
        <v>6</v>
      </c>
      <c r="I182" s="15">
        <v>1</v>
      </c>
      <c r="J182" s="15">
        <v>0.14000000000000001</v>
      </c>
      <c r="K182" s="14">
        <v>0.1212</v>
      </c>
      <c r="L182" s="14">
        <v>0.36</v>
      </c>
      <c r="M182" s="14">
        <v>0.25369999999999998</v>
      </c>
      <c r="N182" s="14">
        <v>4</v>
      </c>
      <c r="O182" s="14">
        <v>26</v>
      </c>
      <c r="P182" s="14">
        <v>30</v>
      </c>
    </row>
    <row r="183" spans="1:16" x14ac:dyDescent="0.3">
      <c r="A183" s="15">
        <v>182</v>
      </c>
      <c r="B183" s="16">
        <v>40551</v>
      </c>
      <c r="C183" s="15">
        <v>1</v>
      </c>
      <c r="D183" s="15">
        <v>0</v>
      </c>
      <c r="E183" s="15">
        <v>1</v>
      </c>
      <c r="F183" s="15">
        <v>20</v>
      </c>
      <c r="G183" s="17" t="b">
        <v>0</v>
      </c>
      <c r="H183" s="15">
        <v>6</v>
      </c>
      <c r="I183" s="15">
        <v>1</v>
      </c>
      <c r="J183" s="15">
        <v>0.12</v>
      </c>
      <c r="K183" s="14">
        <v>0.1212</v>
      </c>
      <c r="L183" s="14">
        <v>0.36</v>
      </c>
      <c r="M183" s="14">
        <v>0.25369999999999998</v>
      </c>
      <c r="N183" s="14">
        <v>0</v>
      </c>
      <c r="O183" s="14">
        <v>28</v>
      </c>
      <c r="P183" s="14">
        <v>28</v>
      </c>
    </row>
    <row r="184" spans="1:16" x14ac:dyDescent="0.3">
      <c r="A184" s="15">
        <v>183</v>
      </c>
      <c r="B184" s="16">
        <v>40551</v>
      </c>
      <c r="C184" s="15">
        <v>1</v>
      </c>
      <c r="D184" s="15">
        <v>0</v>
      </c>
      <c r="E184" s="15">
        <v>1</v>
      </c>
      <c r="F184" s="15">
        <v>21</v>
      </c>
      <c r="G184" s="17" t="b">
        <v>0</v>
      </c>
      <c r="H184" s="15">
        <v>6</v>
      </c>
      <c r="I184" s="15">
        <v>1</v>
      </c>
      <c r="J184" s="15">
        <v>0.12</v>
      </c>
      <c r="K184" s="14">
        <v>0.1061</v>
      </c>
      <c r="L184" s="14">
        <v>0.39</v>
      </c>
      <c r="M184" s="14">
        <v>0.35820000000000002</v>
      </c>
      <c r="N184" s="14">
        <v>2</v>
      </c>
      <c r="O184" s="14">
        <v>35</v>
      </c>
      <c r="P184" s="14">
        <v>37</v>
      </c>
    </row>
    <row r="185" spans="1:16" x14ac:dyDescent="0.3">
      <c r="A185" s="15">
        <v>184</v>
      </c>
      <c r="B185" s="16">
        <v>40551</v>
      </c>
      <c r="C185" s="15">
        <v>1</v>
      </c>
      <c r="D185" s="15">
        <v>0</v>
      </c>
      <c r="E185" s="15">
        <v>1</v>
      </c>
      <c r="F185" s="15">
        <v>22</v>
      </c>
      <c r="G185" s="17" t="b">
        <v>0</v>
      </c>
      <c r="H185" s="15">
        <v>6</v>
      </c>
      <c r="I185" s="15">
        <v>1</v>
      </c>
      <c r="J185" s="15">
        <v>0.12</v>
      </c>
      <c r="K185" s="14">
        <v>0.1061</v>
      </c>
      <c r="L185" s="14">
        <v>0.36</v>
      </c>
      <c r="M185" s="14">
        <v>0.3881</v>
      </c>
      <c r="N185" s="14">
        <v>1</v>
      </c>
      <c r="O185" s="14">
        <v>33</v>
      </c>
      <c r="P185" s="14">
        <v>34</v>
      </c>
    </row>
    <row r="186" spans="1:16" x14ac:dyDescent="0.3">
      <c r="A186" s="15">
        <v>185</v>
      </c>
      <c r="B186" s="16">
        <v>40551</v>
      </c>
      <c r="C186" s="15">
        <v>1</v>
      </c>
      <c r="D186" s="15">
        <v>0</v>
      </c>
      <c r="E186" s="15">
        <v>1</v>
      </c>
      <c r="F186" s="15">
        <v>23</v>
      </c>
      <c r="G186" s="17" t="b">
        <v>0</v>
      </c>
      <c r="H186" s="15">
        <v>6</v>
      </c>
      <c r="I186" s="15">
        <v>1</v>
      </c>
      <c r="J186" s="15">
        <v>0.1</v>
      </c>
      <c r="K186" s="14">
        <v>6.0600000000000001E-2</v>
      </c>
      <c r="L186" s="14">
        <v>0.39</v>
      </c>
      <c r="M186" s="14">
        <v>0.44779999999999998</v>
      </c>
      <c r="N186" s="14">
        <v>0</v>
      </c>
      <c r="O186" s="14">
        <v>22</v>
      </c>
      <c r="P186" s="14">
        <v>22</v>
      </c>
    </row>
    <row r="187" spans="1:16" x14ac:dyDescent="0.3">
      <c r="A187" s="15">
        <v>186</v>
      </c>
      <c r="B187" s="16">
        <v>40552</v>
      </c>
      <c r="C187" s="15">
        <v>1</v>
      </c>
      <c r="D187" s="15">
        <v>0</v>
      </c>
      <c r="E187" s="15">
        <v>1</v>
      </c>
      <c r="F187" s="15">
        <v>0</v>
      </c>
      <c r="G187" s="17" t="b">
        <v>0</v>
      </c>
      <c r="H187" s="15">
        <v>0</v>
      </c>
      <c r="I187" s="15">
        <v>1</v>
      </c>
      <c r="J187" s="15">
        <v>0.1</v>
      </c>
      <c r="K187" s="14">
        <v>7.5800000000000006E-2</v>
      </c>
      <c r="L187" s="14">
        <v>0.42</v>
      </c>
      <c r="M187" s="14">
        <v>0.3881</v>
      </c>
      <c r="N187" s="14">
        <v>1</v>
      </c>
      <c r="O187" s="14">
        <v>24</v>
      </c>
      <c r="P187" s="14">
        <v>25</v>
      </c>
    </row>
    <row r="188" spans="1:16" x14ac:dyDescent="0.3">
      <c r="A188" s="15">
        <v>187</v>
      </c>
      <c r="B188" s="16">
        <v>40552</v>
      </c>
      <c r="C188" s="15">
        <v>1</v>
      </c>
      <c r="D188" s="15">
        <v>0</v>
      </c>
      <c r="E188" s="15">
        <v>1</v>
      </c>
      <c r="F188" s="15">
        <v>1</v>
      </c>
      <c r="G188" s="17" t="b">
        <v>0</v>
      </c>
      <c r="H188" s="15">
        <v>0</v>
      </c>
      <c r="I188" s="15">
        <v>1</v>
      </c>
      <c r="J188" s="15">
        <v>0.1</v>
      </c>
      <c r="K188" s="14">
        <v>6.0600000000000001E-2</v>
      </c>
      <c r="L188" s="14">
        <v>0.42</v>
      </c>
      <c r="M188" s="14">
        <v>0.4627</v>
      </c>
      <c r="N188" s="14">
        <v>0</v>
      </c>
      <c r="O188" s="14">
        <v>12</v>
      </c>
      <c r="P188" s="14">
        <v>12</v>
      </c>
    </row>
    <row r="189" spans="1:16" x14ac:dyDescent="0.3">
      <c r="A189" s="15">
        <v>188</v>
      </c>
      <c r="B189" s="16">
        <v>40552</v>
      </c>
      <c r="C189" s="15">
        <v>1</v>
      </c>
      <c r="D189" s="15">
        <v>0</v>
      </c>
      <c r="E189" s="15">
        <v>1</v>
      </c>
      <c r="F189" s="15">
        <v>2</v>
      </c>
      <c r="G189" s="17" t="b">
        <v>0</v>
      </c>
      <c r="H189" s="15">
        <v>0</v>
      </c>
      <c r="I189" s="15">
        <v>1</v>
      </c>
      <c r="J189" s="15">
        <v>0.1</v>
      </c>
      <c r="K189" s="14">
        <v>6.0600000000000001E-2</v>
      </c>
      <c r="L189" s="14">
        <v>0.46</v>
      </c>
      <c r="M189" s="14">
        <v>0.4627</v>
      </c>
      <c r="N189" s="14">
        <v>0</v>
      </c>
      <c r="O189" s="14">
        <v>11</v>
      </c>
      <c r="P189" s="14">
        <v>11</v>
      </c>
    </row>
    <row r="190" spans="1:16" x14ac:dyDescent="0.3">
      <c r="A190" s="15">
        <v>189</v>
      </c>
      <c r="B190" s="16">
        <v>40552</v>
      </c>
      <c r="C190" s="15">
        <v>1</v>
      </c>
      <c r="D190" s="15">
        <v>0</v>
      </c>
      <c r="E190" s="15">
        <v>1</v>
      </c>
      <c r="F190" s="15">
        <v>3</v>
      </c>
      <c r="G190" s="17" t="b">
        <v>0</v>
      </c>
      <c r="H190" s="15">
        <v>0</v>
      </c>
      <c r="I190" s="15">
        <v>1</v>
      </c>
      <c r="J190" s="15">
        <v>0.1</v>
      </c>
      <c r="K190" s="14">
        <v>7.5800000000000006E-2</v>
      </c>
      <c r="L190" s="14">
        <v>0.46</v>
      </c>
      <c r="M190" s="14">
        <v>0.41789999999999999</v>
      </c>
      <c r="N190" s="14">
        <v>0</v>
      </c>
      <c r="O190" s="14">
        <v>4</v>
      </c>
      <c r="P190" s="14">
        <v>4</v>
      </c>
    </row>
    <row r="191" spans="1:16" x14ac:dyDescent="0.3">
      <c r="A191" s="15">
        <v>190</v>
      </c>
      <c r="B191" s="16">
        <v>40552</v>
      </c>
      <c r="C191" s="15">
        <v>1</v>
      </c>
      <c r="D191" s="15">
        <v>0</v>
      </c>
      <c r="E191" s="15">
        <v>1</v>
      </c>
      <c r="F191" s="15">
        <v>4</v>
      </c>
      <c r="G191" s="17" t="b">
        <v>0</v>
      </c>
      <c r="H191" s="15">
        <v>0</v>
      </c>
      <c r="I191" s="15">
        <v>1</v>
      </c>
      <c r="J191" s="15">
        <v>0.08</v>
      </c>
      <c r="K191" s="14">
        <v>9.0899999999999995E-2</v>
      </c>
      <c r="L191" s="14">
        <v>0.53</v>
      </c>
      <c r="M191" s="14">
        <v>0.19400000000000001</v>
      </c>
      <c r="N191" s="14">
        <v>0</v>
      </c>
      <c r="O191" s="14">
        <v>1</v>
      </c>
      <c r="P191" s="14">
        <v>1</v>
      </c>
    </row>
    <row r="192" spans="1:16" x14ac:dyDescent="0.3">
      <c r="A192" s="15">
        <v>191</v>
      </c>
      <c r="B192" s="16">
        <v>40552</v>
      </c>
      <c r="C192" s="15">
        <v>1</v>
      </c>
      <c r="D192" s="15">
        <v>0</v>
      </c>
      <c r="E192" s="15">
        <v>1</v>
      </c>
      <c r="F192" s="15">
        <v>5</v>
      </c>
      <c r="G192" s="17" t="b">
        <v>0</v>
      </c>
      <c r="H192" s="15">
        <v>0</v>
      </c>
      <c r="I192" s="15">
        <v>1</v>
      </c>
      <c r="J192" s="15">
        <v>0.08</v>
      </c>
      <c r="K192" s="14">
        <v>9.0899999999999995E-2</v>
      </c>
      <c r="L192" s="14">
        <v>0.53</v>
      </c>
      <c r="M192" s="14">
        <v>0.19400000000000001</v>
      </c>
      <c r="N192" s="14">
        <v>0</v>
      </c>
      <c r="O192" s="14">
        <v>1</v>
      </c>
      <c r="P192" s="14">
        <v>1</v>
      </c>
    </row>
    <row r="193" spans="1:16" x14ac:dyDescent="0.3">
      <c r="A193" s="15">
        <v>192</v>
      </c>
      <c r="B193" s="16">
        <v>40552</v>
      </c>
      <c r="C193" s="15">
        <v>1</v>
      </c>
      <c r="D193" s="15">
        <v>0</v>
      </c>
      <c r="E193" s="15">
        <v>1</v>
      </c>
      <c r="F193" s="15">
        <v>6</v>
      </c>
      <c r="G193" s="17" t="b">
        <v>0</v>
      </c>
      <c r="H193" s="15">
        <v>0</v>
      </c>
      <c r="I193" s="15">
        <v>1</v>
      </c>
      <c r="J193" s="15">
        <v>0.1</v>
      </c>
      <c r="K193" s="14">
        <v>9.0899999999999995E-2</v>
      </c>
      <c r="L193" s="14">
        <v>0.49</v>
      </c>
      <c r="M193" s="14">
        <v>0.28360000000000002</v>
      </c>
      <c r="N193" s="14">
        <v>0</v>
      </c>
      <c r="O193" s="14">
        <v>1</v>
      </c>
      <c r="P193" s="14">
        <v>1</v>
      </c>
    </row>
    <row r="194" spans="1:16" x14ac:dyDescent="0.3">
      <c r="A194" s="15">
        <v>193</v>
      </c>
      <c r="B194" s="16">
        <v>40552</v>
      </c>
      <c r="C194" s="15">
        <v>1</v>
      </c>
      <c r="D194" s="15">
        <v>0</v>
      </c>
      <c r="E194" s="15">
        <v>1</v>
      </c>
      <c r="F194" s="15">
        <v>7</v>
      </c>
      <c r="G194" s="17" t="b">
        <v>0</v>
      </c>
      <c r="H194" s="15">
        <v>0</v>
      </c>
      <c r="I194" s="15">
        <v>1</v>
      </c>
      <c r="J194" s="15">
        <v>0.08</v>
      </c>
      <c r="K194" s="14">
        <v>9.0899999999999995E-2</v>
      </c>
      <c r="L194" s="14">
        <v>0.53</v>
      </c>
      <c r="M194" s="14">
        <v>0.19400000000000001</v>
      </c>
      <c r="N194" s="14">
        <v>1</v>
      </c>
      <c r="O194" s="14">
        <v>5</v>
      </c>
      <c r="P194" s="14">
        <v>6</v>
      </c>
    </row>
    <row r="195" spans="1:16" x14ac:dyDescent="0.3">
      <c r="A195" s="15">
        <v>194</v>
      </c>
      <c r="B195" s="16">
        <v>40552</v>
      </c>
      <c r="C195" s="15">
        <v>1</v>
      </c>
      <c r="D195" s="15">
        <v>0</v>
      </c>
      <c r="E195" s="15">
        <v>1</v>
      </c>
      <c r="F195" s="15">
        <v>8</v>
      </c>
      <c r="G195" s="17" t="b">
        <v>0</v>
      </c>
      <c r="H195" s="15">
        <v>0</v>
      </c>
      <c r="I195" s="15">
        <v>1</v>
      </c>
      <c r="J195" s="15">
        <v>0.1</v>
      </c>
      <c r="K195" s="14">
        <v>9.0899999999999995E-2</v>
      </c>
      <c r="L195" s="14">
        <v>0.49</v>
      </c>
      <c r="M195" s="14">
        <v>0.28360000000000002</v>
      </c>
      <c r="N195" s="14">
        <v>0</v>
      </c>
      <c r="O195" s="14">
        <v>10</v>
      </c>
      <c r="P195" s="14">
        <v>10</v>
      </c>
    </row>
    <row r="196" spans="1:16" x14ac:dyDescent="0.3">
      <c r="A196" s="15">
        <v>195</v>
      </c>
      <c r="B196" s="16">
        <v>40552</v>
      </c>
      <c r="C196" s="15">
        <v>1</v>
      </c>
      <c r="D196" s="15">
        <v>0</v>
      </c>
      <c r="E196" s="15">
        <v>1</v>
      </c>
      <c r="F196" s="15">
        <v>9</v>
      </c>
      <c r="G196" s="17" t="b">
        <v>0</v>
      </c>
      <c r="H196" s="15">
        <v>0</v>
      </c>
      <c r="I196" s="15">
        <v>1</v>
      </c>
      <c r="J196" s="15">
        <v>0.12</v>
      </c>
      <c r="K196" s="14">
        <v>7.5800000000000006E-2</v>
      </c>
      <c r="L196" s="14">
        <v>0.46</v>
      </c>
      <c r="M196" s="14">
        <v>0.52239999999999998</v>
      </c>
      <c r="N196" s="14">
        <v>0</v>
      </c>
      <c r="O196" s="14">
        <v>19</v>
      </c>
      <c r="P196" s="14">
        <v>19</v>
      </c>
    </row>
    <row r="197" spans="1:16" x14ac:dyDescent="0.3">
      <c r="A197" s="15">
        <v>196</v>
      </c>
      <c r="B197" s="16">
        <v>40552</v>
      </c>
      <c r="C197" s="15">
        <v>1</v>
      </c>
      <c r="D197" s="15">
        <v>0</v>
      </c>
      <c r="E197" s="15">
        <v>1</v>
      </c>
      <c r="F197" s="15">
        <v>10</v>
      </c>
      <c r="G197" s="17" t="b">
        <v>0</v>
      </c>
      <c r="H197" s="15">
        <v>0</v>
      </c>
      <c r="I197" s="15">
        <v>1</v>
      </c>
      <c r="J197" s="15">
        <v>0.14000000000000001</v>
      </c>
      <c r="K197" s="14">
        <v>0.1061</v>
      </c>
      <c r="L197" s="14">
        <v>0.43</v>
      </c>
      <c r="M197" s="14">
        <v>0.3881</v>
      </c>
      <c r="N197" s="14">
        <v>0</v>
      </c>
      <c r="O197" s="14">
        <v>49</v>
      </c>
      <c r="P197" s="14">
        <v>49</v>
      </c>
    </row>
    <row r="198" spans="1:16" x14ac:dyDescent="0.3">
      <c r="A198" s="15">
        <v>197</v>
      </c>
      <c r="B198" s="16">
        <v>40552</v>
      </c>
      <c r="C198" s="15">
        <v>1</v>
      </c>
      <c r="D198" s="15">
        <v>0</v>
      </c>
      <c r="E198" s="15">
        <v>1</v>
      </c>
      <c r="F198" s="15">
        <v>11</v>
      </c>
      <c r="G198" s="17" t="b">
        <v>0</v>
      </c>
      <c r="H198" s="15">
        <v>0</v>
      </c>
      <c r="I198" s="15">
        <v>1</v>
      </c>
      <c r="J198" s="15">
        <v>0.16</v>
      </c>
      <c r="K198" s="14">
        <v>0.1212</v>
      </c>
      <c r="L198" s="14">
        <v>0.4</v>
      </c>
      <c r="M198" s="14">
        <v>0.52239999999999998</v>
      </c>
      <c r="N198" s="14">
        <v>2</v>
      </c>
      <c r="O198" s="14">
        <v>47</v>
      </c>
      <c r="P198" s="14">
        <v>49</v>
      </c>
    </row>
    <row r="199" spans="1:16" x14ac:dyDescent="0.3">
      <c r="A199" s="15">
        <v>198</v>
      </c>
      <c r="B199" s="16">
        <v>40552</v>
      </c>
      <c r="C199" s="15">
        <v>1</v>
      </c>
      <c r="D199" s="15">
        <v>0</v>
      </c>
      <c r="E199" s="15">
        <v>1</v>
      </c>
      <c r="F199" s="15">
        <v>12</v>
      </c>
      <c r="G199" s="17" t="b">
        <v>0</v>
      </c>
      <c r="H199" s="15">
        <v>0</v>
      </c>
      <c r="I199" s="15">
        <v>1</v>
      </c>
      <c r="J199" s="15">
        <v>0.18</v>
      </c>
      <c r="K199" s="14">
        <v>0.13639999999999999</v>
      </c>
      <c r="L199" s="14">
        <v>0.37</v>
      </c>
      <c r="M199" s="14">
        <v>0.44779999999999998</v>
      </c>
      <c r="N199" s="14">
        <v>4</v>
      </c>
      <c r="O199" s="14">
        <v>79</v>
      </c>
      <c r="P199" s="14">
        <v>83</v>
      </c>
    </row>
    <row r="200" spans="1:16" x14ac:dyDescent="0.3">
      <c r="A200" s="15">
        <v>199</v>
      </c>
      <c r="B200" s="16">
        <v>40552</v>
      </c>
      <c r="C200" s="15">
        <v>1</v>
      </c>
      <c r="D200" s="15">
        <v>0</v>
      </c>
      <c r="E200" s="15">
        <v>1</v>
      </c>
      <c r="F200" s="15">
        <v>13</v>
      </c>
      <c r="G200" s="17" t="b">
        <v>0</v>
      </c>
      <c r="H200" s="15">
        <v>0</v>
      </c>
      <c r="I200" s="15">
        <v>1</v>
      </c>
      <c r="J200" s="15">
        <v>0.2</v>
      </c>
      <c r="K200" s="14">
        <v>0.16669999999999999</v>
      </c>
      <c r="L200" s="14">
        <v>0.34</v>
      </c>
      <c r="M200" s="14">
        <v>0.44779999999999998</v>
      </c>
      <c r="N200" s="14">
        <v>6</v>
      </c>
      <c r="O200" s="14">
        <v>69</v>
      </c>
      <c r="P200" s="14">
        <v>75</v>
      </c>
    </row>
    <row r="201" spans="1:16" x14ac:dyDescent="0.3">
      <c r="A201" s="15">
        <v>200</v>
      </c>
      <c r="B201" s="16">
        <v>40552</v>
      </c>
      <c r="C201" s="15">
        <v>1</v>
      </c>
      <c r="D201" s="15">
        <v>0</v>
      </c>
      <c r="E201" s="15">
        <v>1</v>
      </c>
      <c r="F201" s="15">
        <v>14</v>
      </c>
      <c r="G201" s="17" t="b">
        <v>0</v>
      </c>
      <c r="H201" s="15">
        <v>0</v>
      </c>
      <c r="I201" s="15">
        <v>1</v>
      </c>
      <c r="J201" s="15">
        <v>0.22</v>
      </c>
      <c r="K201" s="14">
        <v>0.18179999999999999</v>
      </c>
      <c r="L201" s="14">
        <v>0.32</v>
      </c>
      <c r="M201" s="14">
        <v>0.4627</v>
      </c>
      <c r="N201" s="14">
        <v>8</v>
      </c>
      <c r="O201" s="14">
        <v>64</v>
      </c>
      <c r="P201" s="14">
        <v>72</v>
      </c>
    </row>
    <row r="202" spans="1:16" x14ac:dyDescent="0.3">
      <c r="A202" s="15">
        <v>201</v>
      </c>
      <c r="B202" s="16">
        <v>40552</v>
      </c>
      <c r="C202" s="15">
        <v>1</v>
      </c>
      <c r="D202" s="15">
        <v>0</v>
      </c>
      <c r="E202" s="15">
        <v>1</v>
      </c>
      <c r="F202" s="15">
        <v>15</v>
      </c>
      <c r="G202" s="17" t="b">
        <v>0</v>
      </c>
      <c r="H202" s="15">
        <v>0</v>
      </c>
      <c r="I202" s="15">
        <v>1</v>
      </c>
      <c r="J202" s="15">
        <v>0.22</v>
      </c>
      <c r="K202" s="14">
        <v>0.19700000000000001</v>
      </c>
      <c r="L202" s="14">
        <v>0.35</v>
      </c>
      <c r="M202" s="14">
        <v>0.35820000000000002</v>
      </c>
      <c r="N202" s="14">
        <v>5</v>
      </c>
      <c r="O202" s="14">
        <v>77</v>
      </c>
      <c r="P202" s="14">
        <v>82</v>
      </c>
    </row>
    <row r="203" spans="1:16" x14ac:dyDescent="0.3">
      <c r="A203" s="15">
        <v>202</v>
      </c>
      <c r="B203" s="16">
        <v>40552</v>
      </c>
      <c r="C203" s="15">
        <v>1</v>
      </c>
      <c r="D203" s="15">
        <v>0</v>
      </c>
      <c r="E203" s="15">
        <v>1</v>
      </c>
      <c r="F203" s="15">
        <v>16</v>
      </c>
      <c r="G203" s="17" t="b">
        <v>0</v>
      </c>
      <c r="H203" s="15">
        <v>0</v>
      </c>
      <c r="I203" s="15">
        <v>1</v>
      </c>
      <c r="J203" s="15">
        <v>0.2</v>
      </c>
      <c r="K203" s="14">
        <v>0.16669999999999999</v>
      </c>
      <c r="L203" s="14">
        <v>0.34</v>
      </c>
      <c r="M203" s="14">
        <v>0.44779999999999998</v>
      </c>
      <c r="N203" s="14">
        <v>13</v>
      </c>
      <c r="O203" s="14">
        <v>79</v>
      </c>
      <c r="P203" s="14">
        <v>92</v>
      </c>
    </row>
    <row r="204" spans="1:16" x14ac:dyDescent="0.3">
      <c r="A204" s="15">
        <v>203</v>
      </c>
      <c r="B204" s="16">
        <v>40552</v>
      </c>
      <c r="C204" s="15">
        <v>1</v>
      </c>
      <c r="D204" s="15">
        <v>0</v>
      </c>
      <c r="E204" s="15">
        <v>1</v>
      </c>
      <c r="F204" s="15">
        <v>17</v>
      </c>
      <c r="G204" s="17" t="b">
        <v>0</v>
      </c>
      <c r="H204" s="15">
        <v>0</v>
      </c>
      <c r="I204" s="15">
        <v>1</v>
      </c>
      <c r="J204" s="15">
        <v>0.18</v>
      </c>
      <c r="K204" s="14">
        <v>0.1515</v>
      </c>
      <c r="L204" s="14">
        <v>0.37</v>
      </c>
      <c r="M204" s="14">
        <v>0.3881</v>
      </c>
      <c r="N204" s="14">
        <v>3</v>
      </c>
      <c r="O204" s="14">
        <v>59</v>
      </c>
      <c r="P204" s="14">
        <v>62</v>
      </c>
    </row>
    <row r="205" spans="1:16" x14ac:dyDescent="0.3">
      <c r="A205" s="15">
        <v>204</v>
      </c>
      <c r="B205" s="16">
        <v>40552</v>
      </c>
      <c r="C205" s="15">
        <v>1</v>
      </c>
      <c r="D205" s="15">
        <v>0</v>
      </c>
      <c r="E205" s="15">
        <v>1</v>
      </c>
      <c r="F205" s="15">
        <v>18</v>
      </c>
      <c r="G205" s="17" t="b">
        <v>0</v>
      </c>
      <c r="H205" s="15">
        <v>0</v>
      </c>
      <c r="I205" s="15">
        <v>1</v>
      </c>
      <c r="J205" s="15">
        <v>0.16</v>
      </c>
      <c r="K205" s="14">
        <v>0.13639999999999999</v>
      </c>
      <c r="L205" s="14">
        <v>0.4</v>
      </c>
      <c r="M205" s="14">
        <v>0.32840000000000003</v>
      </c>
      <c r="N205" s="14">
        <v>4</v>
      </c>
      <c r="O205" s="14">
        <v>44</v>
      </c>
      <c r="P205" s="14">
        <v>48</v>
      </c>
    </row>
    <row r="206" spans="1:16" x14ac:dyDescent="0.3">
      <c r="A206" s="15">
        <v>205</v>
      </c>
      <c r="B206" s="16">
        <v>40552</v>
      </c>
      <c r="C206" s="15">
        <v>1</v>
      </c>
      <c r="D206" s="15">
        <v>0</v>
      </c>
      <c r="E206" s="15">
        <v>1</v>
      </c>
      <c r="F206" s="15">
        <v>19</v>
      </c>
      <c r="G206" s="17" t="b">
        <v>0</v>
      </c>
      <c r="H206" s="15">
        <v>0</v>
      </c>
      <c r="I206" s="15">
        <v>1</v>
      </c>
      <c r="J206" s="15">
        <v>0.16</v>
      </c>
      <c r="K206" s="14">
        <v>0.13639999999999999</v>
      </c>
      <c r="L206" s="14">
        <v>0.43</v>
      </c>
      <c r="M206" s="14">
        <v>0.32840000000000003</v>
      </c>
      <c r="N206" s="14">
        <v>1</v>
      </c>
      <c r="O206" s="14">
        <v>40</v>
      </c>
      <c r="P206" s="14">
        <v>41</v>
      </c>
    </row>
    <row r="207" spans="1:16" x14ac:dyDescent="0.3">
      <c r="A207" s="15">
        <v>206</v>
      </c>
      <c r="B207" s="16">
        <v>40552</v>
      </c>
      <c r="C207" s="15">
        <v>1</v>
      </c>
      <c r="D207" s="15">
        <v>0</v>
      </c>
      <c r="E207" s="15">
        <v>1</v>
      </c>
      <c r="F207" s="15">
        <v>20</v>
      </c>
      <c r="G207" s="17" t="b">
        <v>0</v>
      </c>
      <c r="H207" s="15">
        <v>0</v>
      </c>
      <c r="I207" s="15">
        <v>1</v>
      </c>
      <c r="J207" s="15">
        <v>0.14000000000000001</v>
      </c>
      <c r="K207" s="14">
        <v>0.1212</v>
      </c>
      <c r="L207" s="14">
        <v>0.46</v>
      </c>
      <c r="M207" s="14">
        <v>0.25369999999999998</v>
      </c>
      <c r="N207" s="14">
        <v>0</v>
      </c>
      <c r="O207" s="14">
        <v>38</v>
      </c>
      <c r="P207" s="14">
        <v>38</v>
      </c>
    </row>
    <row r="208" spans="1:16" x14ac:dyDescent="0.3">
      <c r="A208" s="15">
        <v>207</v>
      </c>
      <c r="B208" s="16">
        <v>40552</v>
      </c>
      <c r="C208" s="15">
        <v>1</v>
      </c>
      <c r="D208" s="15">
        <v>0</v>
      </c>
      <c r="E208" s="15">
        <v>1</v>
      </c>
      <c r="F208" s="15">
        <v>21</v>
      </c>
      <c r="G208" s="17" t="b">
        <v>0</v>
      </c>
      <c r="H208" s="15">
        <v>0</v>
      </c>
      <c r="I208" s="15">
        <v>1</v>
      </c>
      <c r="J208" s="15">
        <v>0.14000000000000001</v>
      </c>
      <c r="K208" s="14">
        <v>0.1061</v>
      </c>
      <c r="L208" s="14">
        <v>0.46</v>
      </c>
      <c r="M208" s="14">
        <v>0.41789999999999999</v>
      </c>
      <c r="N208" s="14">
        <v>1</v>
      </c>
      <c r="O208" s="14">
        <v>19</v>
      </c>
      <c r="P208" s="14">
        <v>20</v>
      </c>
    </row>
    <row r="209" spans="1:16" x14ac:dyDescent="0.3">
      <c r="A209" s="15">
        <v>208</v>
      </c>
      <c r="B209" s="16">
        <v>40552</v>
      </c>
      <c r="C209" s="15">
        <v>1</v>
      </c>
      <c r="D209" s="15">
        <v>0</v>
      </c>
      <c r="E209" s="15">
        <v>1</v>
      </c>
      <c r="F209" s="15">
        <v>22</v>
      </c>
      <c r="G209" s="17" t="b">
        <v>0</v>
      </c>
      <c r="H209" s="15">
        <v>0</v>
      </c>
      <c r="I209" s="15">
        <v>1</v>
      </c>
      <c r="J209" s="15">
        <v>0.14000000000000001</v>
      </c>
      <c r="K209" s="14">
        <v>0.1212</v>
      </c>
      <c r="L209" s="14">
        <v>0.46</v>
      </c>
      <c r="M209" s="14">
        <v>0.29849999999999999</v>
      </c>
      <c r="N209" s="14">
        <v>5</v>
      </c>
      <c r="O209" s="14">
        <v>10</v>
      </c>
      <c r="P209" s="14">
        <v>15</v>
      </c>
    </row>
    <row r="210" spans="1:16" x14ac:dyDescent="0.3">
      <c r="A210" s="15">
        <v>209</v>
      </c>
      <c r="B210" s="16">
        <v>40552</v>
      </c>
      <c r="C210" s="15">
        <v>1</v>
      </c>
      <c r="D210" s="15">
        <v>0</v>
      </c>
      <c r="E210" s="15">
        <v>1</v>
      </c>
      <c r="F210" s="15">
        <v>23</v>
      </c>
      <c r="G210" s="17" t="b">
        <v>0</v>
      </c>
      <c r="H210" s="15">
        <v>0</v>
      </c>
      <c r="I210" s="15">
        <v>1</v>
      </c>
      <c r="J210" s="15">
        <v>0.12</v>
      </c>
      <c r="K210" s="14">
        <v>0.13639999999999999</v>
      </c>
      <c r="L210" s="14">
        <v>0.5</v>
      </c>
      <c r="M210" s="14">
        <v>0.19400000000000001</v>
      </c>
      <c r="N210" s="14">
        <v>0</v>
      </c>
      <c r="O210" s="14">
        <v>6</v>
      </c>
      <c r="P210" s="14">
        <v>6</v>
      </c>
    </row>
    <row r="211" spans="1:16" x14ac:dyDescent="0.3">
      <c r="A211" s="15">
        <v>210</v>
      </c>
      <c r="B211" s="16">
        <v>40553</v>
      </c>
      <c r="C211" s="15">
        <v>1</v>
      </c>
      <c r="D211" s="15">
        <v>0</v>
      </c>
      <c r="E211" s="15">
        <v>1</v>
      </c>
      <c r="F211" s="15">
        <v>0</v>
      </c>
      <c r="G211" s="17" t="b">
        <v>0</v>
      </c>
      <c r="H211" s="15">
        <v>1</v>
      </c>
      <c r="I211" s="15">
        <v>1</v>
      </c>
      <c r="J211" s="15">
        <v>0.12</v>
      </c>
      <c r="K211" s="14">
        <v>0.1212</v>
      </c>
      <c r="L211" s="14">
        <v>0.5</v>
      </c>
      <c r="M211" s="14">
        <v>0.28360000000000002</v>
      </c>
      <c r="N211" s="14">
        <v>2</v>
      </c>
      <c r="O211" s="14">
        <v>3</v>
      </c>
      <c r="P211" s="14">
        <v>5</v>
      </c>
    </row>
    <row r="212" spans="1:16" x14ac:dyDescent="0.3">
      <c r="A212" s="15">
        <v>211</v>
      </c>
      <c r="B212" s="16">
        <v>40553</v>
      </c>
      <c r="C212" s="15">
        <v>1</v>
      </c>
      <c r="D212" s="15">
        <v>0</v>
      </c>
      <c r="E212" s="15">
        <v>1</v>
      </c>
      <c r="F212" s="15">
        <v>1</v>
      </c>
      <c r="G212" s="17" t="b">
        <v>0</v>
      </c>
      <c r="H212" s="15">
        <v>1</v>
      </c>
      <c r="I212" s="15">
        <v>1</v>
      </c>
      <c r="J212" s="15">
        <v>0.12</v>
      </c>
      <c r="K212" s="14">
        <v>0.1212</v>
      </c>
      <c r="L212" s="14">
        <v>0.5</v>
      </c>
      <c r="M212" s="14">
        <v>0.28360000000000002</v>
      </c>
      <c r="N212" s="14">
        <v>1</v>
      </c>
      <c r="O212" s="14">
        <v>0</v>
      </c>
      <c r="P212" s="14">
        <v>1</v>
      </c>
    </row>
    <row r="213" spans="1:16" x14ac:dyDescent="0.3">
      <c r="A213" s="15">
        <v>212</v>
      </c>
      <c r="B213" s="16">
        <v>40553</v>
      </c>
      <c r="C213" s="15">
        <v>1</v>
      </c>
      <c r="D213" s="15">
        <v>0</v>
      </c>
      <c r="E213" s="15">
        <v>1</v>
      </c>
      <c r="F213" s="15">
        <v>2</v>
      </c>
      <c r="G213" s="17" t="b">
        <v>0</v>
      </c>
      <c r="H213" s="15">
        <v>1</v>
      </c>
      <c r="I213" s="15">
        <v>1</v>
      </c>
      <c r="J213" s="15">
        <v>0.12</v>
      </c>
      <c r="K213" s="14">
        <v>0.1212</v>
      </c>
      <c r="L213" s="14">
        <v>0.5</v>
      </c>
      <c r="M213" s="14">
        <v>0.22389999999999999</v>
      </c>
      <c r="N213" s="14">
        <v>0</v>
      </c>
      <c r="O213" s="14">
        <v>3</v>
      </c>
      <c r="P213" s="14">
        <v>3</v>
      </c>
    </row>
    <row r="214" spans="1:16" x14ac:dyDescent="0.3">
      <c r="A214" s="15">
        <v>213</v>
      </c>
      <c r="B214" s="16">
        <v>40553</v>
      </c>
      <c r="C214" s="15">
        <v>1</v>
      </c>
      <c r="D214" s="15">
        <v>0</v>
      </c>
      <c r="E214" s="15">
        <v>1</v>
      </c>
      <c r="F214" s="15">
        <v>3</v>
      </c>
      <c r="G214" s="17" t="b">
        <v>0</v>
      </c>
      <c r="H214" s="15">
        <v>1</v>
      </c>
      <c r="I214" s="15">
        <v>1</v>
      </c>
      <c r="J214" s="15">
        <v>0.12</v>
      </c>
      <c r="K214" s="14">
        <v>0.1212</v>
      </c>
      <c r="L214" s="14">
        <v>0.5</v>
      </c>
      <c r="M214" s="14">
        <v>0.22389999999999999</v>
      </c>
      <c r="N214" s="14">
        <v>0</v>
      </c>
      <c r="O214" s="14">
        <v>1</v>
      </c>
      <c r="P214" s="14">
        <v>1</v>
      </c>
    </row>
    <row r="215" spans="1:16" x14ac:dyDescent="0.3">
      <c r="A215" s="15">
        <v>214</v>
      </c>
      <c r="B215" s="16">
        <v>40553</v>
      </c>
      <c r="C215" s="15">
        <v>1</v>
      </c>
      <c r="D215" s="15">
        <v>0</v>
      </c>
      <c r="E215" s="15">
        <v>1</v>
      </c>
      <c r="F215" s="15">
        <v>4</v>
      </c>
      <c r="G215" s="17" t="b">
        <v>0</v>
      </c>
      <c r="H215" s="15">
        <v>1</v>
      </c>
      <c r="I215" s="15">
        <v>1</v>
      </c>
      <c r="J215" s="15">
        <v>0.1</v>
      </c>
      <c r="K215" s="14">
        <v>0.1212</v>
      </c>
      <c r="L215" s="14">
        <v>0.54</v>
      </c>
      <c r="M215" s="14">
        <v>0.1343</v>
      </c>
      <c r="N215" s="14">
        <v>1</v>
      </c>
      <c r="O215" s="14">
        <v>2</v>
      </c>
      <c r="P215" s="14">
        <v>3</v>
      </c>
    </row>
    <row r="216" spans="1:16" x14ac:dyDescent="0.3">
      <c r="A216" s="15">
        <v>215</v>
      </c>
      <c r="B216" s="16">
        <v>40553</v>
      </c>
      <c r="C216" s="15">
        <v>1</v>
      </c>
      <c r="D216" s="15">
        <v>0</v>
      </c>
      <c r="E216" s="15">
        <v>1</v>
      </c>
      <c r="F216" s="15">
        <v>5</v>
      </c>
      <c r="G216" s="17" t="b">
        <v>0</v>
      </c>
      <c r="H216" s="15">
        <v>1</v>
      </c>
      <c r="I216" s="15">
        <v>1</v>
      </c>
      <c r="J216" s="15">
        <v>0.1</v>
      </c>
      <c r="K216" s="14">
        <v>0.1061</v>
      </c>
      <c r="L216" s="14">
        <v>0.54</v>
      </c>
      <c r="M216" s="14">
        <v>0.25369999999999998</v>
      </c>
      <c r="N216" s="14">
        <v>0</v>
      </c>
      <c r="O216" s="14">
        <v>3</v>
      </c>
      <c r="P216" s="14">
        <v>3</v>
      </c>
    </row>
    <row r="217" spans="1:16" x14ac:dyDescent="0.3">
      <c r="A217" s="15">
        <v>216</v>
      </c>
      <c r="B217" s="16">
        <v>40553</v>
      </c>
      <c r="C217" s="15">
        <v>1</v>
      </c>
      <c r="D217" s="15">
        <v>0</v>
      </c>
      <c r="E217" s="15">
        <v>1</v>
      </c>
      <c r="F217" s="15">
        <v>6</v>
      </c>
      <c r="G217" s="17" t="b">
        <v>0</v>
      </c>
      <c r="H217" s="15">
        <v>1</v>
      </c>
      <c r="I217" s="15">
        <v>1</v>
      </c>
      <c r="J217" s="15">
        <v>0.12</v>
      </c>
      <c r="K217" s="14">
        <v>0.1212</v>
      </c>
      <c r="L217" s="14">
        <v>0.5</v>
      </c>
      <c r="M217" s="14">
        <v>0.28360000000000002</v>
      </c>
      <c r="N217" s="14">
        <v>0</v>
      </c>
      <c r="O217" s="14">
        <v>31</v>
      </c>
      <c r="P217" s="14">
        <v>31</v>
      </c>
    </row>
    <row r="218" spans="1:16" x14ac:dyDescent="0.3">
      <c r="A218" s="15">
        <v>217</v>
      </c>
      <c r="B218" s="16">
        <v>40553</v>
      </c>
      <c r="C218" s="15">
        <v>1</v>
      </c>
      <c r="D218" s="15">
        <v>0</v>
      </c>
      <c r="E218" s="15">
        <v>1</v>
      </c>
      <c r="F218" s="15">
        <v>7</v>
      </c>
      <c r="G218" s="17" t="b">
        <v>0</v>
      </c>
      <c r="H218" s="15">
        <v>1</v>
      </c>
      <c r="I218" s="15">
        <v>1</v>
      </c>
      <c r="J218" s="15">
        <v>0.12</v>
      </c>
      <c r="K218" s="14">
        <v>0.1212</v>
      </c>
      <c r="L218" s="14">
        <v>0.5</v>
      </c>
      <c r="M218" s="14">
        <v>0.22389999999999999</v>
      </c>
      <c r="N218" s="14">
        <v>2</v>
      </c>
      <c r="O218" s="14">
        <v>75</v>
      </c>
      <c r="P218" s="14">
        <v>77</v>
      </c>
    </row>
    <row r="219" spans="1:16" x14ac:dyDescent="0.3">
      <c r="A219" s="15">
        <v>218</v>
      </c>
      <c r="B219" s="16">
        <v>40553</v>
      </c>
      <c r="C219" s="15">
        <v>1</v>
      </c>
      <c r="D219" s="15">
        <v>0</v>
      </c>
      <c r="E219" s="15">
        <v>1</v>
      </c>
      <c r="F219" s="15">
        <v>8</v>
      </c>
      <c r="G219" s="17" t="b">
        <v>0</v>
      </c>
      <c r="H219" s="15">
        <v>1</v>
      </c>
      <c r="I219" s="15">
        <v>2</v>
      </c>
      <c r="J219" s="15">
        <v>0.12</v>
      </c>
      <c r="K219" s="14">
        <v>0.1212</v>
      </c>
      <c r="L219" s="14">
        <v>0.5</v>
      </c>
      <c r="M219" s="14">
        <v>0.28360000000000002</v>
      </c>
      <c r="N219" s="14">
        <v>4</v>
      </c>
      <c r="O219" s="14">
        <v>184</v>
      </c>
      <c r="P219" s="14">
        <v>188</v>
      </c>
    </row>
    <row r="220" spans="1:16" x14ac:dyDescent="0.3">
      <c r="A220" s="15">
        <v>219</v>
      </c>
      <c r="B220" s="16">
        <v>40553</v>
      </c>
      <c r="C220" s="15">
        <v>1</v>
      </c>
      <c r="D220" s="15">
        <v>0</v>
      </c>
      <c r="E220" s="15">
        <v>1</v>
      </c>
      <c r="F220" s="15">
        <v>9</v>
      </c>
      <c r="G220" s="17" t="b">
        <v>0</v>
      </c>
      <c r="H220" s="15">
        <v>1</v>
      </c>
      <c r="I220" s="15">
        <v>2</v>
      </c>
      <c r="J220" s="15">
        <v>0.14000000000000001</v>
      </c>
      <c r="K220" s="14">
        <v>0.1212</v>
      </c>
      <c r="L220" s="14">
        <v>0.5</v>
      </c>
      <c r="M220" s="14">
        <v>0.25369999999999998</v>
      </c>
      <c r="N220" s="14">
        <v>2</v>
      </c>
      <c r="O220" s="14">
        <v>92</v>
      </c>
      <c r="P220" s="14">
        <v>94</v>
      </c>
    </row>
    <row r="221" spans="1:16" x14ac:dyDescent="0.3">
      <c r="A221" s="15">
        <v>220</v>
      </c>
      <c r="B221" s="16">
        <v>40553</v>
      </c>
      <c r="C221" s="15">
        <v>1</v>
      </c>
      <c r="D221" s="15">
        <v>0</v>
      </c>
      <c r="E221" s="15">
        <v>1</v>
      </c>
      <c r="F221" s="15">
        <v>10</v>
      </c>
      <c r="G221" s="17" t="b">
        <v>0</v>
      </c>
      <c r="H221" s="15">
        <v>1</v>
      </c>
      <c r="I221" s="15">
        <v>2</v>
      </c>
      <c r="J221" s="15">
        <v>0.14000000000000001</v>
      </c>
      <c r="K221" s="14">
        <v>0.1212</v>
      </c>
      <c r="L221" s="14">
        <v>0.5</v>
      </c>
      <c r="M221" s="14">
        <v>0.29849999999999999</v>
      </c>
      <c r="N221" s="14">
        <v>0</v>
      </c>
      <c r="O221" s="14">
        <v>31</v>
      </c>
      <c r="P221" s="14">
        <v>31</v>
      </c>
    </row>
    <row r="222" spans="1:16" x14ac:dyDescent="0.3">
      <c r="A222" s="15">
        <v>221</v>
      </c>
      <c r="B222" s="16">
        <v>40553</v>
      </c>
      <c r="C222" s="15">
        <v>1</v>
      </c>
      <c r="D222" s="15">
        <v>0</v>
      </c>
      <c r="E222" s="15">
        <v>1</v>
      </c>
      <c r="F222" s="15">
        <v>11</v>
      </c>
      <c r="G222" s="17" t="b">
        <v>0</v>
      </c>
      <c r="H222" s="15">
        <v>1</v>
      </c>
      <c r="I222" s="15">
        <v>2</v>
      </c>
      <c r="J222" s="15">
        <v>0.16</v>
      </c>
      <c r="K222" s="14">
        <v>0.13639999999999999</v>
      </c>
      <c r="L222" s="14">
        <v>0.47</v>
      </c>
      <c r="M222" s="14">
        <v>0.28360000000000002</v>
      </c>
      <c r="N222" s="14">
        <v>2</v>
      </c>
      <c r="O222" s="14">
        <v>28</v>
      </c>
      <c r="P222" s="14">
        <v>30</v>
      </c>
    </row>
    <row r="223" spans="1:16" x14ac:dyDescent="0.3">
      <c r="A223" s="15">
        <v>222</v>
      </c>
      <c r="B223" s="16">
        <v>40553</v>
      </c>
      <c r="C223" s="15">
        <v>1</v>
      </c>
      <c r="D223" s="15">
        <v>0</v>
      </c>
      <c r="E223" s="15">
        <v>1</v>
      </c>
      <c r="F223" s="15">
        <v>12</v>
      </c>
      <c r="G223" s="17" t="b">
        <v>0</v>
      </c>
      <c r="H223" s="15">
        <v>1</v>
      </c>
      <c r="I223" s="15">
        <v>2</v>
      </c>
      <c r="J223" s="15">
        <v>0.2</v>
      </c>
      <c r="K223" s="14">
        <v>0.18179999999999999</v>
      </c>
      <c r="L223" s="14">
        <v>0.4</v>
      </c>
      <c r="M223" s="14">
        <v>0.28360000000000002</v>
      </c>
      <c r="N223" s="14">
        <v>5</v>
      </c>
      <c r="O223" s="14">
        <v>47</v>
      </c>
      <c r="P223" s="14">
        <v>52</v>
      </c>
    </row>
    <row r="224" spans="1:16" x14ac:dyDescent="0.3">
      <c r="A224" s="15">
        <v>223</v>
      </c>
      <c r="B224" s="16">
        <v>40553</v>
      </c>
      <c r="C224" s="15">
        <v>1</v>
      </c>
      <c r="D224" s="15">
        <v>0</v>
      </c>
      <c r="E224" s="15">
        <v>1</v>
      </c>
      <c r="F224" s="15">
        <v>13</v>
      </c>
      <c r="G224" s="17" t="b">
        <v>0</v>
      </c>
      <c r="H224" s="15">
        <v>1</v>
      </c>
      <c r="I224" s="15">
        <v>2</v>
      </c>
      <c r="J224" s="15">
        <v>0.2</v>
      </c>
      <c r="K224" s="14">
        <v>0.18179999999999999</v>
      </c>
      <c r="L224" s="14">
        <v>0.4</v>
      </c>
      <c r="M224" s="14">
        <v>0.28360000000000002</v>
      </c>
      <c r="N224" s="14">
        <v>4</v>
      </c>
      <c r="O224" s="14">
        <v>50</v>
      </c>
      <c r="P224" s="14">
        <v>54</v>
      </c>
    </row>
    <row r="225" spans="1:16" x14ac:dyDescent="0.3">
      <c r="A225" s="15">
        <v>224</v>
      </c>
      <c r="B225" s="16">
        <v>40553</v>
      </c>
      <c r="C225" s="15">
        <v>1</v>
      </c>
      <c r="D225" s="15">
        <v>0</v>
      </c>
      <c r="E225" s="15">
        <v>1</v>
      </c>
      <c r="F225" s="15">
        <v>14</v>
      </c>
      <c r="G225" s="17" t="b">
        <v>0</v>
      </c>
      <c r="H225" s="15">
        <v>1</v>
      </c>
      <c r="I225" s="15">
        <v>2</v>
      </c>
      <c r="J225" s="15">
        <v>0.2</v>
      </c>
      <c r="K225" s="14">
        <v>0.19700000000000001</v>
      </c>
      <c r="L225" s="14">
        <v>0.4</v>
      </c>
      <c r="M225" s="14">
        <v>0.22389999999999999</v>
      </c>
      <c r="N225" s="14">
        <v>0</v>
      </c>
      <c r="O225" s="14">
        <v>47</v>
      </c>
      <c r="P225" s="14">
        <v>47</v>
      </c>
    </row>
    <row r="226" spans="1:16" x14ac:dyDescent="0.3">
      <c r="A226" s="15">
        <v>225</v>
      </c>
      <c r="B226" s="16">
        <v>40553</v>
      </c>
      <c r="C226" s="15">
        <v>1</v>
      </c>
      <c r="D226" s="15">
        <v>0</v>
      </c>
      <c r="E226" s="15">
        <v>1</v>
      </c>
      <c r="F226" s="15">
        <v>15</v>
      </c>
      <c r="G226" s="17" t="b">
        <v>0</v>
      </c>
      <c r="H226" s="15">
        <v>1</v>
      </c>
      <c r="I226" s="15">
        <v>2</v>
      </c>
      <c r="J226" s="15">
        <v>0.2</v>
      </c>
      <c r="K226" s="14">
        <v>0.19700000000000001</v>
      </c>
      <c r="L226" s="14">
        <v>0.4</v>
      </c>
      <c r="M226" s="14">
        <v>0.22389999999999999</v>
      </c>
      <c r="N226" s="14">
        <v>2</v>
      </c>
      <c r="O226" s="14">
        <v>43</v>
      </c>
      <c r="P226" s="14">
        <v>45</v>
      </c>
    </row>
    <row r="227" spans="1:16" x14ac:dyDescent="0.3">
      <c r="A227" s="15">
        <v>226</v>
      </c>
      <c r="B227" s="16">
        <v>40553</v>
      </c>
      <c r="C227" s="15">
        <v>1</v>
      </c>
      <c r="D227" s="15">
        <v>0</v>
      </c>
      <c r="E227" s="15">
        <v>1</v>
      </c>
      <c r="F227" s="15">
        <v>16</v>
      </c>
      <c r="G227" s="17" t="b">
        <v>0</v>
      </c>
      <c r="H227" s="15">
        <v>1</v>
      </c>
      <c r="I227" s="15">
        <v>1</v>
      </c>
      <c r="J227" s="15">
        <v>0.2</v>
      </c>
      <c r="K227" s="14">
        <v>0.21210000000000001</v>
      </c>
      <c r="L227" s="14">
        <v>0.4</v>
      </c>
      <c r="M227" s="14">
        <v>0.1343</v>
      </c>
      <c r="N227" s="14">
        <v>4</v>
      </c>
      <c r="O227" s="14">
        <v>70</v>
      </c>
      <c r="P227" s="14">
        <v>74</v>
      </c>
    </row>
    <row r="228" spans="1:16" x14ac:dyDescent="0.3">
      <c r="A228" s="15">
        <v>227</v>
      </c>
      <c r="B228" s="16">
        <v>40553</v>
      </c>
      <c r="C228" s="15">
        <v>1</v>
      </c>
      <c r="D228" s="15">
        <v>0</v>
      </c>
      <c r="E228" s="15">
        <v>1</v>
      </c>
      <c r="F228" s="15">
        <v>17</v>
      </c>
      <c r="G228" s="17" t="b">
        <v>0</v>
      </c>
      <c r="H228" s="15">
        <v>1</v>
      </c>
      <c r="I228" s="15">
        <v>1</v>
      </c>
      <c r="J228" s="15">
        <v>0.2</v>
      </c>
      <c r="K228" s="14">
        <v>0.2273</v>
      </c>
      <c r="L228" s="14">
        <v>0.4</v>
      </c>
      <c r="M228" s="14">
        <v>0.1045</v>
      </c>
      <c r="N228" s="14">
        <v>4</v>
      </c>
      <c r="O228" s="14">
        <v>174</v>
      </c>
      <c r="P228" s="14">
        <v>178</v>
      </c>
    </row>
    <row r="229" spans="1:16" x14ac:dyDescent="0.3">
      <c r="A229" s="15">
        <v>228</v>
      </c>
      <c r="B229" s="16">
        <v>40553</v>
      </c>
      <c r="C229" s="15">
        <v>1</v>
      </c>
      <c r="D229" s="15">
        <v>0</v>
      </c>
      <c r="E229" s="15">
        <v>1</v>
      </c>
      <c r="F229" s="15">
        <v>18</v>
      </c>
      <c r="G229" s="17" t="b">
        <v>0</v>
      </c>
      <c r="H229" s="15">
        <v>1</v>
      </c>
      <c r="I229" s="15">
        <v>1</v>
      </c>
      <c r="J229" s="15">
        <v>0.2</v>
      </c>
      <c r="K229" s="14">
        <v>0.19700000000000001</v>
      </c>
      <c r="L229" s="14">
        <v>0.4</v>
      </c>
      <c r="M229" s="14">
        <v>0.22389999999999999</v>
      </c>
      <c r="N229" s="14">
        <v>1</v>
      </c>
      <c r="O229" s="14">
        <v>154</v>
      </c>
      <c r="P229" s="14">
        <v>155</v>
      </c>
    </row>
    <row r="230" spans="1:16" x14ac:dyDescent="0.3">
      <c r="A230" s="15">
        <v>229</v>
      </c>
      <c r="B230" s="16">
        <v>40553</v>
      </c>
      <c r="C230" s="15">
        <v>1</v>
      </c>
      <c r="D230" s="15">
        <v>0</v>
      </c>
      <c r="E230" s="15">
        <v>1</v>
      </c>
      <c r="F230" s="15">
        <v>19</v>
      </c>
      <c r="G230" s="17" t="b">
        <v>0</v>
      </c>
      <c r="H230" s="15">
        <v>1</v>
      </c>
      <c r="I230" s="15">
        <v>1</v>
      </c>
      <c r="J230" s="15">
        <v>0.16</v>
      </c>
      <c r="K230" s="14">
        <v>0.16669999999999999</v>
      </c>
      <c r="L230" s="14">
        <v>0.47</v>
      </c>
      <c r="M230" s="14">
        <v>0.16420000000000001</v>
      </c>
      <c r="N230" s="14">
        <v>3</v>
      </c>
      <c r="O230" s="14">
        <v>92</v>
      </c>
      <c r="P230" s="14">
        <v>95</v>
      </c>
    </row>
    <row r="231" spans="1:16" x14ac:dyDescent="0.3">
      <c r="A231" s="15">
        <v>230</v>
      </c>
      <c r="B231" s="16">
        <v>40553</v>
      </c>
      <c r="C231" s="15">
        <v>1</v>
      </c>
      <c r="D231" s="15">
        <v>0</v>
      </c>
      <c r="E231" s="15">
        <v>1</v>
      </c>
      <c r="F231" s="15">
        <v>20</v>
      </c>
      <c r="G231" s="17" t="b">
        <v>0</v>
      </c>
      <c r="H231" s="15">
        <v>1</v>
      </c>
      <c r="I231" s="15">
        <v>1</v>
      </c>
      <c r="J231" s="15">
        <v>0.16</v>
      </c>
      <c r="K231" s="14">
        <v>0.16669999999999999</v>
      </c>
      <c r="L231" s="14">
        <v>0.5</v>
      </c>
      <c r="M231" s="14">
        <v>0.16420000000000001</v>
      </c>
      <c r="N231" s="14">
        <v>1</v>
      </c>
      <c r="O231" s="14">
        <v>73</v>
      </c>
      <c r="P231" s="14">
        <v>74</v>
      </c>
    </row>
    <row r="232" spans="1:16" x14ac:dyDescent="0.3">
      <c r="A232" s="15">
        <v>231</v>
      </c>
      <c r="B232" s="16">
        <v>40553</v>
      </c>
      <c r="C232" s="15">
        <v>1</v>
      </c>
      <c r="D232" s="15">
        <v>0</v>
      </c>
      <c r="E232" s="15">
        <v>1</v>
      </c>
      <c r="F232" s="15">
        <v>21</v>
      </c>
      <c r="G232" s="17" t="b">
        <v>0</v>
      </c>
      <c r="H232" s="15">
        <v>1</v>
      </c>
      <c r="I232" s="15">
        <v>1</v>
      </c>
      <c r="J232" s="15">
        <v>0.14000000000000001</v>
      </c>
      <c r="K232" s="14">
        <v>0.13639999999999999</v>
      </c>
      <c r="L232" s="14">
        <v>0.59</v>
      </c>
      <c r="M232" s="14">
        <v>0.19400000000000001</v>
      </c>
      <c r="N232" s="14">
        <v>1</v>
      </c>
      <c r="O232" s="14">
        <v>37</v>
      </c>
      <c r="P232" s="14">
        <v>38</v>
      </c>
    </row>
    <row r="233" spans="1:16" x14ac:dyDescent="0.3">
      <c r="A233" s="15">
        <v>232</v>
      </c>
      <c r="B233" s="16">
        <v>40553</v>
      </c>
      <c r="C233" s="15">
        <v>1</v>
      </c>
      <c r="D233" s="15">
        <v>0</v>
      </c>
      <c r="E233" s="15">
        <v>1</v>
      </c>
      <c r="F233" s="15">
        <v>22</v>
      </c>
      <c r="G233" s="17" t="b">
        <v>0</v>
      </c>
      <c r="H233" s="15">
        <v>1</v>
      </c>
      <c r="I233" s="15">
        <v>1</v>
      </c>
      <c r="J233" s="15">
        <v>0.14000000000000001</v>
      </c>
      <c r="K233" s="14">
        <v>0.1515</v>
      </c>
      <c r="L233" s="14">
        <v>0.59</v>
      </c>
      <c r="M233" s="14">
        <v>0.16420000000000001</v>
      </c>
      <c r="N233" s="14">
        <v>2</v>
      </c>
      <c r="O233" s="14">
        <v>22</v>
      </c>
      <c r="P233" s="14">
        <v>24</v>
      </c>
    </row>
    <row r="234" spans="1:16" x14ac:dyDescent="0.3">
      <c r="A234" s="15">
        <v>233</v>
      </c>
      <c r="B234" s="16">
        <v>40553</v>
      </c>
      <c r="C234" s="15">
        <v>1</v>
      </c>
      <c r="D234" s="15">
        <v>0</v>
      </c>
      <c r="E234" s="15">
        <v>1</v>
      </c>
      <c r="F234" s="15">
        <v>23</v>
      </c>
      <c r="G234" s="17" t="b">
        <v>0</v>
      </c>
      <c r="H234" s="15">
        <v>1</v>
      </c>
      <c r="I234" s="15">
        <v>1</v>
      </c>
      <c r="J234" s="15">
        <v>0.14000000000000001</v>
      </c>
      <c r="K234" s="14">
        <v>0.1515</v>
      </c>
      <c r="L234" s="14">
        <v>0.59</v>
      </c>
      <c r="M234" s="14">
        <v>0.16420000000000001</v>
      </c>
      <c r="N234" s="14">
        <v>0</v>
      </c>
      <c r="O234" s="14">
        <v>18</v>
      </c>
      <c r="P234" s="14">
        <v>18</v>
      </c>
    </row>
    <row r="235" spans="1:16" x14ac:dyDescent="0.3">
      <c r="A235" s="15">
        <v>234</v>
      </c>
      <c r="B235" s="16">
        <v>40554</v>
      </c>
      <c r="C235" s="15">
        <v>1</v>
      </c>
      <c r="D235" s="15">
        <v>0</v>
      </c>
      <c r="E235" s="15">
        <v>1</v>
      </c>
      <c r="F235" s="15">
        <v>0</v>
      </c>
      <c r="G235" s="17" t="b">
        <v>0</v>
      </c>
      <c r="H235" s="15">
        <v>2</v>
      </c>
      <c r="I235" s="15">
        <v>1</v>
      </c>
      <c r="J235" s="15">
        <v>0.14000000000000001</v>
      </c>
      <c r="K235" s="14">
        <v>0.16669999999999999</v>
      </c>
      <c r="L235" s="14">
        <v>0.59</v>
      </c>
      <c r="M235" s="14">
        <v>0.1045</v>
      </c>
      <c r="N235" s="14">
        <v>2</v>
      </c>
      <c r="O235" s="14">
        <v>10</v>
      </c>
      <c r="P235" s="14">
        <v>12</v>
      </c>
    </row>
    <row r="236" spans="1:16" x14ac:dyDescent="0.3">
      <c r="A236" s="15">
        <v>235</v>
      </c>
      <c r="B236" s="16">
        <v>40554</v>
      </c>
      <c r="C236" s="15">
        <v>1</v>
      </c>
      <c r="D236" s="15">
        <v>0</v>
      </c>
      <c r="E236" s="15">
        <v>1</v>
      </c>
      <c r="F236" s="15">
        <v>1</v>
      </c>
      <c r="G236" s="17" t="b">
        <v>0</v>
      </c>
      <c r="H236" s="15">
        <v>2</v>
      </c>
      <c r="I236" s="15">
        <v>1</v>
      </c>
      <c r="J236" s="15">
        <v>0.14000000000000001</v>
      </c>
      <c r="K236" s="14">
        <v>0.1515</v>
      </c>
      <c r="L236" s="14">
        <v>0.59</v>
      </c>
      <c r="M236" s="14">
        <v>0.16420000000000001</v>
      </c>
      <c r="N236" s="14">
        <v>0</v>
      </c>
      <c r="O236" s="14">
        <v>3</v>
      </c>
      <c r="P236" s="14">
        <v>3</v>
      </c>
    </row>
    <row r="237" spans="1:16" x14ac:dyDescent="0.3">
      <c r="A237" s="15">
        <v>236</v>
      </c>
      <c r="B237" s="16">
        <v>40554</v>
      </c>
      <c r="C237" s="15">
        <v>1</v>
      </c>
      <c r="D237" s="15">
        <v>0</v>
      </c>
      <c r="E237" s="15">
        <v>1</v>
      </c>
      <c r="F237" s="15">
        <v>2</v>
      </c>
      <c r="G237" s="17" t="b">
        <v>0</v>
      </c>
      <c r="H237" s="15">
        <v>2</v>
      </c>
      <c r="I237" s="15">
        <v>2</v>
      </c>
      <c r="J237" s="15">
        <v>0.16</v>
      </c>
      <c r="K237" s="14">
        <v>0.1515</v>
      </c>
      <c r="L237" s="14">
        <v>0.55000000000000004</v>
      </c>
      <c r="M237" s="14">
        <v>0.19400000000000001</v>
      </c>
      <c r="N237" s="14">
        <v>0</v>
      </c>
      <c r="O237" s="14">
        <v>3</v>
      </c>
      <c r="P237" s="14">
        <v>3</v>
      </c>
    </row>
    <row r="238" spans="1:16" x14ac:dyDescent="0.3">
      <c r="A238" s="15">
        <v>237</v>
      </c>
      <c r="B238" s="16">
        <v>40554</v>
      </c>
      <c r="C238" s="15">
        <v>1</v>
      </c>
      <c r="D238" s="15">
        <v>0</v>
      </c>
      <c r="E238" s="15">
        <v>1</v>
      </c>
      <c r="F238" s="15">
        <v>5</v>
      </c>
      <c r="G238" s="17" t="b">
        <v>0</v>
      </c>
      <c r="H238" s="15">
        <v>2</v>
      </c>
      <c r="I238" s="15">
        <v>2</v>
      </c>
      <c r="J238" s="15">
        <v>0.16</v>
      </c>
      <c r="K238" s="14">
        <v>0.18179999999999999</v>
      </c>
      <c r="L238" s="14">
        <v>0.55000000000000004</v>
      </c>
      <c r="M238" s="14">
        <v>0.1343</v>
      </c>
      <c r="N238" s="14">
        <v>0</v>
      </c>
      <c r="O238" s="14">
        <v>6</v>
      </c>
      <c r="P238" s="14">
        <v>6</v>
      </c>
    </row>
    <row r="239" spans="1:16" x14ac:dyDescent="0.3">
      <c r="A239" s="15">
        <v>238</v>
      </c>
      <c r="B239" s="16">
        <v>40554</v>
      </c>
      <c r="C239" s="15">
        <v>1</v>
      </c>
      <c r="D239" s="15">
        <v>0</v>
      </c>
      <c r="E239" s="15">
        <v>1</v>
      </c>
      <c r="F239" s="15">
        <v>6</v>
      </c>
      <c r="G239" s="17" t="b">
        <v>0</v>
      </c>
      <c r="H239" s="15">
        <v>2</v>
      </c>
      <c r="I239" s="15">
        <v>2</v>
      </c>
      <c r="J239" s="15">
        <v>0.16</v>
      </c>
      <c r="K239" s="14">
        <v>0.18179999999999999</v>
      </c>
      <c r="L239" s="14">
        <v>0.55000000000000004</v>
      </c>
      <c r="M239" s="14">
        <v>0.1343</v>
      </c>
      <c r="N239" s="14">
        <v>0</v>
      </c>
      <c r="O239" s="14">
        <v>27</v>
      </c>
      <c r="P239" s="14">
        <v>27</v>
      </c>
    </row>
    <row r="240" spans="1:16" x14ac:dyDescent="0.3">
      <c r="A240" s="15">
        <v>239</v>
      </c>
      <c r="B240" s="16">
        <v>40554</v>
      </c>
      <c r="C240" s="15">
        <v>1</v>
      </c>
      <c r="D240" s="15">
        <v>0</v>
      </c>
      <c r="E240" s="15">
        <v>1</v>
      </c>
      <c r="F240" s="15">
        <v>7</v>
      </c>
      <c r="G240" s="17" t="b">
        <v>0</v>
      </c>
      <c r="H240" s="15">
        <v>2</v>
      </c>
      <c r="I240" s="15">
        <v>2</v>
      </c>
      <c r="J240" s="15">
        <v>0.16</v>
      </c>
      <c r="K240" s="14">
        <v>0.2273</v>
      </c>
      <c r="L240" s="14">
        <v>0.55000000000000004</v>
      </c>
      <c r="M240" s="14">
        <v>0</v>
      </c>
      <c r="N240" s="14">
        <v>2</v>
      </c>
      <c r="O240" s="14">
        <v>97</v>
      </c>
      <c r="P240" s="14">
        <v>99</v>
      </c>
    </row>
    <row r="241" spans="1:16" x14ac:dyDescent="0.3">
      <c r="A241" s="15">
        <v>240</v>
      </c>
      <c r="B241" s="16">
        <v>40554</v>
      </c>
      <c r="C241" s="15">
        <v>1</v>
      </c>
      <c r="D241" s="15">
        <v>0</v>
      </c>
      <c r="E241" s="15">
        <v>1</v>
      </c>
      <c r="F241" s="15">
        <v>8</v>
      </c>
      <c r="G241" s="17" t="b">
        <v>0</v>
      </c>
      <c r="H241" s="15">
        <v>2</v>
      </c>
      <c r="I241" s="15">
        <v>2</v>
      </c>
      <c r="J241" s="15">
        <v>0.18</v>
      </c>
      <c r="K241" s="14">
        <v>0.21210000000000001</v>
      </c>
      <c r="L241" s="14">
        <v>0.51</v>
      </c>
      <c r="M241" s="14">
        <v>8.9599999999999999E-2</v>
      </c>
      <c r="N241" s="14">
        <v>3</v>
      </c>
      <c r="O241" s="14">
        <v>214</v>
      </c>
      <c r="P241" s="14">
        <v>217</v>
      </c>
    </row>
    <row r="242" spans="1:16" x14ac:dyDescent="0.3">
      <c r="A242" s="15">
        <v>241</v>
      </c>
      <c r="B242" s="16">
        <v>40554</v>
      </c>
      <c r="C242" s="15">
        <v>1</v>
      </c>
      <c r="D242" s="15">
        <v>0</v>
      </c>
      <c r="E242" s="15">
        <v>1</v>
      </c>
      <c r="F242" s="15">
        <v>9</v>
      </c>
      <c r="G242" s="17" t="b">
        <v>0</v>
      </c>
      <c r="H242" s="15">
        <v>2</v>
      </c>
      <c r="I242" s="15">
        <v>2</v>
      </c>
      <c r="J242" s="15">
        <v>0.18</v>
      </c>
      <c r="K242" s="14">
        <v>0.19700000000000001</v>
      </c>
      <c r="L242" s="14">
        <v>0.51</v>
      </c>
      <c r="M242" s="14">
        <v>0.16420000000000001</v>
      </c>
      <c r="N242" s="14">
        <v>3</v>
      </c>
      <c r="O242" s="14">
        <v>127</v>
      </c>
      <c r="P242" s="14">
        <v>130</v>
      </c>
    </row>
    <row r="243" spans="1:16" x14ac:dyDescent="0.3">
      <c r="A243" s="15">
        <v>242</v>
      </c>
      <c r="B243" s="16">
        <v>40554</v>
      </c>
      <c r="C243" s="15">
        <v>1</v>
      </c>
      <c r="D243" s="15">
        <v>0</v>
      </c>
      <c r="E243" s="15">
        <v>1</v>
      </c>
      <c r="F243" s="15">
        <v>10</v>
      </c>
      <c r="G243" s="17" t="b">
        <v>0</v>
      </c>
      <c r="H243" s="15">
        <v>2</v>
      </c>
      <c r="I243" s="15">
        <v>2</v>
      </c>
      <c r="J243" s="15">
        <v>0.2</v>
      </c>
      <c r="K243" s="14">
        <v>0.21210000000000001</v>
      </c>
      <c r="L243" s="14">
        <v>0.51</v>
      </c>
      <c r="M243" s="14">
        <v>0.16420000000000001</v>
      </c>
      <c r="N243" s="14">
        <v>3</v>
      </c>
      <c r="O243" s="14">
        <v>51</v>
      </c>
      <c r="P243" s="14">
        <v>54</v>
      </c>
    </row>
    <row r="244" spans="1:16" x14ac:dyDescent="0.3">
      <c r="A244" s="15">
        <v>243</v>
      </c>
      <c r="B244" s="16">
        <v>40554</v>
      </c>
      <c r="C244" s="15">
        <v>1</v>
      </c>
      <c r="D244" s="15">
        <v>0</v>
      </c>
      <c r="E244" s="15">
        <v>1</v>
      </c>
      <c r="F244" s="15">
        <v>11</v>
      </c>
      <c r="G244" s="17" t="b">
        <v>0</v>
      </c>
      <c r="H244" s="15">
        <v>2</v>
      </c>
      <c r="I244" s="15">
        <v>2</v>
      </c>
      <c r="J244" s="15">
        <v>0.2</v>
      </c>
      <c r="K244" s="14">
        <v>0.21210000000000001</v>
      </c>
      <c r="L244" s="14">
        <v>0.47</v>
      </c>
      <c r="M244" s="14">
        <v>0.1343</v>
      </c>
      <c r="N244" s="14">
        <v>4</v>
      </c>
      <c r="O244" s="14">
        <v>31</v>
      </c>
      <c r="P244" s="14">
        <v>35</v>
      </c>
    </row>
    <row r="245" spans="1:16" x14ac:dyDescent="0.3">
      <c r="A245" s="15">
        <v>244</v>
      </c>
      <c r="B245" s="16">
        <v>40554</v>
      </c>
      <c r="C245" s="15">
        <v>1</v>
      </c>
      <c r="D245" s="15">
        <v>0</v>
      </c>
      <c r="E245" s="15">
        <v>1</v>
      </c>
      <c r="F245" s="15">
        <v>12</v>
      </c>
      <c r="G245" s="17" t="b">
        <v>0</v>
      </c>
      <c r="H245" s="15">
        <v>2</v>
      </c>
      <c r="I245" s="15">
        <v>2</v>
      </c>
      <c r="J245" s="15">
        <v>0.2</v>
      </c>
      <c r="K245" s="14">
        <v>0.2273</v>
      </c>
      <c r="L245" s="14">
        <v>0.51</v>
      </c>
      <c r="M245" s="14">
        <v>0.1045</v>
      </c>
      <c r="N245" s="14">
        <v>2</v>
      </c>
      <c r="O245" s="14">
        <v>55</v>
      </c>
      <c r="P245" s="14">
        <v>57</v>
      </c>
    </row>
    <row r="246" spans="1:16" x14ac:dyDescent="0.3">
      <c r="A246" s="15">
        <v>245</v>
      </c>
      <c r="B246" s="16">
        <v>40554</v>
      </c>
      <c r="C246" s="15">
        <v>1</v>
      </c>
      <c r="D246" s="15">
        <v>0</v>
      </c>
      <c r="E246" s="15">
        <v>1</v>
      </c>
      <c r="F246" s="15">
        <v>13</v>
      </c>
      <c r="G246" s="17" t="b">
        <v>0</v>
      </c>
      <c r="H246" s="15">
        <v>2</v>
      </c>
      <c r="I246" s="15">
        <v>2</v>
      </c>
      <c r="J246" s="15">
        <v>0.2</v>
      </c>
      <c r="K246" s="14">
        <v>0.2273</v>
      </c>
      <c r="L246" s="14">
        <v>0.59</v>
      </c>
      <c r="M246" s="14">
        <v>8.9599999999999999E-2</v>
      </c>
      <c r="N246" s="14">
        <v>6</v>
      </c>
      <c r="O246" s="14">
        <v>46</v>
      </c>
      <c r="P246" s="14">
        <v>52</v>
      </c>
    </row>
    <row r="247" spans="1:16" x14ac:dyDescent="0.3">
      <c r="A247" s="15">
        <v>246</v>
      </c>
      <c r="B247" s="16">
        <v>40554</v>
      </c>
      <c r="C247" s="15">
        <v>1</v>
      </c>
      <c r="D247" s="15">
        <v>0</v>
      </c>
      <c r="E247" s="15">
        <v>1</v>
      </c>
      <c r="F247" s="15">
        <v>14</v>
      </c>
      <c r="G247" s="17" t="b">
        <v>0</v>
      </c>
      <c r="H247" s="15">
        <v>2</v>
      </c>
      <c r="I247" s="15">
        <v>2</v>
      </c>
      <c r="J247" s="15">
        <v>0.2</v>
      </c>
      <c r="K247" s="14">
        <v>0.2273</v>
      </c>
      <c r="L247" s="14">
        <v>0.59</v>
      </c>
      <c r="M247" s="14">
        <v>8.9599999999999999E-2</v>
      </c>
      <c r="N247" s="14">
        <v>3</v>
      </c>
      <c r="O247" s="14">
        <v>60</v>
      </c>
      <c r="P247" s="14">
        <v>63</v>
      </c>
    </row>
    <row r="248" spans="1:16" x14ac:dyDescent="0.3">
      <c r="A248" s="15">
        <v>247</v>
      </c>
      <c r="B248" s="16">
        <v>40554</v>
      </c>
      <c r="C248" s="15">
        <v>1</v>
      </c>
      <c r="D248" s="15">
        <v>0</v>
      </c>
      <c r="E248" s="15">
        <v>1</v>
      </c>
      <c r="F248" s="15">
        <v>15</v>
      </c>
      <c r="G248" s="17" t="b">
        <v>0</v>
      </c>
      <c r="H248" s="15">
        <v>2</v>
      </c>
      <c r="I248" s="15">
        <v>2</v>
      </c>
      <c r="J248" s="15">
        <v>0.16</v>
      </c>
      <c r="K248" s="14">
        <v>0.19700000000000001</v>
      </c>
      <c r="L248" s="14">
        <v>0.8</v>
      </c>
      <c r="M248" s="14">
        <v>8.9599999999999999E-2</v>
      </c>
      <c r="N248" s="14">
        <v>2</v>
      </c>
      <c r="O248" s="14">
        <v>45</v>
      </c>
      <c r="P248" s="14">
        <v>47</v>
      </c>
    </row>
    <row r="249" spans="1:16" x14ac:dyDescent="0.3">
      <c r="A249" s="15">
        <v>248</v>
      </c>
      <c r="B249" s="16">
        <v>40554</v>
      </c>
      <c r="C249" s="15">
        <v>1</v>
      </c>
      <c r="D249" s="15">
        <v>0</v>
      </c>
      <c r="E249" s="15">
        <v>1</v>
      </c>
      <c r="F249" s="15">
        <v>16</v>
      </c>
      <c r="G249" s="17" t="b">
        <v>0</v>
      </c>
      <c r="H249" s="15">
        <v>2</v>
      </c>
      <c r="I249" s="15">
        <v>2</v>
      </c>
      <c r="J249" s="15">
        <v>0.16</v>
      </c>
      <c r="K249" s="14">
        <v>0.1515</v>
      </c>
      <c r="L249" s="14">
        <v>0.86</v>
      </c>
      <c r="M249" s="14">
        <v>0.22389999999999999</v>
      </c>
      <c r="N249" s="14">
        <v>4</v>
      </c>
      <c r="O249" s="14">
        <v>72</v>
      </c>
      <c r="P249" s="14">
        <v>76</v>
      </c>
    </row>
    <row r="250" spans="1:16" x14ac:dyDescent="0.3">
      <c r="A250" s="15">
        <v>249</v>
      </c>
      <c r="B250" s="16">
        <v>40554</v>
      </c>
      <c r="C250" s="15">
        <v>1</v>
      </c>
      <c r="D250" s="15">
        <v>0</v>
      </c>
      <c r="E250" s="15">
        <v>1</v>
      </c>
      <c r="F250" s="15">
        <v>17</v>
      </c>
      <c r="G250" s="17" t="b">
        <v>0</v>
      </c>
      <c r="H250" s="15">
        <v>2</v>
      </c>
      <c r="I250" s="15">
        <v>2</v>
      </c>
      <c r="J250" s="15">
        <v>0.16</v>
      </c>
      <c r="K250" s="14">
        <v>0.1515</v>
      </c>
      <c r="L250" s="14">
        <v>0.86</v>
      </c>
      <c r="M250" s="14">
        <v>0.22389999999999999</v>
      </c>
      <c r="N250" s="14">
        <v>6</v>
      </c>
      <c r="O250" s="14">
        <v>130</v>
      </c>
      <c r="P250" s="14">
        <v>136</v>
      </c>
    </row>
    <row r="251" spans="1:16" x14ac:dyDescent="0.3">
      <c r="A251" s="15">
        <v>250</v>
      </c>
      <c r="B251" s="16">
        <v>40554</v>
      </c>
      <c r="C251" s="15">
        <v>1</v>
      </c>
      <c r="D251" s="15">
        <v>0</v>
      </c>
      <c r="E251" s="15">
        <v>1</v>
      </c>
      <c r="F251" s="15">
        <v>18</v>
      </c>
      <c r="G251" s="17" t="b">
        <v>0</v>
      </c>
      <c r="H251" s="15">
        <v>2</v>
      </c>
      <c r="I251" s="15">
        <v>3</v>
      </c>
      <c r="J251" s="15">
        <v>0.16</v>
      </c>
      <c r="K251" s="14">
        <v>0.18179999999999999</v>
      </c>
      <c r="L251" s="14">
        <v>0.93</v>
      </c>
      <c r="M251" s="14">
        <v>0.1045</v>
      </c>
      <c r="N251" s="14">
        <v>1</v>
      </c>
      <c r="O251" s="14">
        <v>94</v>
      </c>
      <c r="P251" s="14">
        <v>95</v>
      </c>
    </row>
    <row r="252" spans="1:16" x14ac:dyDescent="0.3">
      <c r="A252" s="15">
        <v>251</v>
      </c>
      <c r="B252" s="16">
        <v>40554</v>
      </c>
      <c r="C252" s="15">
        <v>1</v>
      </c>
      <c r="D252" s="15">
        <v>0</v>
      </c>
      <c r="E252" s="15">
        <v>1</v>
      </c>
      <c r="F252" s="15">
        <v>19</v>
      </c>
      <c r="G252" s="17" t="b">
        <v>0</v>
      </c>
      <c r="H252" s="15">
        <v>2</v>
      </c>
      <c r="I252" s="15">
        <v>3</v>
      </c>
      <c r="J252" s="15">
        <v>0.16</v>
      </c>
      <c r="K252" s="14">
        <v>0.2273</v>
      </c>
      <c r="L252" s="14">
        <v>0.93</v>
      </c>
      <c r="M252" s="14">
        <v>0</v>
      </c>
      <c r="N252" s="14">
        <v>0</v>
      </c>
      <c r="O252" s="14">
        <v>51</v>
      </c>
      <c r="P252" s="14">
        <v>51</v>
      </c>
    </row>
    <row r="253" spans="1:16" x14ac:dyDescent="0.3">
      <c r="A253" s="15">
        <v>252</v>
      </c>
      <c r="B253" s="16">
        <v>40554</v>
      </c>
      <c r="C253" s="15">
        <v>1</v>
      </c>
      <c r="D253" s="15">
        <v>0</v>
      </c>
      <c r="E253" s="15">
        <v>1</v>
      </c>
      <c r="F253" s="15">
        <v>20</v>
      </c>
      <c r="G253" s="17" t="b">
        <v>0</v>
      </c>
      <c r="H253" s="15">
        <v>2</v>
      </c>
      <c r="I253" s="15">
        <v>3</v>
      </c>
      <c r="J253" s="15">
        <v>0.16</v>
      </c>
      <c r="K253" s="14">
        <v>0.1515</v>
      </c>
      <c r="L253" s="14">
        <v>0.93</v>
      </c>
      <c r="M253" s="14">
        <v>0.19400000000000001</v>
      </c>
      <c r="N253" s="14">
        <v>0</v>
      </c>
      <c r="O253" s="14">
        <v>32</v>
      </c>
      <c r="P253" s="14">
        <v>32</v>
      </c>
    </row>
    <row r="254" spans="1:16" x14ac:dyDescent="0.3">
      <c r="A254" s="15">
        <v>253</v>
      </c>
      <c r="B254" s="16">
        <v>40554</v>
      </c>
      <c r="C254" s="15">
        <v>1</v>
      </c>
      <c r="D254" s="15">
        <v>0</v>
      </c>
      <c r="E254" s="15">
        <v>1</v>
      </c>
      <c r="F254" s="15">
        <v>21</v>
      </c>
      <c r="G254" s="17" t="b">
        <v>0</v>
      </c>
      <c r="H254" s="15">
        <v>2</v>
      </c>
      <c r="I254" s="15">
        <v>3</v>
      </c>
      <c r="J254" s="15">
        <v>0.16</v>
      </c>
      <c r="K254" s="14">
        <v>0.19700000000000001</v>
      </c>
      <c r="L254" s="14">
        <v>0.86</v>
      </c>
      <c r="M254" s="14">
        <v>8.9599999999999999E-2</v>
      </c>
      <c r="N254" s="14">
        <v>0</v>
      </c>
      <c r="O254" s="14">
        <v>20</v>
      </c>
      <c r="P254" s="14">
        <v>20</v>
      </c>
    </row>
    <row r="255" spans="1:16" x14ac:dyDescent="0.3">
      <c r="A255" s="15">
        <v>254</v>
      </c>
      <c r="B255" s="16">
        <v>40554</v>
      </c>
      <c r="C255" s="15">
        <v>1</v>
      </c>
      <c r="D255" s="15">
        <v>0</v>
      </c>
      <c r="E255" s="15">
        <v>1</v>
      </c>
      <c r="F255" s="15">
        <v>22</v>
      </c>
      <c r="G255" s="17" t="b">
        <v>0</v>
      </c>
      <c r="H255" s="15">
        <v>2</v>
      </c>
      <c r="I255" s="15">
        <v>3</v>
      </c>
      <c r="J255" s="15">
        <v>0.16</v>
      </c>
      <c r="K255" s="14">
        <v>0.18179999999999999</v>
      </c>
      <c r="L255" s="14">
        <v>0.93</v>
      </c>
      <c r="M255" s="14">
        <v>0.1045</v>
      </c>
      <c r="N255" s="14">
        <v>1</v>
      </c>
      <c r="O255" s="14">
        <v>28</v>
      </c>
      <c r="P255" s="14">
        <v>29</v>
      </c>
    </row>
    <row r="256" spans="1:16" x14ac:dyDescent="0.3">
      <c r="A256" s="15">
        <v>255</v>
      </c>
      <c r="B256" s="16">
        <v>40554</v>
      </c>
      <c r="C256" s="15">
        <v>1</v>
      </c>
      <c r="D256" s="15">
        <v>0</v>
      </c>
      <c r="E256" s="15">
        <v>1</v>
      </c>
      <c r="F256" s="15">
        <v>23</v>
      </c>
      <c r="G256" s="17" t="b">
        <v>0</v>
      </c>
      <c r="H256" s="15">
        <v>2</v>
      </c>
      <c r="I256" s="15">
        <v>3</v>
      </c>
      <c r="J256" s="15">
        <v>0.16</v>
      </c>
      <c r="K256" s="14">
        <v>0.19700000000000001</v>
      </c>
      <c r="L256" s="14">
        <v>0.93</v>
      </c>
      <c r="M256" s="14">
        <v>8.9599999999999999E-2</v>
      </c>
      <c r="N256" s="14">
        <v>1</v>
      </c>
      <c r="O256" s="14">
        <v>18</v>
      </c>
      <c r="P256" s="14">
        <v>19</v>
      </c>
    </row>
    <row r="257" spans="1:16" x14ac:dyDescent="0.3">
      <c r="A257" s="15">
        <v>256</v>
      </c>
      <c r="B257" s="16">
        <v>40555</v>
      </c>
      <c r="C257" s="15">
        <v>1</v>
      </c>
      <c r="D257" s="15">
        <v>0</v>
      </c>
      <c r="E257" s="15">
        <v>1</v>
      </c>
      <c r="F257" s="15">
        <v>0</v>
      </c>
      <c r="G257" s="17" t="b">
        <v>0</v>
      </c>
      <c r="H257" s="15">
        <v>3</v>
      </c>
      <c r="I257" s="15">
        <v>2</v>
      </c>
      <c r="J257" s="15">
        <v>0.16</v>
      </c>
      <c r="K257" s="14">
        <v>0.19700000000000001</v>
      </c>
      <c r="L257" s="14">
        <v>0.86</v>
      </c>
      <c r="M257" s="14">
        <v>8.9599999999999999E-2</v>
      </c>
      <c r="N257" s="14">
        <v>0</v>
      </c>
      <c r="O257" s="14">
        <v>7</v>
      </c>
      <c r="P257" s="14">
        <v>7</v>
      </c>
    </row>
    <row r="258" spans="1:16" x14ac:dyDescent="0.3">
      <c r="A258" s="15">
        <v>257</v>
      </c>
      <c r="B258" s="16">
        <v>40555</v>
      </c>
      <c r="C258" s="15">
        <v>1</v>
      </c>
      <c r="D258" s="15">
        <v>0</v>
      </c>
      <c r="E258" s="15">
        <v>1</v>
      </c>
      <c r="F258" s="15">
        <v>1</v>
      </c>
      <c r="G258" s="17" t="b">
        <v>0</v>
      </c>
      <c r="H258" s="15">
        <v>3</v>
      </c>
      <c r="I258" s="15">
        <v>2</v>
      </c>
      <c r="J258" s="15">
        <v>0.16</v>
      </c>
      <c r="K258" s="14">
        <v>0.18179999999999999</v>
      </c>
      <c r="L258" s="14">
        <v>0.86</v>
      </c>
      <c r="M258" s="14">
        <v>0.1045</v>
      </c>
      <c r="N258" s="14">
        <v>0</v>
      </c>
      <c r="O258" s="14">
        <v>6</v>
      </c>
      <c r="P258" s="14">
        <v>6</v>
      </c>
    </row>
    <row r="259" spans="1:16" x14ac:dyDescent="0.3">
      <c r="A259" s="15">
        <v>258</v>
      </c>
      <c r="B259" s="16">
        <v>40555</v>
      </c>
      <c r="C259" s="15">
        <v>1</v>
      </c>
      <c r="D259" s="15">
        <v>0</v>
      </c>
      <c r="E259" s="15">
        <v>1</v>
      </c>
      <c r="F259" s="15">
        <v>2</v>
      </c>
      <c r="G259" s="17" t="b">
        <v>0</v>
      </c>
      <c r="H259" s="15">
        <v>3</v>
      </c>
      <c r="I259" s="15">
        <v>1</v>
      </c>
      <c r="J259" s="15">
        <v>0.14000000000000001</v>
      </c>
      <c r="K259" s="14">
        <v>0.1515</v>
      </c>
      <c r="L259" s="14">
        <v>0.86</v>
      </c>
      <c r="M259" s="14">
        <v>0.1343</v>
      </c>
      <c r="N259" s="14">
        <v>0</v>
      </c>
      <c r="O259" s="14">
        <v>1</v>
      </c>
      <c r="P259" s="14">
        <v>1</v>
      </c>
    </row>
    <row r="260" spans="1:16" x14ac:dyDescent="0.3">
      <c r="A260" s="15">
        <v>259</v>
      </c>
      <c r="B260" s="16">
        <v>40555</v>
      </c>
      <c r="C260" s="15">
        <v>1</v>
      </c>
      <c r="D260" s="15">
        <v>0</v>
      </c>
      <c r="E260" s="15">
        <v>1</v>
      </c>
      <c r="F260" s="15">
        <v>5</v>
      </c>
      <c r="G260" s="17" t="b">
        <v>0</v>
      </c>
      <c r="H260" s="15">
        <v>3</v>
      </c>
      <c r="I260" s="15">
        <v>1</v>
      </c>
      <c r="J260" s="15">
        <v>0.14000000000000001</v>
      </c>
      <c r="K260" s="14">
        <v>0.1515</v>
      </c>
      <c r="L260" s="14">
        <v>0.86</v>
      </c>
      <c r="M260" s="14">
        <v>0.16420000000000001</v>
      </c>
      <c r="N260" s="14">
        <v>0</v>
      </c>
      <c r="O260" s="14">
        <v>5</v>
      </c>
      <c r="P260" s="14">
        <v>5</v>
      </c>
    </row>
    <row r="261" spans="1:16" x14ac:dyDescent="0.3">
      <c r="A261" s="15">
        <v>260</v>
      </c>
      <c r="B261" s="16">
        <v>40555</v>
      </c>
      <c r="C261" s="15">
        <v>1</v>
      </c>
      <c r="D261" s="15">
        <v>0</v>
      </c>
      <c r="E261" s="15">
        <v>1</v>
      </c>
      <c r="F261" s="15">
        <v>6</v>
      </c>
      <c r="G261" s="17" t="b">
        <v>0</v>
      </c>
      <c r="H261" s="15">
        <v>3</v>
      </c>
      <c r="I261" s="15">
        <v>1</v>
      </c>
      <c r="J261" s="15">
        <v>0.12</v>
      </c>
      <c r="K261" s="14">
        <v>0.1515</v>
      </c>
      <c r="L261" s="14">
        <v>0.93</v>
      </c>
      <c r="M261" s="14">
        <v>0.1343</v>
      </c>
      <c r="N261" s="14">
        <v>0</v>
      </c>
      <c r="O261" s="14">
        <v>16</v>
      </c>
      <c r="P261" s="14">
        <v>16</v>
      </c>
    </row>
    <row r="262" spans="1:16" x14ac:dyDescent="0.3">
      <c r="A262" s="15">
        <v>261</v>
      </c>
      <c r="B262" s="16">
        <v>40555</v>
      </c>
      <c r="C262" s="15">
        <v>1</v>
      </c>
      <c r="D262" s="15">
        <v>0</v>
      </c>
      <c r="E262" s="15">
        <v>1</v>
      </c>
      <c r="F262" s="15">
        <v>7</v>
      </c>
      <c r="G262" s="17" t="b">
        <v>0</v>
      </c>
      <c r="H262" s="15">
        <v>3</v>
      </c>
      <c r="I262" s="15">
        <v>1</v>
      </c>
      <c r="J262" s="15">
        <v>0.14000000000000001</v>
      </c>
      <c r="K262" s="14">
        <v>0.1515</v>
      </c>
      <c r="L262" s="14">
        <v>0.69</v>
      </c>
      <c r="M262" s="14">
        <v>0.1343</v>
      </c>
      <c r="N262" s="14">
        <v>0</v>
      </c>
      <c r="O262" s="14">
        <v>54</v>
      </c>
      <c r="P262" s="14">
        <v>54</v>
      </c>
    </row>
    <row r="263" spans="1:16" x14ac:dyDescent="0.3">
      <c r="A263" s="15">
        <v>262</v>
      </c>
      <c r="B263" s="16">
        <v>40555</v>
      </c>
      <c r="C263" s="15">
        <v>1</v>
      </c>
      <c r="D263" s="15">
        <v>0</v>
      </c>
      <c r="E263" s="15">
        <v>1</v>
      </c>
      <c r="F263" s="15">
        <v>8</v>
      </c>
      <c r="G263" s="17" t="b">
        <v>0</v>
      </c>
      <c r="H263" s="15">
        <v>3</v>
      </c>
      <c r="I263" s="15">
        <v>1</v>
      </c>
      <c r="J263" s="15">
        <v>0.16</v>
      </c>
      <c r="K263" s="14">
        <v>0.16669999999999999</v>
      </c>
      <c r="L263" s="14">
        <v>0.59</v>
      </c>
      <c r="M263" s="14">
        <v>0.16420000000000001</v>
      </c>
      <c r="N263" s="14">
        <v>3</v>
      </c>
      <c r="O263" s="14">
        <v>125</v>
      </c>
      <c r="P263" s="14">
        <v>128</v>
      </c>
    </row>
    <row r="264" spans="1:16" x14ac:dyDescent="0.3">
      <c r="A264" s="15">
        <v>263</v>
      </c>
      <c r="B264" s="16">
        <v>40555</v>
      </c>
      <c r="C264" s="15">
        <v>1</v>
      </c>
      <c r="D264" s="15">
        <v>0</v>
      </c>
      <c r="E264" s="15">
        <v>1</v>
      </c>
      <c r="F264" s="15">
        <v>9</v>
      </c>
      <c r="G264" s="17" t="b">
        <v>0</v>
      </c>
      <c r="H264" s="15">
        <v>3</v>
      </c>
      <c r="I264" s="15">
        <v>1</v>
      </c>
      <c r="J264" s="15">
        <v>0.16</v>
      </c>
      <c r="K264" s="14">
        <v>0.13639999999999999</v>
      </c>
      <c r="L264" s="14">
        <v>0.59</v>
      </c>
      <c r="M264" s="14">
        <v>0.32840000000000003</v>
      </c>
      <c r="N264" s="14">
        <v>3</v>
      </c>
      <c r="O264" s="14">
        <v>78</v>
      </c>
      <c r="P264" s="14">
        <v>81</v>
      </c>
    </row>
    <row r="265" spans="1:16" x14ac:dyDescent="0.3">
      <c r="A265" s="15">
        <v>264</v>
      </c>
      <c r="B265" s="16">
        <v>40555</v>
      </c>
      <c r="C265" s="15">
        <v>1</v>
      </c>
      <c r="D265" s="15">
        <v>0</v>
      </c>
      <c r="E265" s="15">
        <v>1</v>
      </c>
      <c r="F265" s="15">
        <v>10</v>
      </c>
      <c r="G265" s="17" t="b">
        <v>0</v>
      </c>
      <c r="H265" s="15">
        <v>3</v>
      </c>
      <c r="I265" s="15">
        <v>1</v>
      </c>
      <c r="J265" s="15">
        <v>0.18</v>
      </c>
      <c r="K265" s="14">
        <v>0.18179999999999999</v>
      </c>
      <c r="L265" s="14">
        <v>0.55000000000000004</v>
      </c>
      <c r="M265" s="14">
        <v>0.22389999999999999</v>
      </c>
      <c r="N265" s="14">
        <v>0</v>
      </c>
      <c r="O265" s="14">
        <v>39</v>
      </c>
      <c r="P265" s="14">
        <v>39</v>
      </c>
    </row>
    <row r="266" spans="1:16" x14ac:dyDescent="0.3">
      <c r="A266" s="15">
        <v>265</v>
      </c>
      <c r="B266" s="16">
        <v>40555</v>
      </c>
      <c r="C266" s="15">
        <v>1</v>
      </c>
      <c r="D266" s="15">
        <v>0</v>
      </c>
      <c r="E266" s="15">
        <v>1</v>
      </c>
      <c r="F266" s="15">
        <v>11</v>
      </c>
      <c r="G266" s="17" t="b">
        <v>0</v>
      </c>
      <c r="H266" s="15">
        <v>3</v>
      </c>
      <c r="I266" s="15">
        <v>1</v>
      </c>
      <c r="J266" s="15">
        <v>0.2</v>
      </c>
      <c r="K266" s="14">
        <v>0.18179999999999999</v>
      </c>
      <c r="L266" s="14">
        <v>0.51</v>
      </c>
      <c r="M266" s="14">
        <v>0.3881</v>
      </c>
      <c r="N266" s="14">
        <v>3</v>
      </c>
      <c r="O266" s="14">
        <v>32</v>
      </c>
      <c r="P266" s="14">
        <v>35</v>
      </c>
    </row>
    <row r="267" spans="1:16" x14ac:dyDescent="0.3">
      <c r="A267" s="15">
        <v>266</v>
      </c>
      <c r="B267" s="16">
        <v>40555</v>
      </c>
      <c r="C267" s="15">
        <v>1</v>
      </c>
      <c r="D267" s="15">
        <v>0</v>
      </c>
      <c r="E267" s="15">
        <v>1</v>
      </c>
      <c r="F267" s="15">
        <v>12</v>
      </c>
      <c r="G267" s="17" t="b">
        <v>0</v>
      </c>
      <c r="H267" s="15">
        <v>3</v>
      </c>
      <c r="I267" s="15">
        <v>1</v>
      </c>
      <c r="J267" s="15">
        <v>0.2</v>
      </c>
      <c r="K267" s="14">
        <v>0.1515</v>
      </c>
      <c r="L267" s="14">
        <v>0.47</v>
      </c>
      <c r="M267" s="14">
        <v>0.58209999999999995</v>
      </c>
      <c r="N267" s="14">
        <v>3</v>
      </c>
      <c r="O267" s="14">
        <v>52</v>
      </c>
      <c r="P267" s="14">
        <v>55</v>
      </c>
    </row>
    <row r="268" spans="1:16" x14ac:dyDescent="0.3">
      <c r="A268" s="15">
        <v>267</v>
      </c>
      <c r="B268" s="16">
        <v>40555</v>
      </c>
      <c r="C268" s="15">
        <v>1</v>
      </c>
      <c r="D268" s="15">
        <v>0</v>
      </c>
      <c r="E268" s="15">
        <v>1</v>
      </c>
      <c r="F268" s="15">
        <v>13</v>
      </c>
      <c r="G268" s="17" t="b">
        <v>0</v>
      </c>
      <c r="H268" s="15">
        <v>3</v>
      </c>
      <c r="I268" s="15">
        <v>1</v>
      </c>
      <c r="J268" s="15">
        <v>0.22</v>
      </c>
      <c r="K268" s="14">
        <v>0.19700000000000001</v>
      </c>
      <c r="L268" s="14">
        <v>0.44</v>
      </c>
      <c r="M268" s="14">
        <v>0.35820000000000002</v>
      </c>
      <c r="N268" s="14">
        <v>0</v>
      </c>
      <c r="O268" s="14">
        <v>49</v>
      </c>
      <c r="P268" s="14">
        <v>49</v>
      </c>
    </row>
    <row r="269" spans="1:16" x14ac:dyDescent="0.3">
      <c r="A269" s="15">
        <v>268</v>
      </c>
      <c r="B269" s="16">
        <v>40555</v>
      </c>
      <c r="C269" s="15">
        <v>1</v>
      </c>
      <c r="D269" s="15">
        <v>0</v>
      </c>
      <c r="E269" s="15">
        <v>1</v>
      </c>
      <c r="F269" s="15">
        <v>14</v>
      </c>
      <c r="G269" s="17" t="b">
        <v>0</v>
      </c>
      <c r="H269" s="15">
        <v>3</v>
      </c>
      <c r="I269" s="15">
        <v>1</v>
      </c>
      <c r="J269" s="15">
        <v>0.2</v>
      </c>
      <c r="K269" s="14">
        <v>0.18179999999999999</v>
      </c>
      <c r="L269" s="14">
        <v>0.47</v>
      </c>
      <c r="M269" s="14">
        <v>0.32840000000000003</v>
      </c>
      <c r="N269" s="14">
        <v>0</v>
      </c>
      <c r="O269" s="14">
        <v>44</v>
      </c>
      <c r="P269" s="14">
        <v>44</v>
      </c>
    </row>
    <row r="270" spans="1:16" x14ac:dyDescent="0.3">
      <c r="A270" s="15">
        <v>269</v>
      </c>
      <c r="B270" s="16">
        <v>40555</v>
      </c>
      <c r="C270" s="15">
        <v>1</v>
      </c>
      <c r="D270" s="15">
        <v>0</v>
      </c>
      <c r="E270" s="15">
        <v>1</v>
      </c>
      <c r="F270" s="15">
        <v>15</v>
      </c>
      <c r="G270" s="17" t="b">
        <v>0</v>
      </c>
      <c r="H270" s="15">
        <v>3</v>
      </c>
      <c r="I270" s="15">
        <v>1</v>
      </c>
      <c r="J270" s="15">
        <v>0.2</v>
      </c>
      <c r="K270" s="14">
        <v>0.16669999999999999</v>
      </c>
      <c r="L270" s="14">
        <v>0.47</v>
      </c>
      <c r="M270" s="14">
        <v>0.41789999999999999</v>
      </c>
      <c r="N270" s="14">
        <v>1</v>
      </c>
      <c r="O270" s="14">
        <v>48</v>
      </c>
      <c r="P270" s="14">
        <v>49</v>
      </c>
    </row>
    <row r="271" spans="1:16" x14ac:dyDescent="0.3">
      <c r="A271" s="15">
        <v>270</v>
      </c>
      <c r="B271" s="16">
        <v>40555</v>
      </c>
      <c r="C271" s="15">
        <v>1</v>
      </c>
      <c r="D271" s="15">
        <v>0</v>
      </c>
      <c r="E271" s="15">
        <v>1</v>
      </c>
      <c r="F271" s="15">
        <v>16</v>
      </c>
      <c r="G271" s="17" t="b">
        <v>0</v>
      </c>
      <c r="H271" s="15">
        <v>3</v>
      </c>
      <c r="I271" s="15">
        <v>1</v>
      </c>
      <c r="J271" s="15">
        <v>0.22</v>
      </c>
      <c r="K271" s="14">
        <v>0.19700000000000001</v>
      </c>
      <c r="L271" s="14">
        <v>0.44</v>
      </c>
      <c r="M271" s="14">
        <v>0.32840000000000003</v>
      </c>
      <c r="N271" s="14">
        <v>5</v>
      </c>
      <c r="O271" s="14">
        <v>63</v>
      </c>
      <c r="P271" s="14">
        <v>68</v>
      </c>
    </row>
    <row r="272" spans="1:16" x14ac:dyDescent="0.3">
      <c r="A272" s="15">
        <v>271</v>
      </c>
      <c r="B272" s="16">
        <v>40555</v>
      </c>
      <c r="C272" s="15">
        <v>1</v>
      </c>
      <c r="D272" s="15">
        <v>0</v>
      </c>
      <c r="E272" s="15">
        <v>1</v>
      </c>
      <c r="F272" s="15">
        <v>17</v>
      </c>
      <c r="G272" s="17" t="b">
        <v>0</v>
      </c>
      <c r="H272" s="15">
        <v>3</v>
      </c>
      <c r="I272" s="15">
        <v>1</v>
      </c>
      <c r="J272" s="15">
        <v>0.2</v>
      </c>
      <c r="K272" s="14">
        <v>0.18179999999999999</v>
      </c>
      <c r="L272" s="14">
        <v>0.47</v>
      </c>
      <c r="M272" s="14">
        <v>0.35820000000000002</v>
      </c>
      <c r="N272" s="14">
        <v>0</v>
      </c>
      <c r="O272" s="14">
        <v>139</v>
      </c>
      <c r="P272" s="14">
        <v>139</v>
      </c>
    </row>
    <row r="273" spans="1:16" x14ac:dyDescent="0.3">
      <c r="A273" s="15">
        <v>272</v>
      </c>
      <c r="B273" s="16">
        <v>40555</v>
      </c>
      <c r="C273" s="15">
        <v>1</v>
      </c>
      <c r="D273" s="15">
        <v>0</v>
      </c>
      <c r="E273" s="15">
        <v>1</v>
      </c>
      <c r="F273" s="15">
        <v>18</v>
      </c>
      <c r="G273" s="17" t="b">
        <v>0</v>
      </c>
      <c r="H273" s="15">
        <v>3</v>
      </c>
      <c r="I273" s="15">
        <v>1</v>
      </c>
      <c r="J273" s="15">
        <v>0.2</v>
      </c>
      <c r="K273" s="14">
        <v>0.1515</v>
      </c>
      <c r="L273" s="14">
        <v>0.47</v>
      </c>
      <c r="M273" s="14">
        <v>0.52239999999999998</v>
      </c>
      <c r="N273" s="14">
        <v>2</v>
      </c>
      <c r="O273" s="14">
        <v>135</v>
      </c>
      <c r="P273" s="14">
        <v>137</v>
      </c>
    </row>
    <row r="274" spans="1:16" x14ac:dyDescent="0.3">
      <c r="A274" s="15">
        <v>273</v>
      </c>
      <c r="B274" s="16">
        <v>40555</v>
      </c>
      <c r="C274" s="15">
        <v>1</v>
      </c>
      <c r="D274" s="15">
        <v>0</v>
      </c>
      <c r="E274" s="15">
        <v>1</v>
      </c>
      <c r="F274" s="15">
        <v>19</v>
      </c>
      <c r="G274" s="17" t="b">
        <v>0</v>
      </c>
      <c r="H274" s="15">
        <v>3</v>
      </c>
      <c r="I274" s="15">
        <v>1</v>
      </c>
      <c r="J274" s="15">
        <v>0.18</v>
      </c>
      <c r="K274" s="14">
        <v>0.1515</v>
      </c>
      <c r="L274" s="14">
        <v>0.47</v>
      </c>
      <c r="M274" s="14">
        <v>0.41789999999999999</v>
      </c>
      <c r="N274" s="14">
        <v>1</v>
      </c>
      <c r="O274" s="14">
        <v>82</v>
      </c>
      <c r="P274" s="14">
        <v>83</v>
      </c>
    </row>
    <row r="275" spans="1:16" x14ac:dyDescent="0.3">
      <c r="A275" s="15">
        <v>274</v>
      </c>
      <c r="B275" s="16">
        <v>40555</v>
      </c>
      <c r="C275" s="15">
        <v>1</v>
      </c>
      <c r="D275" s="15">
        <v>0</v>
      </c>
      <c r="E275" s="15">
        <v>1</v>
      </c>
      <c r="F275" s="15">
        <v>20</v>
      </c>
      <c r="G275" s="17" t="b">
        <v>0</v>
      </c>
      <c r="H275" s="15">
        <v>3</v>
      </c>
      <c r="I275" s="15">
        <v>1</v>
      </c>
      <c r="J275" s="15">
        <v>0.16</v>
      </c>
      <c r="K275" s="14">
        <v>0.13639999999999999</v>
      </c>
      <c r="L275" s="14">
        <v>0.5</v>
      </c>
      <c r="M275" s="14">
        <v>0.32840000000000003</v>
      </c>
      <c r="N275" s="14">
        <v>2</v>
      </c>
      <c r="O275" s="14">
        <v>54</v>
      </c>
      <c r="P275" s="14">
        <v>56</v>
      </c>
    </row>
    <row r="276" spans="1:16" x14ac:dyDescent="0.3">
      <c r="A276" s="15">
        <v>275</v>
      </c>
      <c r="B276" s="16">
        <v>40555</v>
      </c>
      <c r="C276" s="15">
        <v>1</v>
      </c>
      <c r="D276" s="15">
        <v>0</v>
      </c>
      <c r="E276" s="15">
        <v>1</v>
      </c>
      <c r="F276" s="15">
        <v>21</v>
      </c>
      <c r="G276" s="17" t="b">
        <v>0</v>
      </c>
      <c r="H276" s="15">
        <v>3</v>
      </c>
      <c r="I276" s="15">
        <v>1</v>
      </c>
      <c r="J276" s="15">
        <v>0.16</v>
      </c>
      <c r="K276" s="14">
        <v>0.13639999999999999</v>
      </c>
      <c r="L276" s="14">
        <v>0.55000000000000004</v>
      </c>
      <c r="M276" s="14">
        <v>0.32840000000000003</v>
      </c>
      <c r="N276" s="14">
        <v>0</v>
      </c>
      <c r="O276" s="14">
        <v>57</v>
      </c>
      <c r="P276" s="14">
        <v>57</v>
      </c>
    </row>
    <row r="277" spans="1:16" x14ac:dyDescent="0.3">
      <c r="A277" s="15">
        <v>276</v>
      </c>
      <c r="B277" s="16">
        <v>40555</v>
      </c>
      <c r="C277" s="15">
        <v>1</v>
      </c>
      <c r="D277" s="15">
        <v>0</v>
      </c>
      <c r="E277" s="15">
        <v>1</v>
      </c>
      <c r="F277" s="15">
        <v>22</v>
      </c>
      <c r="G277" s="17" t="b">
        <v>0</v>
      </c>
      <c r="H277" s="15">
        <v>3</v>
      </c>
      <c r="I277" s="15">
        <v>1</v>
      </c>
      <c r="J277" s="15">
        <v>0.16</v>
      </c>
      <c r="K277" s="14">
        <v>0.1212</v>
      </c>
      <c r="L277" s="14">
        <v>0.55000000000000004</v>
      </c>
      <c r="M277" s="14">
        <v>0.44779999999999998</v>
      </c>
      <c r="N277" s="14">
        <v>1</v>
      </c>
      <c r="O277" s="14">
        <v>32</v>
      </c>
      <c r="P277" s="14">
        <v>33</v>
      </c>
    </row>
    <row r="278" spans="1:16" x14ac:dyDescent="0.3">
      <c r="A278" s="15">
        <v>277</v>
      </c>
      <c r="B278" s="16">
        <v>40555</v>
      </c>
      <c r="C278" s="15">
        <v>1</v>
      </c>
      <c r="D278" s="15">
        <v>0</v>
      </c>
      <c r="E278" s="15">
        <v>1</v>
      </c>
      <c r="F278" s="15">
        <v>23</v>
      </c>
      <c r="G278" s="17" t="b">
        <v>0</v>
      </c>
      <c r="H278" s="15">
        <v>3</v>
      </c>
      <c r="I278" s="15">
        <v>1</v>
      </c>
      <c r="J278" s="15">
        <v>0.14000000000000001</v>
      </c>
      <c r="K278" s="14">
        <v>0.1061</v>
      </c>
      <c r="L278" s="14">
        <v>0.59</v>
      </c>
      <c r="M278" s="14">
        <v>0.41789999999999999</v>
      </c>
      <c r="N278" s="14">
        <v>1</v>
      </c>
      <c r="O278" s="14">
        <v>19</v>
      </c>
      <c r="P278" s="14">
        <v>20</v>
      </c>
    </row>
    <row r="279" spans="1:16" x14ac:dyDescent="0.3">
      <c r="A279" s="15">
        <v>278</v>
      </c>
      <c r="B279" s="16">
        <v>40556</v>
      </c>
      <c r="C279" s="15">
        <v>1</v>
      </c>
      <c r="D279" s="15">
        <v>0</v>
      </c>
      <c r="E279" s="15">
        <v>1</v>
      </c>
      <c r="F279" s="15">
        <v>0</v>
      </c>
      <c r="G279" s="17" t="b">
        <v>0</v>
      </c>
      <c r="H279" s="15">
        <v>4</v>
      </c>
      <c r="I279" s="15">
        <v>1</v>
      </c>
      <c r="J279" s="15">
        <v>0.14000000000000001</v>
      </c>
      <c r="K279" s="14">
        <v>0.1212</v>
      </c>
      <c r="L279" s="14">
        <v>0.59</v>
      </c>
      <c r="M279" s="14">
        <v>0.28360000000000002</v>
      </c>
      <c r="N279" s="14">
        <v>1</v>
      </c>
      <c r="O279" s="14">
        <v>6</v>
      </c>
      <c r="P279" s="14">
        <v>7</v>
      </c>
    </row>
    <row r="280" spans="1:16" x14ac:dyDescent="0.3">
      <c r="A280" s="15">
        <v>279</v>
      </c>
      <c r="B280" s="16">
        <v>40556</v>
      </c>
      <c r="C280" s="15">
        <v>1</v>
      </c>
      <c r="D280" s="15">
        <v>0</v>
      </c>
      <c r="E280" s="15">
        <v>1</v>
      </c>
      <c r="F280" s="15">
        <v>1</v>
      </c>
      <c r="G280" s="17" t="b">
        <v>0</v>
      </c>
      <c r="H280" s="15">
        <v>4</v>
      </c>
      <c r="I280" s="15">
        <v>1</v>
      </c>
      <c r="J280" s="15">
        <v>0.14000000000000001</v>
      </c>
      <c r="K280" s="14">
        <v>0.1212</v>
      </c>
      <c r="L280" s="14">
        <v>0.5</v>
      </c>
      <c r="M280" s="14">
        <v>0.28360000000000002</v>
      </c>
      <c r="N280" s="14">
        <v>0</v>
      </c>
      <c r="O280" s="14">
        <v>2</v>
      </c>
      <c r="P280" s="14">
        <v>2</v>
      </c>
    </row>
    <row r="281" spans="1:16" x14ac:dyDescent="0.3">
      <c r="A281" s="15">
        <v>280</v>
      </c>
      <c r="B281" s="16">
        <v>40556</v>
      </c>
      <c r="C281" s="15">
        <v>1</v>
      </c>
      <c r="D281" s="15">
        <v>0</v>
      </c>
      <c r="E281" s="15">
        <v>1</v>
      </c>
      <c r="F281" s="15">
        <v>2</v>
      </c>
      <c r="G281" s="17" t="b">
        <v>0</v>
      </c>
      <c r="H281" s="15">
        <v>4</v>
      </c>
      <c r="I281" s="15">
        <v>1</v>
      </c>
      <c r="J281" s="15">
        <v>0.14000000000000001</v>
      </c>
      <c r="K281" s="14">
        <v>0.1212</v>
      </c>
      <c r="L281" s="14">
        <v>0.5</v>
      </c>
      <c r="M281" s="14">
        <v>0.35820000000000002</v>
      </c>
      <c r="N281" s="14">
        <v>0</v>
      </c>
      <c r="O281" s="14">
        <v>2</v>
      </c>
      <c r="P281" s="14">
        <v>2</v>
      </c>
    </row>
    <row r="282" spans="1:16" x14ac:dyDescent="0.3">
      <c r="A282" s="15">
        <v>281</v>
      </c>
      <c r="B282" s="16">
        <v>40556</v>
      </c>
      <c r="C282" s="15">
        <v>1</v>
      </c>
      <c r="D282" s="15">
        <v>0</v>
      </c>
      <c r="E282" s="15">
        <v>1</v>
      </c>
      <c r="F282" s="15">
        <v>3</v>
      </c>
      <c r="G282" s="17" t="b">
        <v>0</v>
      </c>
      <c r="H282" s="15">
        <v>4</v>
      </c>
      <c r="I282" s="15">
        <v>1</v>
      </c>
      <c r="J282" s="15">
        <v>0.14000000000000001</v>
      </c>
      <c r="K282" s="14">
        <v>0.1212</v>
      </c>
      <c r="L282" s="14">
        <v>0.5</v>
      </c>
      <c r="M282" s="14">
        <v>0.32840000000000003</v>
      </c>
      <c r="N282" s="14">
        <v>0</v>
      </c>
      <c r="O282" s="14">
        <v>3</v>
      </c>
      <c r="P282" s="14">
        <v>3</v>
      </c>
    </row>
    <row r="283" spans="1:16" x14ac:dyDescent="0.3">
      <c r="A283" s="15">
        <v>282</v>
      </c>
      <c r="B283" s="16">
        <v>40556</v>
      </c>
      <c r="C283" s="15">
        <v>1</v>
      </c>
      <c r="D283" s="15">
        <v>0</v>
      </c>
      <c r="E283" s="15">
        <v>1</v>
      </c>
      <c r="F283" s="15">
        <v>4</v>
      </c>
      <c r="G283" s="17" t="b">
        <v>0</v>
      </c>
      <c r="H283" s="15">
        <v>4</v>
      </c>
      <c r="I283" s="15">
        <v>1</v>
      </c>
      <c r="J283" s="15">
        <v>0.14000000000000001</v>
      </c>
      <c r="K283" s="14">
        <v>0.1212</v>
      </c>
      <c r="L283" s="14">
        <v>0.5</v>
      </c>
      <c r="M283" s="14">
        <v>0.25369999999999998</v>
      </c>
      <c r="N283" s="14">
        <v>0</v>
      </c>
      <c r="O283" s="14">
        <v>4</v>
      </c>
      <c r="P283" s="14">
        <v>4</v>
      </c>
    </row>
    <row r="284" spans="1:16" x14ac:dyDescent="0.3">
      <c r="A284" s="15">
        <v>283</v>
      </c>
      <c r="B284" s="16">
        <v>40556</v>
      </c>
      <c r="C284" s="15">
        <v>1</v>
      </c>
      <c r="D284" s="15">
        <v>0</v>
      </c>
      <c r="E284" s="15">
        <v>1</v>
      </c>
      <c r="F284" s="15">
        <v>5</v>
      </c>
      <c r="G284" s="17" t="b">
        <v>0</v>
      </c>
      <c r="H284" s="15">
        <v>4</v>
      </c>
      <c r="I284" s="15">
        <v>1</v>
      </c>
      <c r="J284" s="15">
        <v>0.14000000000000001</v>
      </c>
      <c r="K284" s="14">
        <v>0.1212</v>
      </c>
      <c r="L284" s="14">
        <v>0.5</v>
      </c>
      <c r="M284" s="14">
        <v>0.29849999999999999</v>
      </c>
      <c r="N284" s="14">
        <v>0</v>
      </c>
      <c r="O284" s="14">
        <v>3</v>
      </c>
      <c r="P284" s="14">
        <v>3</v>
      </c>
    </row>
    <row r="285" spans="1:16" x14ac:dyDescent="0.3">
      <c r="A285" s="15">
        <v>284</v>
      </c>
      <c r="B285" s="16">
        <v>40556</v>
      </c>
      <c r="C285" s="15">
        <v>1</v>
      </c>
      <c r="D285" s="15">
        <v>0</v>
      </c>
      <c r="E285" s="15">
        <v>1</v>
      </c>
      <c r="F285" s="15">
        <v>6</v>
      </c>
      <c r="G285" s="17" t="b">
        <v>0</v>
      </c>
      <c r="H285" s="15">
        <v>4</v>
      </c>
      <c r="I285" s="15">
        <v>1</v>
      </c>
      <c r="J285" s="15">
        <v>0.12</v>
      </c>
      <c r="K285" s="14">
        <v>0.1515</v>
      </c>
      <c r="L285" s="14">
        <v>0.54</v>
      </c>
      <c r="M285" s="14">
        <v>0.1343</v>
      </c>
      <c r="N285" s="14">
        <v>0</v>
      </c>
      <c r="O285" s="14">
        <v>28</v>
      </c>
      <c r="P285" s="14">
        <v>28</v>
      </c>
    </row>
    <row r="286" spans="1:16" x14ac:dyDescent="0.3">
      <c r="A286" s="15">
        <v>285</v>
      </c>
      <c r="B286" s="16">
        <v>40556</v>
      </c>
      <c r="C286" s="15">
        <v>1</v>
      </c>
      <c r="D286" s="15">
        <v>0</v>
      </c>
      <c r="E286" s="15">
        <v>1</v>
      </c>
      <c r="F286" s="15">
        <v>7</v>
      </c>
      <c r="G286" s="17" t="b">
        <v>0</v>
      </c>
      <c r="H286" s="15">
        <v>4</v>
      </c>
      <c r="I286" s="15">
        <v>1</v>
      </c>
      <c r="J286" s="15">
        <v>0.12</v>
      </c>
      <c r="K286" s="14">
        <v>0.1515</v>
      </c>
      <c r="L286" s="14">
        <v>0.54</v>
      </c>
      <c r="M286" s="14">
        <v>0.1343</v>
      </c>
      <c r="N286" s="14">
        <v>0</v>
      </c>
      <c r="O286" s="14">
        <v>72</v>
      </c>
      <c r="P286" s="14">
        <v>72</v>
      </c>
    </row>
    <row r="287" spans="1:16" x14ac:dyDescent="0.3">
      <c r="A287" s="15">
        <v>286</v>
      </c>
      <c r="B287" s="16">
        <v>40556</v>
      </c>
      <c r="C287" s="15">
        <v>1</v>
      </c>
      <c r="D287" s="15">
        <v>0</v>
      </c>
      <c r="E287" s="15">
        <v>1</v>
      </c>
      <c r="F287" s="15">
        <v>8</v>
      </c>
      <c r="G287" s="17" t="b">
        <v>0</v>
      </c>
      <c r="H287" s="15">
        <v>4</v>
      </c>
      <c r="I287" s="15">
        <v>1</v>
      </c>
      <c r="J287" s="15">
        <v>0.14000000000000001</v>
      </c>
      <c r="K287" s="14">
        <v>0.13639999999999999</v>
      </c>
      <c r="L287" s="14">
        <v>0.5</v>
      </c>
      <c r="M287" s="14">
        <v>0.19400000000000001</v>
      </c>
      <c r="N287" s="14">
        <v>5</v>
      </c>
      <c r="O287" s="14">
        <v>197</v>
      </c>
      <c r="P287" s="14">
        <v>202</v>
      </c>
    </row>
    <row r="288" spans="1:16" x14ac:dyDescent="0.3">
      <c r="A288" s="15">
        <v>287</v>
      </c>
      <c r="B288" s="16">
        <v>40556</v>
      </c>
      <c r="C288" s="15">
        <v>1</v>
      </c>
      <c r="D288" s="15">
        <v>0</v>
      </c>
      <c r="E288" s="15">
        <v>1</v>
      </c>
      <c r="F288" s="15">
        <v>9</v>
      </c>
      <c r="G288" s="17" t="b">
        <v>0</v>
      </c>
      <c r="H288" s="15">
        <v>4</v>
      </c>
      <c r="I288" s="15">
        <v>1</v>
      </c>
      <c r="J288" s="15">
        <v>0.14000000000000001</v>
      </c>
      <c r="K288" s="14">
        <v>0.1212</v>
      </c>
      <c r="L288" s="14">
        <v>0.5</v>
      </c>
      <c r="M288" s="14">
        <v>0.32840000000000003</v>
      </c>
      <c r="N288" s="14">
        <v>2</v>
      </c>
      <c r="O288" s="14">
        <v>137</v>
      </c>
      <c r="P288" s="14">
        <v>139</v>
      </c>
    </row>
    <row r="289" spans="1:16" x14ac:dyDescent="0.3">
      <c r="A289" s="15">
        <v>288</v>
      </c>
      <c r="B289" s="16">
        <v>40556</v>
      </c>
      <c r="C289" s="15">
        <v>1</v>
      </c>
      <c r="D289" s="15">
        <v>0</v>
      </c>
      <c r="E289" s="15">
        <v>1</v>
      </c>
      <c r="F289" s="15">
        <v>10</v>
      </c>
      <c r="G289" s="17" t="b">
        <v>0</v>
      </c>
      <c r="H289" s="15">
        <v>4</v>
      </c>
      <c r="I289" s="15">
        <v>2</v>
      </c>
      <c r="J289" s="15">
        <v>0.16</v>
      </c>
      <c r="K289" s="14">
        <v>0.13639999999999999</v>
      </c>
      <c r="L289" s="14">
        <v>0.5</v>
      </c>
      <c r="M289" s="14">
        <v>0.35820000000000002</v>
      </c>
      <c r="N289" s="14">
        <v>2</v>
      </c>
      <c r="O289" s="14">
        <v>36</v>
      </c>
      <c r="P289" s="14">
        <v>38</v>
      </c>
    </row>
    <row r="290" spans="1:16" x14ac:dyDescent="0.3">
      <c r="A290" s="15">
        <v>289</v>
      </c>
      <c r="B290" s="16">
        <v>40556</v>
      </c>
      <c r="C290" s="15">
        <v>1</v>
      </c>
      <c r="D290" s="15">
        <v>0</v>
      </c>
      <c r="E290" s="15">
        <v>1</v>
      </c>
      <c r="F290" s="15">
        <v>11</v>
      </c>
      <c r="G290" s="17" t="b">
        <v>0</v>
      </c>
      <c r="H290" s="15">
        <v>4</v>
      </c>
      <c r="I290" s="15">
        <v>2</v>
      </c>
      <c r="J290" s="15">
        <v>0.2</v>
      </c>
      <c r="K290" s="14">
        <v>0.16669999999999999</v>
      </c>
      <c r="L290" s="14">
        <v>0.44</v>
      </c>
      <c r="M290" s="14">
        <v>0.44779999999999998</v>
      </c>
      <c r="N290" s="14">
        <v>4</v>
      </c>
      <c r="O290" s="14">
        <v>33</v>
      </c>
      <c r="P290" s="14">
        <v>37</v>
      </c>
    </row>
    <row r="291" spans="1:16" x14ac:dyDescent="0.3">
      <c r="A291" s="15">
        <v>290</v>
      </c>
      <c r="B291" s="16">
        <v>40556</v>
      </c>
      <c r="C291" s="15">
        <v>1</v>
      </c>
      <c r="D291" s="15">
        <v>0</v>
      </c>
      <c r="E291" s="15">
        <v>1</v>
      </c>
      <c r="F291" s="15">
        <v>12</v>
      </c>
      <c r="G291" s="17" t="b">
        <v>0</v>
      </c>
      <c r="H291" s="15">
        <v>4</v>
      </c>
      <c r="I291" s="15">
        <v>1</v>
      </c>
      <c r="J291" s="15">
        <v>0.2</v>
      </c>
      <c r="K291" s="14">
        <v>0.16669999999999999</v>
      </c>
      <c r="L291" s="14">
        <v>0.44</v>
      </c>
      <c r="M291" s="14">
        <v>0.41789999999999999</v>
      </c>
      <c r="N291" s="14">
        <v>3</v>
      </c>
      <c r="O291" s="14">
        <v>49</v>
      </c>
      <c r="P291" s="14">
        <v>52</v>
      </c>
    </row>
    <row r="292" spans="1:16" x14ac:dyDescent="0.3">
      <c r="A292" s="15">
        <v>291</v>
      </c>
      <c r="B292" s="16">
        <v>40556</v>
      </c>
      <c r="C292" s="15">
        <v>1</v>
      </c>
      <c r="D292" s="15">
        <v>0</v>
      </c>
      <c r="E292" s="15">
        <v>1</v>
      </c>
      <c r="F292" s="15">
        <v>13</v>
      </c>
      <c r="G292" s="17" t="b">
        <v>0</v>
      </c>
      <c r="H292" s="15">
        <v>4</v>
      </c>
      <c r="I292" s="15">
        <v>1</v>
      </c>
      <c r="J292" s="15">
        <v>0.22</v>
      </c>
      <c r="K292" s="14">
        <v>0.19700000000000001</v>
      </c>
      <c r="L292" s="14">
        <v>0.41</v>
      </c>
      <c r="M292" s="14">
        <v>0.44779999999999998</v>
      </c>
      <c r="N292" s="14">
        <v>2</v>
      </c>
      <c r="O292" s="14">
        <v>81</v>
      </c>
      <c r="P292" s="14">
        <v>83</v>
      </c>
    </row>
    <row r="293" spans="1:16" x14ac:dyDescent="0.3">
      <c r="A293" s="15">
        <v>292</v>
      </c>
      <c r="B293" s="16">
        <v>40556</v>
      </c>
      <c r="C293" s="15">
        <v>1</v>
      </c>
      <c r="D293" s="15">
        <v>0</v>
      </c>
      <c r="E293" s="15">
        <v>1</v>
      </c>
      <c r="F293" s="15">
        <v>14</v>
      </c>
      <c r="G293" s="17" t="b">
        <v>0</v>
      </c>
      <c r="H293" s="15">
        <v>4</v>
      </c>
      <c r="I293" s="15">
        <v>1</v>
      </c>
      <c r="J293" s="15">
        <v>0.22</v>
      </c>
      <c r="K293" s="14">
        <v>0.19700000000000001</v>
      </c>
      <c r="L293" s="14">
        <v>0.41</v>
      </c>
      <c r="M293" s="14">
        <v>0.3881</v>
      </c>
      <c r="N293" s="14">
        <v>3</v>
      </c>
      <c r="O293" s="14">
        <v>39</v>
      </c>
      <c r="P293" s="14">
        <v>42</v>
      </c>
    </row>
    <row r="294" spans="1:16" x14ac:dyDescent="0.3">
      <c r="A294" s="15">
        <v>293</v>
      </c>
      <c r="B294" s="16">
        <v>40556</v>
      </c>
      <c r="C294" s="15">
        <v>1</v>
      </c>
      <c r="D294" s="15">
        <v>0</v>
      </c>
      <c r="E294" s="15">
        <v>1</v>
      </c>
      <c r="F294" s="15">
        <v>15</v>
      </c>
      <c r="G294" s="17" t="b">
        <v>0</v>
      </c>
      <c r="H294" s="15">
        <v>4</v>
      </c>
      <c r="I294" s="15">
        <v>1</v>
      </c>
      <c r="J294" s="15">
        <v>0.24</v>
      </c>
      <c r="K294" s="14">
        <v>0.21210000000000001</v>
      </c>
      <c r="L294" s="14">
        <v>0.38</v>
      </c>
      <c r="M294" s="14">
        <v>0.29849999999999999</v>
      </c>
      <c r="N294" s="14">
        <v>5</v>
      </c>
      <c r="O294" s="14">
        <v>55</v>
      </c>
      <c r="P294" s="14">
        <v>60</v>
      </c>
    </row>
    <row r="295" spans="1:16" x14ac:dyDescent="0.3">
      <c r="A295" s="15">
        <v>294</v>
      </c>
      <c r="B295" s="16">
        <v>40556</v>
      </c>
      <c r="C295" s="15">
        <v>1</v>
      </c>
      <c r="D295" s="15">
        <v>0</v>
      </c>
      <c r="E295" s="15">
        <v>1</v>
      </c>
      <c r="F295" s="15">
        <v>16</v>
      </c>
      <c r="G295" s="17" t="b">
        <v>0</v>
      </c>
      <c r="H295" s="15">
        <v>4</v>
      </c>
      <c r="I295" s="15">
        <v>1</v>
      </c>
      <c r="J295" s="15">
        <v>0.24</v>
      </c>
      <c r="K295" s="14">
        <v>0.21210000000000001</v>
      </c>
      <c r="L295" s="14">
        <v>0.38</v>
      </c>
      <c r="M295" s="14">
        <v>0.35820000000000002</v>
      </c>
      <c r="N295" s="14">
        <v>2</v>
      </c>
      <c r="O295" s="14">
        <v>76</v>
      </c>
      <c r="P295" s="14">
        <v>78</v>
      </c>
    </row>
    <row r="296" spans="1:16" x14ac:dyDescent="0.3">
      <c r="A296" s="15">
        <v>295</v>
      </c>
      <c r="B296" s="16">
        <v>40556</v>
      </c>
      <c r="C296" s="15">
        <v>1</v>
      </c>
      <c r="D296" s="15">
        <v>0</v>
      </c>
      <c r="E296" s="15">
        <v>1</v>
      </c>
      <c r="F296" s="15">
        <v>17</v>
      </c>
      <c r="G296" s="17" t="b">
        <v>0</v>
      </c>
      <c r="H296" s="15">
        <v>4</v>
      </c>
      <c r="I296" s="15">
        <v>1</v>
      </c>
      <c r="J296" s="15">
        <v>0.2</v>
      </c>
      <c r="K296" s="14">
        <v>0.18179999999999999</v>
      </c>
      <c r="L296" s="14">
        <v>0.4</v>
      </c>
      <c r="M296" s="14">
        <v>0.28360000000000002</v>
      </c>
      <c r="N296" s="14">
        <v>4</v>
      </c>
      <c r="O296" s="14">
        <v>158</v>
      </c>
      <c r="P296" s="14">
        <v>162</v>
      </c>
    </row>
    <row r="297" spans="1:16" x14ac:dyDescent="0.3">
      <c r="A297" s="15">
        <v>296</v>
      </c>
      <c r="B297" s="16">
        <v>40556</v>
      </c>
      <c r="C297" s="15">
        <v>1</v>
      </c>
      <c r="D297" s="15">
        <v>0</v>
      </c>
      <c r="E297" s="15">
        <v>1</v>
      </c>
      <c r="F297" s="15">
        <v>18</v>
      </c>
      <c r="G297" s="17" t="b">
        <v>0</v>
      </c>
      <c r="H297" s="15">
        <v>4</v>
      </c>
      <c r="I297" s="15">
        <v>1</v>
      </c>
      <c r="J297" s="15">
        <v>0.2</v>
      </c>
      <c r="K297" s="14">
        <v>0.18179999999999999</v>
      </c>
      <c r="L297" s="14">
        <v>0.4</v>
      </c>
      <c r="M297" s="14">
        <v>0.32840000000000003</v>
      </c>
      <c r="N297" s="14">
        <v>3</v>
      </c>
      <c r="O297" s="14">
        <v>141</v>
      </c>
      <c r="P297" s="14">
        <v>144</v>
      </c>
    </row>
    <row r="298" spans="1:16" x14ac:dyDescent="0.3">
      <c r="A298" s="15">
        <v>297</v>
      </c>
      <c r="B298" s="16">
        <v>40556</v>
      </c>
      <c r="C298" s="15">
        <v>1</v>
      </c>
      <c r="D298" s="15">
        <v>0</v>
      </c>
      <c r="E298" s="15">
        <v>1</v>
      </c>
      <c r="F298" s="15">
        <v>19</v>
      </c>
      <c r="G298" s="17" t="b">
        <v>0</v>
      </c>
      <c r="H298" s="15">
        <v>4</v>
      </c>
      <c r="I298" s="15">
        <v>1</v>
      </c>
      <c r="J298" s="15">
        <v>0.16</v>
      </c>
      <c r="K298" s="14">
        <v>0.1515</v>
      </c>
      <c r="L298" s="14">
        <v>0.47</v>
      </c>
      <c r="M298" s="14">
        <v>0.25369999999999998</v>
      </c>
      <c r="N298" s="14">
        <v>1</v>
      </c>
      <c r="O298" s="14">
        <v>98</v>
      </c>
      <c r="P298" s="14">
        <v>99</v>
      </c>
    </row>
    <row r="299" spans="1:16" x14ac:dyDescent="0.3">
      <c r="A299" s="15">
        <v>298</v>
      </c>
      <c r="B299" s="16">
        <v>40556</v>
      </c>
      <c r="C299" s="15">
        <v>1</v>
      </c>
      <c r="D299" s="15">
        <v>0</v>
      </c>
      <c r="E299" s="15">
        <v>1</v>
      </c>
      <c r="F299" s="15">
        <v>20</v>
      </c>
      <c r="G299" s="17" t="b">
        <v>0</v>
      </c>
      <c r="H299" s="15">
        <v>4</v>
      </c>
      <c r="I299" s="15">
        <v>1</v>
      </c>
      <c r="J299" s="15">
        <v>0.16</v>
      </c>
      <c r="K299" s="14">
        <v>0.1515</v>
      </c>
      <c r="L299" s="14">
        <v>0.47</v>
      </c>
      <c r="M299" s="14">
        <v>0.22389999999999999</v>
      </c>
      <c r="N299" s="14">
        <v>0</v>
      </c>
      <c r="O299" s="14">
        <v>64</v>
      </c>
      <c r="P299" s="14">
        <v>64</v>
      </c>
    </row>
    <row r="300" spans="1:16" x14ac:dyDescent="0.3">
      <c r="A300" s="15">
        <v>299</v>
      </c>
      <c r="B300" s="16">
        <v>40556</v>
      </c>
      <c r="C300" s="15">
        <v>1</v>
      </c>
      <c r="D300" s="15">
        <v>0</v>
      </c>
      <c r="E300" s="15">
        <v>1</v>
      </c>
      <c r="F300" s="15">
        <v>21</v>
      </c>
      <c r="G300" s="17" t="b">
        <v>0</v>
      </c>
      <c r="H300" s="15">
        <v>4</v>
      </c>
      <c r="I300" s="15">
        <v>1</v>
      </c>
      <c r="J300" s="15">
        <v>0.14000000000000001</v>
      </c>
      <c r="K300" s="14">
        <v>0.1212</v>
      </c>
      <c r="L300" s="14">
        <v>0.46</v>
      </c>
      <c r="M300" s="14">
        <v>0.29849999999999999</v>
      </c>
      <c r="N300" s="14">
        <v>0</v>
      </c>
      <c r="O300" s="14">
        <v>40</v>
      </c>
      <c r="P300" s="14">
        <v>40</v>
      </c>
    </row>
    <row r="301" spans="1:16" x14ac:dyDescent="0.3">
      <c r="A301" s="15">
        <v>300</v>
      </c>
      <c r="B301" s="16">
        <v>40556</v>
      </c>
      <c r="C301" s="15">
        <v>1</v>
      </c>
      <c r="D301" s="15">
        <v>0</v>
      </c>
      <c r="E301" s="15">
        <v>1</v>
      </c>
      <c r="F301" s="15">
        <v>22</v>
      </c>
      <c r="G301" s="17" t="b">
        <v>0</v>
      </c>
      <c r="H301" s="15">
        <v>4</v>
      </c>
      <c r="I301" s="15">
        <v>1</v>
      </c>
      <c r="J301" s="15">
        <v>0.14000000000000001</v>
      </c>
      <c r="K301" s="14">
        <v>0.1212</v>
      </c>
      <c r="L301" s="14">
        <v>0.46</v>
      </c>
      <c r="M301" s="14">
        <v>0.32840000000000003</v>
      </c>
      <c r="N301" s="14">
        <v>0</v>
      </c>
      <c r="O301" s="14">
        <v>30</v>
      </c>
      <c r="P301" s="14">
        <v>30</v>
      </c>
    </row>
    <row r="302" spans="1:16" x14ac:dyDescent="0.3">
      <c r="A302" s="15">
        <v>301</v>
      </c>
      <c r="B302" s="16">
        <v>40556</v>
      </c>
      <c r="C302" s="15">
        <v>1</v>
      </c>
      <c r="D302" s="15">
        <v>0</v>
      </c>
      <c r="E302" s="15">
        <v>1</v>
      </c>
      <c r="F302" s="15">
        <v>23</v>
      </c>
      <c r="G302" s="17" t="b">
        <v>0</v>
      </c>
      <c r="H302" s="15">
        <v>4</v>
      </c>
      <c r="I302" s="15">
        <v>1</v>
      </c>
      <c r="J302" s="15">
        <v>0.12</v>
      </c>
      <c r="K302" s="14">
        <v>0.13639999999999999</v>
      </c>
      <c r="L302" s="14">
        <v>0.5</v>
      </c>
      <c r="M302" s="14">
        <v>0.19400000000000001</v>
      </c>
      <c r="N302" s="14">
        <v>1</v>
      </c>
      <c r="O302" s="14">
        <v>14</v>
      </c>
      <c r="P302" s="14">
        <v>15</v>
      </c>
    </row>
    <row r="303" spans="1:16" x14ac:dyDescent="0.3">
      <c r="A303" s="15">
        <v>302</v>
      </c>
      <c r="B303" s="16">
        <v>40557</v>
      </c>
      <c r="C303" s="15">
        <v>1</v>
      </c>
      <c r="D303" s="15">
        <v>0</v>
      </c>
      <c r="E303" s="15">
        <v>1</v>
      </c>
      <c r="F303" s="15">
        <v>0</v>
      </c>
      <c r="G303" s="17" t="b">
        <v>0</v>
      </c>
      <c r="H303" s="15">
        <v>5</v>
      </c>
      <c r="I303" s="15">
        <v>1</v>
      </c>
      <c r="J303" s="15">
        <v>0.12</v>
      </c>
      <c r="K303" s="14">
        <v>0.13639999999999999</v>
      </c>
      <c r="L303" s="14">
        <v>0.5</v>
      </c>
      <c r="M303" s="14">
        <v>0.19400000000000001</v>
      </c>
      <c r="N303" s="14">
        <v>0</v>
      </c>
      <c r="O303" s="14">
        <v>14</v>
      </c>
      <c r="P303" s="14">
        <v>14</v>
      </c>
    </row>
    <row r="304" spans="1:16" x14ac:dyDescent="0.3">
      <c r="A304" s="15">
        <v>303</v>
      </c>
      <c r="B304" s="16">
        <v>40557</v>
      </c>
      <c r="C304" s="15">
        <v>1</v>
      </c>
      <c r="D304" s="15">
        <v>0</v>
      </c>
      <c r="E304" s="15">
        <v>1</v>
      </c>
      <c r="F304" s="15">
        <v>1</v>
      </c>
      <c r="G304" s="17" t="b">
        <v>0</v>
      </c>
      <c r="H304" s="15">
        <v>5</v>
      </c>
      <c r="I304" s="15">
        <v>1</v>
      </c>
      <c r="J304" s="15">
        <v>0.1</v>
      </c>
      <c r="K304" s="14">
        <v>0.1212</v>
      </c>
      <c r="L304" s="14">
        <v>0.54</v>
      </c>
      <c r="M304" s="14">
        <v>0.16420000000000001</v>
      </c>
      <c r="N304" s="14">
        <v>0</v>
      </c>
      <c r="O304" s="14">
        <v>5</v>
      </c>
      <c r="P304" s="14">
        <v>5</v>
      </c>
    </row>
    <row r="305" spans="1:16" x14ac:dyDescent="0.3">
      <c r="A305" s="15">
        <v>304</v>
      </c>
      <c r="B305" s="16">
        <v>40557</v>
      </c>
      <c r="C305" s="15">
        <v>1</v>
      </c>
      <c r="D305" s="15">
        <v>0</v>
      </c>
      <c r="E305" s="15">
        <v>1</v>
      </c>
      <c r="F305" s="15">
        <v>2</v>
      </c>
      <c r="G305" s="17" t="b">
        <v>0</v>
      </c>
      <c r="H305" s="15">
        <v>5</v>
      </c>
      <c r="I305" s="15">
        <v>1</v>
      </c>
      <c r="J305" s="15">
        <v>0.1</v>
      </c>
      <c r="K305" s="14">
        <v>0.1212</v>
      </c>
      <c r="L305" s="14">
        <v>0.54</v>
      </c>
      <c r="M305" s="14">
        <v>0.1343</v>
      </c>
      <c r="N305" s="14">
        <v>0</v>
      </c>
      <c r="O305" s="14">
        <v>1</v>
      </c>
      <c r="P305" s="14">
        <v>1</v>
      </c>
    </row>
    <row r="306" spans="1:16" x14ac:dyDescent="0.3">
      <c r="A306" s="15">
        <v>305</v>
      </c>
      <c r="B306" s="16">
        <v>40557</v>
      </c>
      <c r="C306" s="15">
        <v>1</v>
      </c>
      <c r="D306" s="15">
        <v>0</v>
      </c>
      <c r="E306" s="15">
        <v>1</v>
      </c>
      <c r="F306" s="15">
        <v>3</v>
      </c>
      <c r="G306" s="17" t="b">
        <v>0</v>
      </c>
      <c r="H306" s="15">
        <v>5</v>
      </c>
      <c r="I306" s="15">
        <v>1</v>
      </c>
      <c r="J306" s="15">
        <v>0.1</v>
      </c>
      <c r="K306" s="14">
        <v>0.13639999999999999</v>
      </c>
      <c r="L306" s="14">
        <v>0.54</v>
      </c>
      <c r="M306" s="14">
        <v>0.1045</v>
      </c>
      <c r="N306" s="14">
        <v>0</v>
      </c>
      <c r="O306" s="14">
        <v>1</v>
      </c>
      <c r="P306" s="14">
        <v>1</v>
      </c>
    </row>
    <row r="307" spans="1:16" x14ac:dyDescent="0.3">
      <c r="A307" s="15">
        <v>306</v>
      </c>
      <c r="B307" s="16">
        <v>40557</v>
      </c>
      <c r="C307" s="15">
        <v>1</v>
      </c>
      <c r="D307" s="15">
        <v>0</v>
      </c>
      <c r="E307" s="15">
        <v>1</v>
      </c>
      <c r="F307" s="15">
        <v>5</v>
      </c>
      <c r="G307" s="17" t="b">
        <v>0</v>
      </c>
      <c r="H307" s="15">
        <v>5</v>
      </c>
      <c r="I307" s="15">
        <v>1</v>
      </c>
      <c r="J307" s="15">
        <v>0.1</v>
      </c>
      <c r="K307" s="14">
        <v>0.13639999999999999</v>
      </c>
      <c r="L307" s="14">
        <v>0.54</v>
      </c>
      <c r="M307" s="14">
        <v>8.9599999999999999E-2</v>
      </c>
      <c r="N307" s="14">
        <v>0</v>
      </c>
      <c r="O307" s="14">
        <v>8</v>
      </c>
      <c r="P307" s="14">
        <v>8</v>
      </c>
    </row>
    <row r="308" spans="1:16" x14ac:dyDescent="0.3">
      <c r="A308" s="15">
        <v>307</v>
      </c>
      <c r="B308" s="16">
        <v>40557</v>
      </c>
      <c r="C308" s="15">
        <v>1</v>
      </c>
      <c r="D308" s="15">
        <v>0</v>
      </c>
      <c r="E308" s="15">
        <v>1</v>
      </c>
      <c r="F308" s="15">
        <v>6</v>
      </c>
      <c r="G308" s="17" t="b">
        <v>0</v>
      </c>
      <c r="H308" s="15">
        <v>5</v>
      </c>
      <c r="I308" s="15">
        <v>1</v>
      </c>
      <c r="J308" s="15">
        <v>0.1</v>
      </c>
      <c r="K308" s="14">
        <v>0.18179999999999999</v>
      </c>
      <c r="L308" s="14">
        <v>0.54</v>
      </c>
      <c r="M308" s="14">
        <v>0</v>
      </c>
      <c r="N308" s="14">
        <v>0</v>
      </c>
      <c r="O308" s="14">
        <v>17</v>
      </c>
      <c r="P308" s="14">
        <v>17</v>
      </c>
    </row>
    <row r="309" spans="1:16" x14ac:dyDescent="0.3">
      <c r="A309" s="15">
        <v>308</v>
      </c>
      <c r="B309" s="16">
        <v>40557</v>
      </c>
      <c r="C309" s="15">
        <v>1</v>
      </c>
      <c r="D309" s="15">
        <v>0</v>
      </c>
      <c r="E309" s="15">
        <v>1</v>
      </c>
      <c r="F309" s="15">
        <v>7</v>
      </c>
      <c r="G309" s="17" t="b">
        <v>0</v>
      </c>
      <c r="H309" s="15">
        <v>5</v>
      </c>
      <c r="I309" s="15">
        <v>1</v>
      </c>
      <c r="J309" s="15">
        <v>0.1</v>
      </c>
      <c r="K309" s="14">
        <v>0.1212</v>
      </c>
      <c r="L309" s="14">
        <v>0.74</v>
      </c>
      <c r="M309" s="14">
        <v>0.16420000000000001</v>
      </c>
      <c r="N309" s="14">
        <v>0</v>
      </c>
      <c r="O309" s="14">
        <v>70</v>
      </c>
      <c r="P309" s="14">
        <v>70</v>
      </c>
    </row>
    <row r="310" spans="1:16" x14ac:dyDescent="0.3">
      <c r="A310" s="15">
        <v>309</v>
      </c>
      <c r="B310" s="16">
        <v>40557</v>
      </c>
      <c r="C310" s="15">
        <v>1</v>
      </c>
      <c r="D310" s="15">
        <v>0</v>
      </c>
      <c r="E310" s="15">
        <v>1</v>
      </c>
      <c r="F310" s="15">
        <v>8</v>
      </c>
      <c r="G310" s="17" t="b">
        <v>0</v>
      </c>
      <c r="H310" s="15">
        <v>5</v>
      </c>
      <c r="I310" s="15">
        <v>1</v>
      </c>
      <c r="J310" s="15">
        <v>0.12</v>
      </c>
      <c r="K310" s="14">
        <v>0.16669999999999999</v>
      </c>
      <c r="L310" s="14">
        <v>0.68</v>
      </c>
      <c r="M310" s="14">
        <v>0</v>
      </c>
      <c r="N310" s="14">
        <v>2</v>
      </c>
      <c r="O310" s="14">
        <v>156</v>
      </c>
      <c r="P310" s="14">
        <v>158</v>
      </c>
    </row>
    <row r="311" spans="1:16" x14ac:dyDescent="0.3">
      <c r="A311" s="15">
        <v>310</v>
      </c>
      <c r="B311" s="16">
        <v>40557</v>
      </c>
      <c r="C311" s="15">
        <v>1</v>
      </c>
      <c r="D311" s="15">
        <v>0</v>
      </c>
      <c r="E311" s="15">
        <v>1</v>
      </c>
      <c r="F311" s="15">
        <v>9</v>
      </c>
      <c r="G311" s="17" t="b">
        <v>0</v>
      </c>
      <c r="H311" s="15">
        <v>5</v>
      </c>
      <c r="I311" s="15">
        <v>1</v>
      </c>
      <c r="J311" s="15">
        <v>0.14000000000000001</v>
      </c>
      <c r="K311" s="14">
        <v>0.1515</v>
      </c>
      <c r="L311" s="14">
        <v>0.69</v>
      </c>
      <c r="M311" s="14">
        <v>0.1343</v>
      </c>
      <c r="N311" s="14">
        <v>0</v>
      </c>
      <c r="O311" s="14">
        <v>117</v>
      </c>
      <c r="P311" s="14">
        <v>117</v>
      </c>
    </row>
    <row r="312" spans="1:16" x14ac:dyDescent="0.3">
      <c r="A312" s="15">
        <v>311</v>
      </c>
      <c r="B312" s="16">
        <v>40557</v>
      </c>
      <c r="C312" s="15">
        <v>1</v>
      </c>
      <c r="D312" s="15">
        <v>0</v>
      </c>
      <c r="E312" s="15">
        <v>1</v>
      </c>
      <c r="F312" s="15">
        <v>10</v>
      </c>
      <c r="G312" s="17" t="b">
        <v>0</v>
      </c>
      <c r="H312" s="15">
        <v>5</v>
      </c>
      <c r="I312" s="15">
        <v>1</v>
      </c>
      <c r="J312" s="15">
        <v>0.18</v>
      </c>
      <c r="K312" s="14">
        <v>0.18179999999999999</v>
      </c>
      <c r="L312" s="14">
        <v>0.55000000000000004</v>
      </c>
      <c r="M312" s="14">
        <v>0.19400000000000001</v>
      </c>
      <c r="N312" s="14">
        <v>4</v>
      </c>
      <c r="O312" s="14">
        <v>40</v>
      </c>
      <c r="P312" s="14">
        <v>44</v>
      </c>
    </row>
    <row r="313" spans="1:16" x14ac:dyDescent="0.3">
      <c r="A313" s="15">
        <v>312</v>
      </c>
      <c r="B313" s="16">
        <v>40557</v>
      </c>
      <c r="C313" s="15">
        <v>1</v>
      </c>
      <c r="D313" s="15">
        <v>0</v>
      </c>
      <c r="E313" s="15">
        <v>1</v>
      </c>
      <c r="F313" s="15">
        <v>11</v>
      </c>
      <c r="G313" s="17" t="b">
        <v>0</v>
      </c>
      <c r="H313" s="15">
        <v>5</v>
      </c>
      <c r="I313" s="15">
        <v>1</v>
      </c>
      <c r="J313" s="15">
        <v>0.18</v>
      </c>
      <c r="K313" s="14">
        <v>0.16669999999999999</v>
      </c>
      <c r="L313" s="14">
        <v>0.51</v>
      </c>
      <c r="M313" s="14">
        <v>0.28360000000000002</v>
      </c>
      <c r="N313" s="14">
        <v>6</v>
      </c>
      <c r="O313" s="14">
        <v>47</v>
      </c>
      <c r="P313" s="14">
        <v>53</v>
      </c>
    </row>
    <row r="314" spans="1:16" x14ac:dyDescent="0.3">
      <c r="A314" s="15">
        <v>313</v>
      </c>
      <c r="B314" s="16">
        <v>40557</v>
      </c>
      <c r="C314" s="15">
        <v>1</v>
      </c>
      <c r="D314" s="15">
        <v>0</v>
      </c>
      <c r="E314" s="15">
        <v>1</v>
      </c>
      <c r="F314" s="15">
        <v>12</v>
      </c>
      <c r="G314" s="17" t="b">
        <v>0</v>
      </c>
      <c r="H314" s="15">
        <v>5</v>
      </c>
      <c r="I314" s="15">
        <v>1</v>
      </c>
      <c r="J314" s="15">
        <v>0.2</v>
      </c>
      <c r="K314" s="14">
        <v>0.19700000000000001</v>
      </c>
      <c r="L314" s="14">
        <v>0.44</v>
      </c>
      <c r="M314" s="14">
        <v>0.25369999999999998</v>
      </c>
      <c r="N314" s="14">
        <v>2</v>
      </c>
      <c r="O314" s="14">
        <v>59</v>
      </c>
      <c r="P314" s="14">
        <v>61</v>
      </c>
    </row>
    <row r="315" spans="1:16" x14ac:dyDescent="0.3">
      <c r="A315" s="15">
        <v>314</v>
      </c>
      <c r="B315" s="16">
        <v>40557</v>
      </c>
      <c r="C315" s="15">
        <v>1</v>
      </c>
      <c r="D315" s="15">
        <v>0</v>
      </c>
      <c r="E315" s="15">
        <v>1</v>
      </c>
      <c r="F315" s="15">
        <v>13</v>
      </c>
      <c r="G315" s="17" t="b">
        <v>0</v>
      </c>
      <c r="H315" s="15">
        <v>5</v>
      </c>
      <c r="I315" s="15">
        <v>1</v>
      </c>
      <c r="J315" s="15">
        <v>0.22</v>
      </c>
      <c r="K315" s="14">
        <v>0.19700000000000001</v>
      </c>
      <c r="L315" s="14">
        <v>0.37</v>
      </c>
      <c r="M315" s="14">
        <v>0.3881</v>
      </c>
      <c r="N315" s="14">
        <v>4</v>
      </c>
      <c r="O315" s="14">
        <v>73</v>
      </c>
      <c r="P315" s="14">
        <v>77</v>
      </c>
    </row>
    <row r="316" spans="1:16" x14ac:dyDescent="0.3">
      <c r="A316" s="15">
        <v>315</v>
      </c>
      <c r="B316" s="16">
        <v>40557</v>
      </c>
      <c r="C316" s="15">
        <v>1</v>
      </c>
      <c r="D316" s="15">
        <v>0</v>
      </c>
      <c r="E316" s="15">
        <v>1</v>
      </c>
      <c r="F316" s="15">
        <v>14</v>
      </c>
      <c r="G316" s="17" t="b">
        <v>0</v>
      </c>
      <c r="H316" s="15">
        <v>5</v>
      </c>
      <c r="I316" s="15">
        <v>1</v>
      </c>
      <c r="J316" s="15">
        <v>0.22</v>
      </c>
      <c r="K316" s="14">
        <v>0.21210000000000001</v>
      </c>
      <c r="L316" s="14">
        <v>0.41</v>
      </c>
      <c r="M316" s="14">
        <v>0.28360000000000002</v>
      </c>
      <c r="N316" s="14">
        <v>5</v>
      </c>
      <c r="O316" s="14">
        <v>59</v>
      </c>
      <c r="P316" s="14">
        <v>64</v>
      </c>
    </row>
    <row r="317" spans="1:16" x14ac:dyDescent="0.3">
      <c r="A317" s="15">
        <v>316</v>
      </c>
      <c r="B317" s="16">
        <v>40557</v>
      </c>
      <c r="C317" s="15">
        <v>1</v>
      </c>
      <c r="D317" s="15">
        <v>0</v>
      </c>
      <c r="E317" s="15">
        <v>1</v>
      </c>
      <c r="F317" s="15">
        <v>15</v>
      </c>
      <c r="G317" s="17" t="b">
        <v>0</v>
      </c>
      <c r="H317" s="15">
        <v>5</v>
      </c>
      <c r="I317" s="15">
        <v>1</v>
      </c>
      <c r="J317" s="15">
        <v>0.24</v>
      </c>
      <c r="K317" s="14">
        <v>0.2424</v>
      </c>
      <c r="L317" s="14">
        <v>0.38</v>
      </c>
      <c r="M317" s="14">
        <v>0.16420000000000001</v>
      </c>
      <c r="N317" s="14">
        <v>9</v>
      </c>
      <c r="O317" s="14">
        <v>59</v>
      </c>
      <c r="P317" s="14">
        <v>68</v>
      </c>
    </row>
    <row r="318" spans="1:16" x14ac:dyDescent="0.3">
      <c r="A318" s="15">
        <v>317</v>
      </c>
      <c r="B318" s="16">
        <v>40557</v>
      </c>
      <c r="C318" s="15">
        <v>1</v>
      </c>
      <c r="D318" s="15">
        <v>0</v>
      </c>
      <c r="E318" s="15">
        <v>1</v>
      </c>
      <c r="F318" s="15">
        <v>16</v>
      </c>
      <c r="G318" s="17" t="b">
        <v>0</v>
      </c>
      <c r="H318" s="15">
        <v>5</v>
      </c>
      <c r="I318" s="15">
        <v>1</v>
      </c>
      <c r="J318" s="15">
        <v>0.22</v>
      </c>
      <c r="K318" s="14">
        <v>0.2424</v>
      </c>
      <c r="L318" s="14">
        <v>0.41</v>
      </c>
      <c r="M318" s="14">
        <v>0.1045</v>
      </c>
      <c r="N318" s="14">
        <v>3</v>
      </c>
      <c r="O318" s="14">
        <v>87</v>
      </c>
      <c r="P318" s="14">
        <v>90</v>
      </c>
    </row>
    <row r="319" spans="1:16" x14ac:dyDescent="0.3">
      <c r="A319" s="15">
        <v>318</v>
      </c>
      <c r="B319" s="16">
        <v>40557</v>
      </c>
      <c r="C319" s="15">
        <v>1</v>
      </c>
      <c r="D319" s="15">
        <v>0</v>
      </c>
      <c r="E319" s="15">
        <v>1</v>
      </c>
      <c r="F319" s="15">
        <v>17</v>
      </c>
      <c r="G319" s="17" t="b">
        <v>0</v>
      </c>
      <c r="H319" s="15">
        <v>5</v>
      </c>
      <c r="I319" s="15">
        <v>1</v>
      </c>
      <c r="J319" s="15">
        <v>0.22</v>
      </c>
      <c r="K319" s="14">
        <v>0.2273</v>
      </c>
      <c r="L319" s="14">
        <v>0.41</v>
      </c>
      <c r="M319" s="14">
        <v>0.16420000000000001</v>
      </c>
      <c r="N319" s="14">
        <v>4</v>
      </c>
      <c r="O319" s="14">
        <v>155</v>
      </c>
      <c r="P319" s="14">
        <v>159</v>
      </c>
    </row>
    <row r="320" spans="1:16" x14ac:dyDescent="0.3">
      <c r="A320" s="15">
        <v>319</v>
      </c>
      <c r="B320" s="16">
        <v>40557</v>
      </c>
      <c r="C320" s="15">
        <v>1</v>
      </c>
      <c r="D320" s="15">
        <v>0</v>
      </c>
      <c r="E320" s="15">
        <v>1</v>
      </c>
      <c r="F320" s="15">
        <v>18</v>
      </c>
      <c r="G320" s="17" t="b">
        <v>0</v>
      </c>
      <c r="H320" s="15">
        <v>5</v>
      </c>
      <c r="I320" s="15">
        <v>1</v>
      </c>
      <c r="J320" s="15">
        <v>0.2</v>
      </c>
      <c r="K320" s="14">
        <v>0.2576</v>
      </c>
      <c r="L320" s="14">
        <v>0.47</v>
      </c>
      <c r="M320" s="14">
        <v>0</v>
      </c>
      <c r="N320" s="14">
        <v>5</v>
      </c>
      <c r="O320" s="14">
        <v>134</v>
      </c>
      <c r="P320" s="14">
        <v>139</v>
      </c>
    </row>
    <row r="321" spans="1:16" x14ac:dyDescent="0.3">
      <c r="A321" s="15">
        <v>320</v>
      </c>
      <c r="B321" s="16">
        <v>40557</v>
      </c>
      <c r="C321" s="15">
        <v>1</v>
      </c>
      <c r="D321" s="15">
        <v>0</v>
      </c>
      <c r="E321" s="15">
        <v>1</v>
      </c>
      <c r="F321" s="15">
        <v>19</v>
      </c>
      <c r="G321" s="17" t="b">
        <v>0</v>
      </c>
      <c r="H321" s="15">
        <v>5</v>
      </c>
      <c r="I321" s="15">
        <v>1</v>
      </c>
      <c r="J321" s="15">
        <v>0.16</v>
      </c>
      <c r="K321" s="14">
        <v>0.19700000000000001</v>
      </c>
      <c r="L321" s="14">
        <v>0.59</v>
      </c>
      <c r="M321" s="14">
        <v>8.9599999999999999E-2</v>
      </c>
      <c r="N321" s="14">
        <v>3</v>
      </c>
      <c r="O321" s="14">
        <v>89</v>
      </c>
      <c r="P321" s="14">
        <v>92</v>
      </c>
    </row>
    <row r="322" spans="1:16" x14ac:dyDescent="0.3">
      <c r="A322" s="15">
        <v>321</v>
      </c>
      <c r="B322" s="16">
        <v>40557</v>
      </c>
      <c r="C322" s="15">
        <v>1</v>
      </c>
      <c r="D322" s="15">
        <v>0</v>
      </c>
      <c r="E322" s="15">
        <v>1</v>
      </c>
      <c r="F322" s="15">
        <v>20</v>
      </c>
      <c r="G322" s="17" t="b">
        <v>0</v>
      </c>
      <c r="H322" s="15">
        <v>5</v>
      </c>
      <c r="I322" s="15">
        <v>1</v>
      </c>
      <c r="J322" s="15">
        <v>0.18</v>
      </c>
      <c r="K322" s="14">
        <v>0.2424</v>
      </c>
      <c r="L322" s="14">
        <v>0.59</v>
      </c>
      <c r="M322" s="14">
        <v>0</v>
      </c>
      <c r="N322" s="14">
        <v>0</v>
      </c>
      <c r="O322" s="14">
        <v>68</v>
      </c>
      <c r="P322" s="14">
        <v>68</v>
      </c>
    </row>
    <row r="323" spans="1:16" x14ac:dyDescent="0.3">
      <c r="A323" s="15">
        <v>322</v>
      </c>
      <c r="B323" s="16">
        <v>40557</v>
      </c>
      <c r="C323" s="15">
        <v>1</v>
      </c>
      <c r="D323" s="15">
        <v>0</v>
      </c>
      <c r="E323" s="15">
        <v>1</v>
      </c>
      <c r="F323" s="15">
        <v>21</v>
      </c>
      <c r="G323" s="17" t="b">
        <v>0</v>
      </c>
      <c r="H323" s="15">
        <v>5</v>
      </c>
      <c r="I323" s="15">
        <v>1</v>
      </c>
      <c r="J323" s="15">
        <v>0.16</v>
      </c>
      <c r="K323" s="14">
        <v>0.2273</v>
      </c>
      <c r="L323" s="14">
        <v>0.69</v>
      </c>
      <c r="M323" s="14">
        <v>0</v>
      </c>
      <c r="N323" s="14">
        <v>4</v>
      </c>
      <c r="O323" s="14">
        <v>48</v>
      </c>
      <c r="P323" s="14">
        <v>52</v>
      </c>
    </row>
    <row r="324" spans="1:16" x14ac:dyDescent="0.3">
      <c r="A324" s="15">
        <v>323</v>
      </c>
      <c r="B324" s="16">
        <v>40557</v>
      </c>
      <c r="C324" s="15">
        <v>1</v>
      </c>
      <c r="D324" s="15">
        <v>0</v>
      </c>
      <c r="E324" s="15">
        <v>1</v>
      </c>
      <c r="F324" s="15">
        <v>22</v>
      </c>
      <c r="G324" s="17" t="b">
        <v>0</v>
      </c>
      <c r="H324" s="15">
        <v>5</v>
      </c>
      <c r="I324" s="15">
        <v>2</v>
      </c>
      <c r="J324" s="15">
        <v>0.16</v>
      </c>
      <c r="K324" s="14">
        <v>0.2273</v>
      </c>
      <c r="L324" s="14">
        <v>0.69</v>
      </c>
      <c r="M324" s="14">
        <v>0</v>
      </c>
      <c r="N324" s="14">
        <v>2</v>
      </c>
      <c r="O324" s="14">
        <v>34</v>
      </c>
      <c r="P324" s="14">
        <v>36</v>
      </c>
    </row>
    <row r="325" spans="1:16" x14ac:dyDescent="0.3">
      <c r="A325" s="15">
        <v>324</v>
      </c>
      <c r="B325" s="16">
        <v>40557</v>
      </c>
      <c r="C325" s="15">
        <v>1</v>
      </c>
      <c r="D325" s="15">
        <v>0</v>
      </c>
      <c r="E325" s="15">
        <v>1</v>
      </c>
      <c r="F325" s="15">
        <v>23</v>
      </c>
      <c r="G325" s="17" t="b">
        <v>0</v>
      </c>
      <c r="H325" s="15">
        <v>5</v>
      </c>
      <c r="I325" s="15">
        <v>2</v>
      </c>
      <c r="J325" s="15">
        <v>0.18</v>
      </c>
      <c r="K325" s="14">
        <v>0.2424</v>
      </c>
      <c r="L325" s="14">
        <v>0.55000000000000004</v>
      </c>
      <c r="M325" s="14">
        <v>0</v>
      </c>
      <c r="N325" s="14">
        <v>1</v>
      </c>
      <c r="O325" s="14">
        <v>26</v>
      </c>
      <c r="P325" s="14">
        <v>27</v>
      </c>
    </row>
    <row r="326" spans="1:16" x14ac:dyDescent="0.3">
      <c r="A326" s="15">
        <v>325</v>
      </c>
      <c r="B326" s="16">
        <v>40558</v>
      </c>
      <c r="C326" s="15">
        <v>1</v>
      </c>
      <c r="D326" s="15">
        <v>0</v>
      </c>
      <c r="E326" s="15">
        <v>1</v>
      </c>
      <c r="F326" s="15">
        <v>0</v>
      </c>
      <c r="G326" s="17" t="b">
        <v>0</v>
      </c>
      <c r="H326" s="15">
        <v>6</v>
      </c>
      <c r="I326" s="15">
        <v>1</v>
      </c>
      <c r="J326" s="15">
        <v>0.18</v>
      </c>
      <c r="K326" s="14">
        <v>0.2424</v>
      </c>
      <c r="L326" s="14">
        <v>0.55000000000000004</v>
      </c>
      <c r="M326" s="14">
        <v>0</v>
      </c>
      <c r="N326" s="14">
        <v>3</v>
      </c>
      <c r="O326" s="14">
        <v>25</v>
      </c>
      <c r="P326" s="14">
        <v>28</v>
      </c>
    </row>
    <row r="327" spans="1:16" x14ac:dyDescent="0.3">
      <c r="A327" s="15">
        <v>326</v>
      </c>
      <c r="B327" s="16">
        <v>40558</v>
      </c>
      <c r="C327" s="15">
        <v>1</v>
      </c>
      <c r="D327" s="15">
        <v>0</v>
      </c>
      <c r="E327" s="15">
        <v>1</v>
      </c>
      <c r="F327" s="15">
        <v>1</v>
      </c>
      <c r="G327" s="17" t="b">
        <v>0</v>
      </c>
      <c r="H327" s="15">
        <v>6</v>
      </c>
      <c r="I327" s="15">
        <v>2</v>
      </c>
      <c r="J327" s="15">
        <v>0.16</v>
      </c>
      <c r="K327" s="14">
        <v>0.19700000000000001</v>
      </c>
      <c r="L327" s="14">
        <v>0.59</v>
      </c>
      <c r="M327" s="14">
        <v>8.9599999999999999E-2</v>
      </c>
      <c r="N327" s="14">
        <v>2</v>
      </c>
      <c r="O327" s="14">
        <v>18</v>
      </c>
      <c r="P327" s="14">
        <v>20</v>
      </c>
    </row>
    <row r="328" spans="1:16" x14ac:dyDescent="0.3">
      <c r="A328" s="15">
        <v>327</v>
      </c>
      <c r="B328" s="16">
        <v>40558</v>
      </c>
      <c r="C328" s="15">
        <v>1</v>
      </c>
      <c r="D328" s="15">
        <v>0</v>
      </c>
      <c r="E328" s="15">
        <v>1</v>
      </c>
      <c r="F328" s="15">
        <v>2</v>
      </c>
      <c r="G328" s="17" t="b">
        <v>0</v>
      </c>
      <c r="H328" s="15">
        <v>6</v>
      </c>
      <c r="I328" s="15">
        <v>2</v>
      </c>
      <c r="J328" s="15">
        <v>0.16</v>
      </c>
      <c r="K328" s="14">
        <v>0.19700000000000001</v>
      </c>
      <c r="L328" s="14">
        <v>0.59</v>
      </c>
      <c r="M328" s="14">
        <v>8.9599999999999999E-2</v>
      </c>
      <c r="N328" s="14">
        <v>0</v>
      </c>
      <c r="O328" s="14">
        <v>12</v>
      </c>
      <c r="P328" s="14">
        <v>12</v>
      </c>
    </row>
    <row r="329" spans="1:16" x14ac:dyDescent="0.3">
      <c r="A329" s="15">
        <v>328</v>
      </c>
      <c r="B329" s="16">
        <v>40558</v>
      </c>
      <c r="C329" s="15">
        <v>1</v>
      </c>
      <c r="D329" s="15">
        <v>0</v>
      </c>
      <c r="E329" s="15">
        <v>1</v>
      </c>
      <c r="F329" s="15">
        <v>3</v>
      </c>
      <c r="G329" s="17" t="b">
        <v>0</v>
      </c>
      <c r="H329" s="15">
        <v>6</v>
      </c>
      <c r="I329" s="15">
        <v>2</v>
      </c>
      <c r="J329" s="15">
        <v>0.16</v>
      </c>
      <c r="K329" s="14">
        <v>0.2273</v>
      </c>
      <c r="L329" s="14">
        <v>0.59</v>
      </c>
      <c r="M329" s="14">
        <v>0</v>
      </c>
      <c r="N329" s="14">
        <v>1</v>
      </c>
      <c r="O329" s="14">
        <v>7</v>
      </c>
      <c r="P329" s="14">
        <v>8</v>
      </c>
    </row>
    <row r="330" spans="1:16" x14ac:dyDescent="0.3">
      <c r="A330" s="15">
        <v>329</v>
      </c>
      <c r="B330" s="16">
        <v>40558</v>
      </c>
      <c r="C330" s="15">
        <v>1</v>
      </c>
      <c r="D330" s="15">
        <v>0</v>
      </c>
      <c r="E330" s="15">
        <v>1</v>
      </c>
      <c r="F330" s="15">
        <v>4</v>
      </c>
      <c r="G330" s="17" t="b">
        <v>0</v>
      </c>
      <c r="H330" s="15">
        <v>6</v>
      </c>
      <c r="I330" s="15">
        <v>2</v>
      </c>
      <c r="J330" s="15">
        <v>0.16</v>
      </c>
      <c r="K330" s="14">
        <v>0.2273</v>
      </c>
      <c r="L330" s="14">
        <v>0.59</v>
      </c>
      <c r="M330" s="14">
        <v>0</v>
      </c>
      <c r="N330" s="14">
        <v>0</v>
      </c>
      <c r="O330" s="14">
        <v>5</v>
      </c>
      <c r="P330" s="14">
        <v>5</v>
      </c>
    </row>
    <row r="331" spans="1:16" x14ac:dyDescent="0.3">
      <c r="A331" s="15">
        <v>330</v>
      </c>
      <c r="B331" s="16">
        <v>40558</v>
      </c>
      <c r="C331" s="15">
        <v>1</v>
      </c>
      <c r="D331" s="15">
        <v>0</v>
      </c>
      <c r="E331" s="15">
        <v>1</v>
      </c>
      <c r="F331" s="15">
        <v>5</v>
      </c>
      <c r="G331" s="17" t="b">
        <v>0</v>
      </c>
      <c r="H331" s="15">
        <v>6</v>
      </c>
      <c r="I331" s="15">
        <v>1</v>
      </c>
      <c r="J331" s="15">
        <v>0.16</v>
      </c>
      <c r="K331" s="14">
        <v>0.2273</v>
      </c>
      <c r="L331" s="14">
        <v>0.59</v>
      </c>
      <c r="M331" s="14">
        <v>0</v>
      </c>
      <c r="N331" s="14">
        <v>0</v>
      </c>
      <c r="O331" s="14">
        <v>1</v>
      </c>
      <c r="P331" s="14">
        <v>1</v>
      </c>
    </row>
    <row r="332" spans="1:16" x14ac:dyDescent="0.3">
      <c r="A332" s="15">
        <v>331</v>
      </c>
      <c r="B332" s="16">
        <v>40558</v>
      </c>
      <c r="C332" s="15">
        <v>1</v>
      </c>
      <c r="D332" s="15">
        <v>0</v>
      </c>
      <c r="E332" s="15">
        <v>1</v>
      </c>
      <c r="F332" s="15">
        <v>6</v>
      </c>
      <c r="G332" s="17" t="b">
        <v>0</v>
      </c>
      <c r="H332" s="15">
        <v>6</v>
      </c>
      <c r="I332" s="15">
        <v>1</v>
      </c>
      <c r="J332" s="15">
        <v>0.14000000000000001</v>
      </c>
      <c r="K332" s="14">
        <v>0.16669999999999999</v>
      </c>
      <c r="L332" s="14">
        <v>0.63</v>
      </c>
      <c r="M332" s="14">
        <v>0.1045</v>
      </c>
      <c r="N332" s="14">
        <v>1</v>
      </c>
      <c r="O332" s="14">
        <v>2</v>
      </c>
      <c r="P332" s="14">
        <v>3</v>
      </c>
    </row>
    <row r="333" spans="1:16" x14ac:dyDescent="0.3">
      <c r="A333" s="15">
        <v>332</v>
      </c>
      <c r="B333" s="16">
        <v>40558</v>
      </c>
      <c r="C333" s="15">
        <v>1</v>
      </c>
      <c r="D333" s="15">
        <v>0</v>
      </c>
      <c r="E333" s="15">
        <v>1</v>
      </c>
      <c r="F333" s="15">
        <v>7</v>
      </c>
      <c r="G333" s="17" t="b">
        <v>0</v>
      </c>
      <c r="H333" s="15">
        <v>6</v>
      </c>
      <c r="I333" s="15">
        <v>1</v>
      </c>
      <c r="J333" s="15">
        <v>0.14000000000000001</v>
      </c>
      <c r="K333" s="14">
        <v>0.21210000000000001</v>
      </c>
      <c r="L333" s="14">
        <v>0.63</v>
      </c>
      <c r="M333" s="14">
        <v>0</v>
      </c>
      <c r="N333" s="14">
        <v>1</v>
      </c>
      <c r="O333" s="14">
        <v>9</v>
      </c>
      <c r="P333" s="14">
        <v>10</v>
      </c>
    </row>
    <row r="334" spans="1:16" x14ac:dyDescent="0.3">
      <c r="A334" s="15">
        <v>333</v>
      </c>
      <c r="B334" s="16">
        <v>40558</v>
      </c>
      <c r="C334" s="15">
        <v>1</v>
      </c>
      <c r="D334" s="15">
        <v>0</v>
      </c>
      <c r="E334" s="15">
        <v>1</v>
      </c>
      <c r="F334" s="15">
        <v>8</v>
      </c>
      <c r="G334" s="17" t="b">
        <v>0</v>
      </c>
      <c r="H334" s="15">
        <v>6</v>
      </c>
      <c r="I334" s="15">
        <v>1</v>
      </c>
      <c r="J334" s="15">
        <v>0.14000000000000001</v>
      </c>
      <c r="K334" s="14">
        <v>0.1515</v>
      </c>
      <c r="L334" s="14">
        <v>0.63</v>
      </c>
      <c r="M334" s="14">
        <v>0.1343</v>
      </c>
      <c r="N334" s="14">
        <v>1</v>
      </c>
      <c r="O334" s="14">
        <v>22</v>
      </c>
      <c r="P334" s="14">
        <v>23</v>
      </c>
    </row>
    <row r="335" spans="1:16" x14ac:dyDescent="0.3">
      <c r="A335" s="15">
        <v>334</v>
      </c>
      <c r="B335" s="16">
        <v>40558</v>
      </c>
      <c r="C335" s="15">
        <v>1</v>
      </c>
      <c r="D335" s="15">
        <v>0</v>
      </c>
      <c r="E335" s="15">
        <v>1</v>
      </c>
      <c r="F335" s="15">
        <v>9</v>
      </c>
      <c r="G335" s="17" t="b">
        <v>0</v>
      </c>
      <c r="H335" s="15">
        <v>6</v>
      </c>
      <c r="I335" s="15">
        <v>1</v>
      </c>
      <c r="J335" s="15">
        <v>0.16</v>
      </c>
      <c r="K335" s="14">
        <v>0.18179999999999999</v>
      </c>
      <c r="L335" s="14">
        <v>0.64</v>
      </c>
      <c r="M335" s="14">
        <v>0.1343</v>
      </c>
      <c r="N335" s="14">
        <v>2</v>
      </c>
      <c r="O335" s="14">
        <v>31</v>
      </c>
      <c r="P335" s="14">
        <v>33</v>
      </c>
    </row>
    <row r="336" spans="1:16" x14ac:dyDescent="0.3">
      <c r="A336" s="15">
        <v>335</v>
      </c>
      <c r="B336" s="16">
        <v>40558</v>
      </c>
      <c r="C336" s="15">
        <v>1</v>
      </c>
      <c r="D336" s="15">
        <v>0</v>
      </c>
      <c r="E336" s="15">
        <v>1</v>
      </c>
      <c r="F336" s="15">
        <v>10</v>
      </c>
      <c r="G336" s="17" t="b">
        <v>0</v>
      </c>
      <c r="H336" s="15">
        <v>6</v>
      </c>
      <c r="I336" s="15">
        <v>1</v>
      </c>
      <c r="J336" s="15">
        <v>0.18</v>
      </c>
      <c r="K336" s="14">
        <v>0.19700000000000001</v>
      </c>
      <c r="L336" s="14">
        <v>0.59</v>
      </c>
      <c r="M336" s="14">
        <v>0.16420000000000001</v>
      </c>
      <c r="N336" s="14">
        <v>2</v>
      </c>
      <c r="O336" s="14">
        <v>57</v>
      </c>
      <c r="P336" s="14">
        <v>59</v>
      </c>
    </row>
    <row r="337" spans="1:16" x14ac:dyDescent="0.3">
      <c r="A337" s="15">
        <v>336</v>
      </c>
      <c r="B337" s="16">
        <v>40558</v>
      </c>
      <c r="C337" s="15">
        <v>1</v>
      </c>
      <c r="D337" s="15">
        <v>0</v>
      </c>
      <c r="E337" s="15">
        <v>1</v>
      </c>
      <c r="F337" s="15">
        <v>11</v>
      </c>
      <c r="G337" s="17" t="b">
        <v>0</v>
      </c>
      <c r="H337" s="15">
        <v>6</v>
      </c>
      <c r="I337" s="15">
        <v>1</v>
      </c>
      <c r="J337" s="15">
        <v>0.2</v>
      </c>
      <c r="K337" s="14">
        <v>0.19700000000000001</v>
      </c>
      <c r="L337" s="14">
        <v>0.55000000000000004</v>
      </c>
      <c r="M337" s="14">
        <v>0.22389999999999999</v>
      </c>
      <c r="N337" s="14">
        <v>18</v>
      </c>
      <c r="O337" s="14">
        <v>54</v>
      </c>
      <c r="P337" s="14">
        <v>72</v>
      </c>
    </row>
    <row r="338" spans="1:16" x14ac:dyDescent="0.3">
      <c r="A338" s="15">
        <v>337</v>
      </c>
      <c r="B338" s="16">
        <v>40558</v>
      </c>
      <c r="C338" s="15">
        <v>1</v>
      </c>
      <c r="D338" s="15">
        <v>0</v>
      </c>
      <c r="E338" s="15">
        <v>1</v>
      </c>
      <c r="F338" s="15">
        <v>12</v>
      </c>
      <c r="G338" s="17" t="b">
        <v>0</v>
      </c>
      <c r="H338" s="15">
        <v>6</v>
      </c>
      <c r="I338" s="15">
        <v>1</v>
      </c>
      <c r="J338" s="15">
        <v>0.24</v>
      </c>
      <c r="K338" s="14">
        <v>0.2273</v>
      </c>
      <c r="L338" s="14">
        <v>0.48</v>
      </c>
      <c r="M338" s="14">
        <v>0.22389999999999999</v>
      </c>
      <c r="N338" s="14">
        <v>15</v>
      </c>
      <c r="O338" s="14">
        <v>74</v>
      </c>
      <c r="P338" s="14">
        <v>89</v>
      </c>
    </row>
    <row r="339" spans="1:16" x14ac:dyDescent="0.3">
      <c r="A339" s="15">
        <v>338</v>
      </c>
      <c r="B339" s="16">
        <v>40558</v>
      </c>
      <c r="C339" s="15">
        <v>1</v>
      </c>
      <c r="D339" s="15">
        <v>0</v>
      </c>
      <c r="E339" s="15">
        <v>1</v>
      </c>
      <c r="F339" s="15">
        <v>13</v>
      </c>
      <c r="G339" s="17" t="b">
        <v>0</v>
      </c>
      <c r="H339" s="15">
        <v>6</v>
      </c>
      <c r="I339" s="15">
        <v>1</v>
      </c>
      <c r="J339" s="15">
        <v>0.28000000000000003</v>
      </c>
      <c r="K339" s="14">
        <v>0.2576</v>
      </c>
      <c r="L339" s="14">
        <v>0.38</v>
      </c>
      <c r="M339" s="14">
        <v>0.29849999999999999</v>
      </c>
      <c r="N339" s="14">
        <v>21</v>
      </c>
      <c r="O339" s="14">
        <v>80</v>
      </c>
      <c r="P339" s="14">
        <v>101</v>
      </c>
    </row>
    <row r="340" spans="1:16" x14ac:dyDescent="0.3">
      <c r="A340" s="15">
        <v>339</v>
      </c>
      <c r="B340" s="16">
        <v>40558</v>
      </c>
      <c r="C340" s="15">
        <v>1</v>
      </c>
      <c r="D340" s="15">
        <v>0</v>
      </c>
      <c r="E340" s="15">
        <v>1</v>
      </c>
      <c r="F340" s="15">
        <v>14</v>
      </c>
      <c r="G340" s="17" t="b">
        <v>0</v>
      </c>
      <c r="H340" s="15">
        <v>6</v>
      </c>
      <c r="I340" s="15">
        <v>1</v>
      </c>
      <c r="J340" s="15">
        <v>0.3</v>
      </c>
      <c r="K340" s="14">
        <v>0.28789999999999999</v>
      </c>
      <c r="L340" s="14">
        <v>0.39</v>
      </c>
      <c r="M340" s="14">
        <v>0.28360000000000002</v>
      </c>
      <c r="N340" s="14">
        <v>26</v>
      </c>
      <c r="O340" s="14">
        <v>92</v>
      </c>
      <c r="P340" s="14">
        <v>118</v>
      </c>
    </row>
    <row r="341" spans="1:16" x14ac:dyDescent="0.3">
      <c r="A341" s="15">
        <v>340</v>
      </c>
      <c r="B341" s="16">
        <v>40558</v>
      </c>
      <c r="C341" s="15">
        <v>1</v>
      </c>
      <c r="D341" s="15">
        <v>0</v>
      </c>
      <c r="E341" s="15">
        <v>1</v>
      </c>
      <c r="F341" s="15">
        <v>15</v>
      </c>
      <c r="G341" s="17" t="b">
        <v>0</v>
      </c>
      <c r="H341" s="15">
        <v>6</v>
      </c>
      <c r="I341" s="15">
        <v>2</v>
      </c>
      <c r="J341" s="15">
        <v>0.32</v>
      </c>
      <c r="K341" s="14">
        <v>0.31819999999999998</v>
      </c>
      <c r="L341" s="14">
        <v>0.36</v>
      </c>
      <c r="M341" s="14">
        <v>0.19400000000000001</v>
      </c>
      <c r="N341" s="14">
        <v>21</v>
      </c>
      <c r="O341" s="14">
        <v>108</v>
      </c>
      <c r="P341" s="14">
        <v>129</v>
      </c>
    </row>
    <row r="342" spans="1:16" x14ac:dyDescent="0.3">
      <c r="A342" s="15">
        <v>341</v>
      </c>
      <c r="B342" s="16">
        <v>40558</v>
      </c>
      <c r="C342" s="15">
        <v>1</v>
      </c>
      <c r="D342" s="15">
        <v>0</v>
      </c>
      <c r="E342" s="15">
        <v>1</v>
      </c>
      <c r="F342" s="15">
        <v>16</v>
      </c>
      <c r="G342" s="17" t="b">
        <v>0</v>
      </c>
      <c r="H342" s="15">
        <v>6</v>
      </c>
      <c r="I342" s="15">
        <v>2</v>
      </c>
      <c r="J342" s="15">
        <v>0.34</v>
      </c>
      <c r="K342" s="14">
        <v>0.33329999999999999</v>
      </c>
      <c r="L342" s="14">
        <v>0.34</v>
      </c>
      <c r="M342" s="14">
        <v>0.19400000000000001</v>
      </c>
      <c r="N342" s="14">
        <v>33</v>
      </c>
      <c r="O342" s="14">
        <v>95</v>
      </c>
      <c r="P342" s="14">
        <v>128</v>
      </c>
    </row>
    <row r="343" spans="1:16" x14ac:dyDescent="0.3">
      <c r="A343" s="15">
        <v>342</v>
      </c>
      <c r="B343" s="16">
        <v>40558</v>
      </c>
      <c r="C343" s="15">
        <v>1</v>
      </c>
      <c r="D343" s="15">
        <v>0</v>
      </c>
      <c r="E343" s="15">
        <v>1</v>
      </c>
      <c r="F343" s="15">
        <v>17</v>
      </c>
      <c r="G343" s="17" t="b">
        <v>0</v>
      </c>
      <c r="H343" s="15">
        <v>6</v>
      </c>
      <c r="I343" s="15">
        <v>2</v>
      </c>
      <c r="J343" s="15">
        <v>0.32</v>
      </c>
      <c r="K343" s="14">
        <v>0.30299999999999999</v>
      </c>
      <c r="L343" s="14">
        <v>0.36</v>
      </c>
      <c r="M343" s="14">
        <v>0.28360000000000002</v>
      </c>
      <c r="N343" s="14">
        <v>29</v>
      </c>
      <c r="O343" s="14">
        <v>54</v>
      </c>
      <c r="P343" s="14">
        <v>83</v>
      </c>
    </row>
    <row r="344" spans="1:16" x14ac:dyDescent="0.3">
      <c r="A344" s="15">
        <v>343</v>
      </c>
      <c r="B344" s="16">
        <v>40558</v>
      </c>
      <c r="C344" s="15">
        <v>1</v>
      </c>
      <c r="D344" s="15">
        <v>0</v>
      </c>
      <c r="E344" s="15">
        <v>1</v>
      </c>
      <c r="F344" s="15">
        <v>18</v>
      </c>
      <c r="G344" s="17" t="b">
        <v>0</v>
      </c>
      <c r="H344" s="15">
        <v>6</v>
      </c>
      <c r="I344" s="15">
        <v>2</v>
      </c>
      <c r="J344" s="15">
        <v>0.3</v>
      </c>
      <c r="K344" s="14">
        <v>0.28789999999999999</v>
      </c>
      <c r="L344" s="14">
        <v>0.45</v>
      </c>
      <c r="M344" s="14">
        <v>0.25369999999999998</v>
      </c>
      <c r="N344" s="14">
        <v>15</v>
      </c>
      <c r="O344" s="14">
        <v>69</v>
      </c>
      <c r="P344" s="14">
        <v>84</v>
      </c>
    </row>
    <row r="345" spans="1:16" x14ac:dyDescent="0.3">
      <c r="A345" s="15">
        <v>344</v>
      </c>
      <c r="B345" s="16">
        <v>40558</v>
      </c>
      <c r="C345" s="15">
        <v>1</v>
      </c>
      <c r="D345" s="15">
        <v>0</v>
      </c>
      <c r="E345" s="15">
        <v>1</v>
      </c>
      <c r="F345" s="15">
        <v>19</v>
      </c>
      <c r="G345" s="17" t="b">
        <v>0</v>
      </c>
      <c r="H345" s="15">
        <v>6</v>
      </c>
      <c r="I345" s="15">
        <v>2</v>
      </c>
      <c r="J345" s="15">
        <v>0.32</v>
      </c>
      <c r="K345" s="14">
        <v>0.30299999999999999</v>
      </c>
      <c r="L345" s="14">
        <v>0.39</v>
      </c>
      <c r="M345" s="14">
        <v>0.25369999999999998</v>
      </c>
      <c r="N345" s="14">
        <v>14</v>
      </c>
      <c r="O345" s="14">
        <v>60</v>
      </c>
      <c r="P345" s="14">
        <v>74</v>
      </c>
    </row>
    <row r="346" spans="1:16" x14ac:dyDescent="0.3">
      <c r="A346" s="15">
        <v>345</v>
      </c>
      <c r="B346" s="16">
        <v>40558</v>
      </c>
      <c r="C346" s="15">
        <v>1</v>
      </c>
      <c r="D346" s="15">
        <v>0</v>
      </c>
      <c r="E346" s="15">
        <v>1</v>
      </c>
      <c r="F346" s="15">
        <v>20</v>
      </c>
      <c r="G346" s="17" t="b">
        <v>0</v>
      </c>
      <c r="H346" s="15">
        <v>6</v>
      </c>
      <c r="I346" s="15">
        <v>2</v>
      </c>
      <c r="J346" s="15">
        <v>0.32</v>
      </c>
      <c r="K346" s="14">
        <v>0.30299999999999999</v>
      </c>
      <c r="L346" s="14">
        <v>0.39</v>
      </c>
      <c r="M346" s="14">
        <v>0.25369999999999998</v>
      </c>
      <c r="N346" s="14">
        <v>6</v>
      </c>
      <c r="O346" s="14">
        <v>35</v>
      </c>
      <c r="P346" s="14">
        <v>41</v>
      </c>
    </row>
    <row r="347" spans="1:16" x14ac:dyDescent="0.3">
      <c r="A347" s="15">
        <v>346</v>
      </c>
      <c r="B347" s="16">
        <v>40558</v>
      </c>
      <c r="C347" s="15">
        <v>1</v>
      </c>
      <c r="D347" s="15">
        <v>0</v>
      </c>
      <c r="E347" s="15">
        <v>1</v>
      </c>
      <c r="F347" s="15">
        <v>21</v>
      </c>
      <c r="G347" s="17" t="b">
        <v>0</v>
      </c>
      <c r="H347" s="15">
        <v>6</v>
      </c>
      <c r="I347" s="15">
        <v>2</v>
      </c>
      <c r="J347" s="15">
        <v>0.32</v>
      </c>
      <c r="K347" s="14">
        <v>0.30299999999999999</v>
      </c>
      <c r="L347" s="14">
        <v>0.39</v>
      </c>
      <c r="M347" s="14">
        <v>0.22389999999999999</v>
      </c>
      <c r="N347" s="14">
        <v>6</v>
      </c>
      <c r="O347" s="14">
        <v>51</v>
      </c>
      <c r="P347" s="14">
        <v>57</v>
      </c>
    </row>
    <row r="348" spans="1:16" x14ac:dyDescent="0.3">
      <c r="A348" s="15">
        <v>347</v>
      </c>
      <c r="B348" s="16">
        <v>40558</v>
      </c>
      <c r="C348" s="15">
        <v>1</v>
      </c>
      <c r="D348" s="15">
        <v>0</v>
      </c>
      <c r="E348" s="15">
        <v>1</v>
      </c>
      <c r="F348" s="15">
        <v>22</v>
      </c>
      <c r="G348" s="17" t="b">
        <v>0</v>
      </c>
      <c r="H348" s="15">
        <v>6</v>
      </c>
      <c r="I348" s="15">
        <v>2</v>
      </c>
      <c r="J348" s="15">
        <v>0.3</v>
      </c>
      <c r="K348" s="14">
        <v>0.31819999999999998</v>
      </c>
      <c r="L348" s="14">
        <v>0.42</v>
      </c>
      <c r="M348" s="14">
        <v>0.1045</v>
      </c>
      <c r="N348" s="14">
        <v>0</v>
      </c>
      <c r="O348" s="14">
        <v>26</v>
      </c>
      <c r="P348" s="14">
        <v>26</v>
      </c>
    </row>
    <row r="349" spans="1:16" x14ac:dyDescent="0.3">
      <c r="A349" s="15">
        <v>348</v>
      </c>
      <c r="B349" s="16">
        <v>40558</v>
      </c>
      <c r="C349" s="15">
        <v>1</v>
      </c>
      <c r="D349" s="15">
        <v>0</v>
      </c>
      <c r="E349" s="15">
        <v>1</v>
      </c>
      <c r="F349" s="15">
        <v>23</v>
      </c>
      <c r="G349" s="17" t="b">
        <v>0</v>
      </c>
      <c r="H349" s="15">
        <v>6</v>
      </c>
      <c r="I349" s="15">
        <v>1</v>
      </c>
      <c r="J349" s="15">
        <v>0.3</v>
      </c>
      <c r="K349" s="14">
        <v>0.28789999999999999</v>
      </c>
      <c r="L349" s="14">
        <v>0.45</v>
      </c>
      <c r="M349" s="14">
        <v>0.28360000000000002</v>
      </c>
      <c r="N349" s="14">
        <v>5</v>
      </c>
      <c r="O349" s="14">
        <v>39</v>
      </c>
      <c r="P349" s="14">
        <v>44</v>
      </c>
    </row>
    <row r="350" spans="1:16" x14ac:dyDescent="0.3">
      <c r="A350" s="15">
        <v>349</v>
      </c>
      <c r="B350" s="16">
        <v>40559</v>
      </c>
      <c r="C350" s="15">
        <v>1</v>
      </c>
      <c r="D350" s="15">
        <v>0</v>
      </c>
      <c r="E350" s="15">
        <v>1</v>
      </c>
      <c r="F350" s="15">
        <v>0</v>
      </c>
      <c r="G350" s="17" t="b">
        <v>0</v>
      </c>
      <c r="H350" s="15">
        <v>0</v>
      </c>
      <c r="I350" s="15">
        <v>1</v>
      </c>
      <c r="J350" s="15">
        <v>0.26</v>
      </c>
      <c r="K350" s="14">
        <v>0.30299999999999999</v>
      </c>
      <c r="L350" s="14">
        <v>0.56000000000000005</v>
      </c>
      <c r="M350" s="14">
        <v>0</v>
      </c>
      <c r="N350" s="14">
        <v>6</v>
      </c>
      <c r="O350" s="14">
        <v>33</v>
      </c>
      <c r="P350" s="14">
        <v>39</v>
      </c>
    </row>
    <row r="351" spans="1:16" x14ac:dyDescent="0.3">
      <c r="A351" s="15">
        <v>350</v>
      </c>
      <c r="B351" s="16">
        <v>40559</v>
      </c>
      <c r="C351" s="15">
        <v>1</v>
      </c>
      <c r="D351" s="15">
        <v>0</v>
      </c>
      <c r="E351" s="15">
        <v>1</v>
      </c>
      <c r="F351" s="15">
        <v>1</v>
      </c>
      <c r="G351" s="17" t="b">
        <v>0</v>
      </c>
      <c r="H351" s="15">
        <v>0</v>
      </c>
      <c r="I351" s="15">
        <v>1</v>
      </c>
      <c r="J351" s="15">
        <v>0.26</v>
      </c>
      <c r="K351" s="14">
        <v>0.2727</v>
      </c>
      <c r="L351" s="14">
        <v>0.56000000000000005</v>
      </c>
      <c r="M351" s="14">
        <v>0.1343</v>
      </c>
      <c r="N351" s="14">
        <v>4</v>
      </c>
      <c r="O351" s="14">
        <v>19</v>
      </c>
      <c r="P351" s="14">
        <v>23</v>
      </c>
    </row>
    <row r="352" spans="1:16" x14ac:dyDescent="0.3">
      <c r="A352" s="15">
        <v>351</v>
      </c>
      <c r="B352" s="16">
        <v>40559</v>
      </c>
      <c r="C352" s="15">
        <v>1</v>
      </c>
      <c r="D352" s="15">
        <v>0</v>
      </c>
      <c r="E352" s="15">
        <v>1</v>
      </c>
      <c r="F352" s="15">
        <v>2</v>
      </c>
      <c r="G352" s="17" t="b">
        <v>0</v>
      </c>
      <c r="H352" s="15">
        <v>0</v>
      </c>
      <c r="I352" s="15">
        <v>1</v>
      </c>
      <c r="J352" s="15">
        <v>0.26</v>
      </c>
      <c r="K352" s="14">
        <v>0.28789999999999999</v>
      </c>
      <c r="L352" s="14">
        <v>0.56000000000000005</v>
      </c>
      <c r="M352" s="14">
        <v>8.9599999999999999E-2</v>
      </c>
      <c r="N352" s="14">
        <v>3</v>
      </c>
      <c r="O352" s="14">
        <v>13</v>
      </c>
      <c r="P352" s="14">
        <v>16</v>
      </c>
    </row>
    <row r="353" spans="1:16" x14ac:dyDescent="0.3">
      <c r="A353" s="15">
        <v>352</v>
      </c>
      <c r="B353" s="16">
        <v>40559</v>
      </c>
      <c r="C353" s="15">
        <v>1</v>
      </c>
      <c r="D353" s="15">
        <v>0</v>
      </c>
      <c r="E353" s="15">
        <v>1</v>
      </c>
      <c r="F353" s="15">
        <v>3</v>
      </c>
      <c r="G353" s="17" t="b">
        <v>0</v>
      </c>
      <c r="H353" s="15">
        <v>0</v>
      </c>
      <c r="I353" s="15">
        <v>1</v>
      </c>
      <c r="J353" s="15">
        <v>0.22</v>
      </c>
      <c r="K353" s="14">
        <v>0.2727</v>
      </c>
      <c r="L353" s="14">
        <v>0.69</v>
      </c>
      <c r="M353" s="14">
        <v>0</v>
      </c>
      <c r="N353" s="14">
        <v>9</v>
      </c>
      <c r="O353" s="14">
        <v>6</v>
      </c>
      <c r="P353" s="14">
        <v>15</v>
      </c>
    </row>
    <row r="354" spans="1:16" x14ac:dyDescent="0.3">
      <c r="A354" s="15">
        <v>353</v>
      </c>
      <c r="B354" s="16">
        <v>40559</v>
      </c>
      <c r="C354" s="15">
        <v>1</v>
      </c>
      <c r="D354" s="15">
        <v>0</v>
      </c>
      <c r="E354" s="15">
        <v>1</v>
      </c>
      <c r="F354" s="15">
        <v>4</v>
      </c>
      <c r="G354" s="17" t="b">
        <v>0</v>
      </c>
      <c r="H354" s="15">
        <v>0</v>
      </c>
      <c r="I354" s="15">
        <v>1</v>
      </c>
      <c r="J354" s="15">
        <v>0.26</v>
      </c>
      <c r="K354" s="14">
        <v>0.2576</v>
      </c>
      <c r="L354" s="14">
        <v>0.56000000000000005</v>
      </c>
      <c r="M354" s="14">
        <v>0.16420000000000001</v>
      </c>
      <c r="N354" s="14">
        <v>0</v>
      </c>
      <c r="O354" s="14">
        <v>1</v>
      </c>
      <c r="P354" s="14">
        <v>1</v>
      </c>
    </row>
    <row r="355" spans="1:16" x14ac:dyDescent="0.3">
      <c r="A355" s="15">
        <v>354</v>
      </c>
      <c r="B355" s="16">
        <v>40559</v>
      </c>
      <c r="C355" s="15">
        <v>1</v>
      </c>
      <c r="D355" s="15">
        <v>0</v>
      </c>
      <c r="E355" s="15">
        <v>1</v>
      </c>
      <c r="F355" s="15">
        <v>5</v>
      </c>
      <c r="G355" s="17" t="b">
        <v>0</v>
      </c>
      <c r="H355" s="15">
        <v>0</v>
      </c>
      <c r="I355" s="15">
        <v>2</v>
      </c>
      <c r="J355" s="15">
        <v>0.26</v>
      </c>
      <c r="K355" s="14">
        <v>0.2576</v>
      </c>
      <c r="L355" s="14">
        <v>0.56000000000000005</v>
      </c>
      <c r="M355" s="14">
        <v>0.16420000000000001</v>
      </c>
      <c r="N355" s="14">
        <v>1</v>
      </c>
      <c r="O355" s="14">
        <v>1</v>
      </c>
      <c r="P355" s="14">
        <v>2</v>
      </c>
    </row>
    <row r="356" spans="1:16" x14ac:dyDescent="0.3">
      <c r="A356" s="15">
        <v>355</v>
      </c>
      <c r="B356" s="16">
        <v>40559</v>
      </c>
      <c r="C356" s="15">
        <v>1</v>
      </c>
      <c r="D356" s="15">
        <v>0</v>
      </c>
      <c r="E356" s="15">
        <v>1</v>
      </c>
      <c r="F356" s="15">
        <v>6</v>
      </c>
      <c r="G356" s="17" t="b">
        <v>0</v>
      </c>
      <c r="H356" s="15">
        <v>0</v>
      </c>
      <c r="I356" s="15">
        <v>2</v>
      </c>
      <c r="J356" s="15">
        <v>0.26</v>
      </c>
      <c r="K356" s="14">
        <v>0.2576</v>
      </c>
      <c r="L356" s="14">
        <v>0.56000000000000005</v>
      </c>
      <c r="M356" s="14">
        <v>0.16420000000000001</v>
      </c>
      <c r="N356" s="14">
        <v>0</v>
      </c>
      <c r="O356" s="14">
        <v>1</v>
      </c>
      <c r="P356" s="14">
        <v>1</v>
      </c>
    </row>
    <row r="357" spans="1:16" x14ac:dyDescent="0.3">
      <c r="A357" s="15">
        <v>356</v>
      </c>
      <c r="B357" s="16">
        <v>40559</v>
      </c>
      <c r="C357" s="15">
        <v>1</v>
      </c>
      <c r="D357" s="15">
        <v>0</v>
      </c>
      <c r="E357" s="15">
        <v>1</v>
      </c>
      <c r="F357" s="15">
        <v>7</v>
      </c>
      <c r="G357" s="17" t="b">
        <v>0</v>
      </c>
      <c r="H357" s="15">
        <v>0</v>
      </c>
      <c r="I357" s="15">
        <v>2</v>
      </c>
      <c r="J357" s="15">
        <v>0.24</v>
      </c>
      <c r="K357" s="14">
        <v>0.21210000000000001</v>
      </c>
      <c r="L357" s="14">
        <v>0.56000000000000005</v>
      </c>
      <c r="M357" s="14">
        <v>0.29849999999999999</v>
      </c>
      <c r="N357" s="14">
        <v>0</v>
      </c>
      <c r="O357" s="14">
        <v>3</v>
      </c>
      <c r="P357" s="14">
        <v>3</v>
      </c>
    </row>
    <row r="358" spans="1:16" x14ac:dyDescent="0.3">
      <c r="A358" s="15">
        <v>357</v>
      </c>
      <c r="B358" s="16">
        <v>40559</v>
      </c>
      <c r="C358" s="15">
        <v>1</v>
      </c>
      <c r="D358" s="15">
        <v>0</v>
      </c>
      <c r="E358" s="15">
        <v>1</v>
      </c>
      <c r="F358" s="15">
        <v>8</v>
      </c>
      <c r="G358" s="17" t="b">
        <v>0</v>
      </c>
      <c r="H358" s="15">
        <v>0</v>
      </c>
      <c r="I358" s="15">
        <v>1</v>
      </c>
      <c r="J358" s="15">
        <v>0.22</v>
      </c>
      <c r="K358" s="14">
        <v>0.21210000000000001</v>
      </c>
      <c r="L358" s="14">
        <v>0.55000000000000004</v>
      </c>
      <c r="M358" s="14">
        <v>0.28360000000000002</v>
      </c>
      <c r="N358" s="14">
        <v>0</v>
      </c>
      <c r="O358" s="14">
        <v>18</v>
      </c>
      <c r="P358" s="14">
        <v>18</v>
      </c>
    </row>
    <row r="359" spans="1:16" x14ac:dyDescent="0.3">
      <c r="A359" s="15">
        <v>358</v>
      </c>
      <c r="B359" s="16">
        <v>40559</v>
      </c>
      <c r="C359" s="15">
        <v>1</v>
      </c>
      <c r="D359" s="15">
        <v>0</v>
      </c>
      <c r="E359" s="15">
        <v>1</v>
      </c>
      <c r="F359" s="15">
        <v>9</v>
      </c>
      <c r="G359" s="17" t="b">
        <v>0</v>
      </c>
      <c r="H359" s="15">
        <v>0</v>
      </c>
      <c r="I359" s="15">
        <v>1</v>
      </c>
      <c r="J359" s="15">
        <v>0.22</v>
      </c>
      <c r="K359" s="14">
        <v>0.21210000000000001</v>
      </c>
      <c r="L359" s="14">
        <v>0.51</v>
      </c>
      <c r="M359" s="14">
        <v>0.25369999999999998</v>
      </c>
      <c r="N359" s="14">
        <v>3</v>
      </c>
      <c r="O359" s="14">
        <v>29</v>
      </c>
      <c r="P359" s="14">
        <v>32</v>
      </c>
    </row>
    <row r="360" spans="1:16" x14ac:dyDescent="0.3">
      <c r="A360" s="15">
        <v>359</v>
      </c>
      <c r="B360" s="16">
        <v>40559</v>
      </c>
      <c r="C360" s="15">
        <v>1</v>
      </c>
      <c r="D360" s="15">
        <v>0</v>
      </c>
      <c r="E360" s="15">
        <v>1</v>
      </c>
      <c r="F360" s="15">
        <v>10</v>
      </c>
      <c r="G360" s="17" t="b">
        <v>0</v>
      </c>
      <c r="H360" s="15">
        <v>0</v>
      </c>
      <c r="I360" s="15">
        <v>1</v>
      </c>
      <c r="J360" s="15">
        <v>0.22</v>
      </c>
      <c r="K360" s="14">
        <v>0.21210000000000001</v>
      </c>
      <c r="L360" s="14">
        <v>0.51</v>
      </c>
      <c r="M360" s="14">
        <v>0.28360000000000002</v>
      </c>
      <c r="N360" s="14">
        <v>8</v>
      </c>
      <c r="O360" s="14">
        <v>71</v>
      </c>
      <c r="P360" s="14">
        <v>79</v>
      </c>
    </row>
    <row r="361" spans="1:16" x14ac:dyDescent="0.3">
      <c r="A361" s="15">
        <v>360</v>
      </c>
      <c r="B361" s="16">
        <v>40559</v>
      </c>
      <c r="C361" s="15">
        <v>1</v>
      </c>
      <c r="D361" s="15">
        <v>0</v>
      </c>
      <c r="E361" s="15">
        <v>1</v>
      </c>
      <c r="F361" s="15">
        <v>11</v>
      </c>
      <c r="G361" s="17" t="b">
        <v>0</v>
      </c>
      <c r="H361" s="15">
        <v>0</v>
      </c>
      <c r="I361" s="15">
        <v>1</v>
      </c>
      <c r="J361" s="15">
        <v>0.24</v>
      </c>
      <c r="K361" s="14">
        <v>0.2273</v>
      </c>
      <c r="L361" s="14">
        <v>0.44</v>
      </c>
      <c r="M361" s="14">
        <v>0.25369999999999998</v>
      </c>
      <c r="N361" s="14">
        <v>23</v>
      </c>
      <c r="O361" s="14">
        <v>70</v>
      </c>
      <c r="P361" s="14">
        <v>93</v>
      </c>
    </row>
    <row r="362" spans="1:16" x14ac:dyDescent="0.3">
      <c r="A362" s="15">
        <v>361</v>
      </c>
      <c r="B362" s="16">
        <v>40559</v>
      </c>
      <c r="C362" s="15">
        <v>1</v>
      </c>
      <c r="D362" s="15">
        <v>0</v>
      </c>
      <c r="E362" s="15">
        <v>1</v>
      </c>
      <c r="F362" s="15">
        <v>12</v>
      </c>
      <c r="G362" s="17" t="b">
        <v>0</v>
      </c>
      <c r="H362" s="15">
        <v>0</v>
      </c>
      <c r="I362" s="15">
        <v>1</v>
      </c>
      <c r="J362" s="15">
        <v>0.24</v>
      </c>
      <c r="K362" s="14">
        <v>0.21210000000000001</v>
      </c>
      <c r="L362" s="14">
        <v>0.41</v>
      </c>
      <c r="M362" s="14">
        <v>0.28360000000000002</v>
      </c>
      <c r="N362" s="14">
        <v>29</v>
      </c>
      <c r="O362" s="14">
        <v>75</v>
      </c>
      <c r="P362" s="14">
        <v>104</v>
      </c>
    </row>
    <row r="363" spans="1:16" x14ac:dyDescent="0.3">
      <c r="A363" s="15">
        <v>362</v>
      </c>
      <c r="B363" s="16">
        <v>40559</v>
      </c>
      <c r="C363" s="15">
        <v>1</v>
      </c>
      <c r="D363" s="15">
        <v>0</v>
      </c>
      <c r="E363" s="15">
        <v>1</v>
      </c>
      <c r="F363" s="15">
        <v>13</v>
      </c>
      <c r="G363" s="17" t="b">
        <v>0</v>
      </c>
      <c r="H363" s="15">
        <v>0</v>
      </c>
      <c r="I363" s="15">
        <v>1</v>
      </c>
      <c r="J363" s="15">
        <v>0.26</v>
      </c>
      <c r="K363" s="14">
        <v>0.2273</v>
      </c>
      <c r="L363" s="14">
        <v>0.35</v>
      </c>
      <c r="M363" s="14">
        <v>0.29849999999999999</v>
      </c>
      <c r="N363" s="14">
        <v>23</v>
      </c>
      <c r="O363" s="14">
        <v>95</v>
      </c>
      <c r="P363" s="14">
        <v>118</v>
      </c>
    </row>
    <row r="364" spans="1:16" x14ac:dyDescent="0.3">
      <c r="A364" s="15">
        <v>363</v>
      </c>
      <c r="B364" s="16">
        <v>40559</v>
      </c>
      <c r="C364" s="15">
        <v>1</v>
      </c>
      <c r="D364" s="15">
        <v>0</v>
      </c>
      <c r="E364" s="15">
        <v>1</v>
      </c>
      <c r="F364" s="15">
        <v>14</v>
      </c>
      <c r="G364" s="17" t="b">
        <v>0</v>
      </c>
      <c r="H364" s="15">
        <v>0</v>
      </c>
      <c r="I364" s="15">
        <v>1</v>
      </c>
      <c r="J364" s="15">
        <v>0.28000000000000003</v>
      </c>
      <c r="K364" s="14">
        <v>0.2727</v>
      </c>
      <c r="L364" s="14">
        <v>0.36</v>
      </c>
      <c r="M364" s="14">
        <v>0.25369999999999998</v>
      </c>
      <c r="N364" s="14">
        <v>22</v>
      </c>
      <c r="O364" s="14">
        <v>69</v>
      </c>
      <c r="P364" s="14">
        <v>91</v>
      </c>
    </row>
    <row r="365" spans="1:16" x14ac:dyDescent="0.3">
      <c r="A365" s="15">
        <v>364</v>
      </c>
      <c r="B365" s="16">
        <v>40559</v>
      </c>
      <c r="C365" s="15">
        <v>1</v>
      </c>
      <c r="D365" s="15">
        <v>0</v>
      </c>
      <c r="E365" s="15">
        <v>1</v>
      </c>
      <c r="F365" s="15">
        <v>15</v>
      </c>
      <c r="G365" s="17" t="b">
        <v>0</v>
      </c>
      <c r="H365" s="15">
        <v>0</v>
      </c>
      <c r="I365" s="15">
        <v>1</v>
      </c>
      <c r="J365" s="15">
        <v>0.26</v>
      </c>
      <c r="K365" s="14">
        <v>0.2424</v>
      </c>
      <c r="L365" s="14">
        <v>0.38</v>
      </c>
      <c r="M365" s="14">
        <v>0.25369999999999998</v>
      </c>
      <c r="N365" s="14">
        <v>35</v>
      </c>
      <c r="O365" s="14">
        <v>78</v>
      </c>
      <c r="P365" s="14">
        <v>113</v>
      </c>
    </row>
    <row r="366" spans="1:16" x14ac:dyDescent="0.3">
      <c r="A366" s="15">
        <v>365</v>
      </c>
      <c r="B366" s="16">
        <v>40559</v>
      </c>
      <c r="C366" s="15">
        <v>1</v>
      </c>
      <c r="D366" s="15">
        <v>0</v>
      </c>
      <c r="E366" s="15">
        <v>1</v>
      </c>
      <c r="F366" s="15">
        <v>16</v>
      </c>
      <c r="G366" s="17" t="b">
        <v>0</v>
      </c>
      <c r="H366" s="15">
        <v>0</v>
      </c>
      <c r="I366" s="15">
        <v>1</v>
      </c>
      <c r="J366" s="15">
        <v>0.24</v>
      </c>
      <c r="K366" s="14">
        <v>0.2273</v>
      </c>
      <c r="L366" s="14">
        <v>0.38</v>
      </c>
      <c r="M366" s="14">
        <v>0.22389999999999999</v>
      </c>
      <c r="N366" s="14">
        <v>22</v>
      </c>
      <c r="O366" s="14">
        <v>77</v>
      </c>
      <c r="P366" s="14">
        <v>99</v>
      </c>
    </row>
    <row r="367" spans="1:16" x14ac:dyDescent="0.3">
      <c r="A367" s="15">
        <v>366</v>
      </c>
      <c r="B367" s="16">
        <v>40559</v>
      </c>
      <c r="C367" s="15">
        <v>1</v>
      </c>
      <c r="D367" s="15">
        <v>0</v>
      </c>
      <c r="E367" s="15">
        <v>1</v>
      </c>
      <c r="F367" s="15">
        <v>17</v>
      </c>
      <c r="G367" s="17" t="b">
        <v>0</v>
      </c>
      <c r="H367" s="15">
        <v>0</v>
      </c>
      <c r="I367" s="15">
        <v>1</v>
      </c>
      <c r="J367" s="15">
        <v>0.22</v>
      </c>
      <c r="K367" s="14">
        <v>0.21210000000000001</v>
      </c>
      <c r="L367" s="14">
        <v>0.37</v>
      </c>
      <c r="M367" s="14">
        <v>0.25369999999999998</v>
      </c>
      <c r="N367" s="14">
        <v>23</v>
      </c>
      <c r="O367" s="14">
        <v>82</v>
      </c>
      <c r="P367" s="14">
        <v>105</v>
      </c>
    </row>
    <row r="368" spans="1:16" x14ac:dyDescent="0.3">
      <c r="A368" s="15">
        <v>367</v>
      </c>
      <c r="B368" s="16">
        <v>40559</v>
      </c>
      <c r="C368" s="15">
        <v>1</v>
      </c>
      <c r="D368" s="15">
        <v>0</v>
      </c>
      <c r="E368" s="15">
        <v>1</v>
      </c>
      <c r="F368" s="15">
        <v>18</v>
      </c>
      <c r="G368" s="17" t="b">
        <v>0</v>
      </c>
      <c r="H368" s="15">
        <v>0</v>
      </c>
      <c r="I368" s="15">
        <v>1</v>
      </c>
      <c r="J368" s="15">
        <v>0.2</v>
      </c>
      <c r="K368" s="14">
        <v>0.21210000000000001</v>
      </c>
      <c r="L368" s="14">
        <v>0.4</v>
      </c>
      <c r="M368" s="14">
        <v>0.16420000000000001</v>
      </c>
      <c r="N368" s="14">
        <v>11</v>
      </c>
      <c r="O368" s="14">
        <v>56</v>
      </c>
      <c r="P368" s="14">
        <v>67</v>
      </c>
    </row>
    <row r="369" spans="1:16" x14ac:dyDescent="0.3">
      <c r="A369" s="15">
        <v>368</v>
      </c>
      <c r="B369" s="16">
        <v>40559</v>
      </c>
      <c r="C369" s="15">
        <v>1</v>
      </c>
      <c r="D369" s="15">
        <v>0</v>
      </c>
      <c r="E369" s="15">
        <v>1</v>
      </c>
      <c r="F369" s="15">
        <v>19</v>
      </c>
      <c r="G369" s="17" t="b">
        <v>0</v>
      </c>
      <c r="H369" s="15">
        <v>0</v>
      </c>
      <c r="I369" s="15">
        <v>1</v>
      </c>
      <c r="J369" s="15">
        <v>0.18</v>
      </c>
      <c r="K369" s="14">
        <v>0.19700000000000001</v>
      </c>
      <c r="L369" s="14">
        <v>0.47</v>
      </c>
      <c r="M369" s="14">
        <v>0.1343</v>
      </c>
      <c r="N369" s="14">
        <v>14</v>
      </c>
      <c r="O369" s="14">
        <v>47</v>
      </c>
      <c r="P369" s="14">
        <v>61</v>
      </c>
    </row>
    <row r="370" spans="1:16" x14ac:dyDescent="0.3">
      <c r="A370" s="15">
        <v>369</v>
      </c>
      <c r="B370" s="16">
        <v>40559</v>
      </c>
      <c r="C370" s="15">
        <v>1</v>
      </c>
      <c r="D370" s="15">
        <v>0</v>
      </c>
      <c r="E370" s="15">
        <v>1</v>
      </c>
      <c r="F370" s="15">
        <v>20</v>
      </c>
      <c r="G370" s="17" t="b">
        <v>0</v>
      </c>
      <c r="H370" s="15">
        <v>0</v>
      </c>
      <c r="I370" s="15">
        <v>1</v>
      </c>
      <c r="J370" s="15">
        <v>0.18</v>
      </c>
      <c r="K370" s="14">
        <v>0.19700000000000001</v>
      </c>
      <c r="L370" s="14">
        <v>0.47</v>
      </c>
      <c r="M370" s="14">
        <v>0.16420000000000001</v>
      </c>
      <c r="N370" s="14">
        <v>7</v>
      </c>
      <c r="O370" s="14">
        <v>50</v>
      </c>
      <c r="P370" s="14">
        <v>57</v>
      </c>
    </row>
    <row r="371" spans="1:16" x14ac:dyDescent="0.3">
      <c r="A371" s="15">
        <v>370</v>
      </c>
      <c r="B371" s="16">
        <v>40559</v>
      </c>
      <c r="C371" s="15">
        <v>1</v>
      </c>
      <c r="D371" s="15">
        <v>0</v>
      </c>
      <c r="E371" s="15">
        <v>1</v>
      </c>
      <c r="F371" s="15">
        <v>21</v>
      </c>
      <c r="G371" s="17" t="b">
        <v>0</v>
      </c>
      <c r="H371" s="15">
        <v>0</v>
      </c>
      <c r="I371" s="15">
        <v>1</v>
      </c>
      <c r="J371" s="15">
        <v>0.18</v>
      </c>
      <c r="K371" s="14">
        <v>0.19700000000000001</v>
      </c>
      <c r="L371" s="14">
        <v>0.51</v>
      </c>
      <c r="M371" s="14">
        <v>0.16420000000000001</v>
      </c>
      <c r="N371" s="14">
        <v>6</v>
      </c>
      <c r="O371" s="14">
        <v>22</v>
      </c>
      <c r="P371" s="14">
        <v>28</v>
      </c>
    </row>
    <row r="372" spans="1:16" x14ac:dyDescent="0.3">
      <c r="A372" s="15">
        <v>371</v>
      </c>
      <c r="B372" s="16">
        <v>40559</v>
      </c>
      <c r="C372" s="15">
        <v>1</v>
      </c>
      <c r="D372" s="15">
        <v>0</v>
      </c>
      <c r="E372" s="15">
        <v>1</v>
      </c>
      <c r="F372" s="15">
        <v>22</v>
      </c>
      <c r="G372" s="17" t="b">
        <v>0</v>
      </c>
      <c r="H372" s="15">
        <v>0</v>
      </c>
      <c r="I372" s="15">
        <v>2</v>
      </c>
      <c r="J372" s="15">
        <v>0.2</v>
      </c>
      <c r="K372" s="14">
        <v>0.21210000000000001</v>
      </c>
      <c r="L372" s="14">
        <v>0.49</v>
      </c>
      <c r="M372" s="14">
        <v>0.1343</v>
      </c>
      <c r="N372" s="14">
        <v>2</v>
      </c>
      <c r="O372" s="14">
        <v>19</v>
      </c>
      <c r="P372" s="14">
        <v>21</v>
      </c>
    </row>
    <row r="373" spans="1:16" x14ac:dyDescent="0.3">
      <c r="A373" s="15">
        <v>372</v>
      </c>
      <c r="B373" s="16">
        <v>40559</v>
      </c>
      <c r="C373" s="15">
        <v>1</v>
      </c>
      <c r="D373" s="15">
        <v>0</v>
      </c>
      <c r="E373" s="15">
        <v>1</v>
      </c>
      <c r="F373" s="15">
        <v>23</v>
      </c>
      <c r="G373" s="17" t="b">
        <v>0</v>
      </c>
      <c r="H373" s="15">
        <v>0</v>
      </c>
      <c r="I373" s="15">
        <v>2</v>
      </c>
      <c r="J373" s="15">
        <v>0.2</v>
      </c>
      <c r="K373" s="14">
        <v>0.2273</v>
      </c>
      <c r="L373" s="14">
        <v>0.4</v>
      </c>
      <c r="M373" s="14">
        <v>0.1045</v>
      </c>
      <c r="N373" s="14">
        <v>0</v>
      </c>
      <c r="O373" s="14">
        <v>18</v>
      </c>
      <c r="P373" s="14">
        <v>18</v>
      </c>
    </row>
    <row r="374" spans="1:16" x14ac:dyDescent="0.3">
      <c r="A374" s="15">
        <v>373</v>
      </c>
      <c r="B374" s="16">
        <v>40560</v>
      </c>
      <c r="C374" s="15">
        <v>1</v>
      </c>
      <c r="D374" s="15">
        <v>0</v>
      </c>
      <c r="E374" s="15">
        <v>1</v>
      </c>
      <c r="F374" s="15">
        <v>0</v>
      </c>
      <c r="G374" s="17" t="b">
        <v>1</v>
      </c>
      <c r="H374" s="15">
        <v>1</v>
      </c>
      <c r="I374" s="15">
        <v>2</v>
      </c>
      <c r="J374" s="15">
        <v>0.2</v>
      </c>
      <c r="K374" s="14">
        <v>0.19700000000000001</v>
      </c>
      <c r="L374" s="14">
        <v>0.47</v>
      </c>
      <c r="M374" s="14">
        <v>0.22389999999999999</v>
      </c>
      <c r="N374" s="14">
        <v>1</v>
      </c>
      <c r="O374" s="14">
        <v>16</v>
      </c>
      <c r="P374" s="14">
        <v>17</v>
      </c>
    </row>
    <row r="375" spans="1:16" x14ac:dyDescent="0.3">
      <c r="A375" s="15">
        <v>374</v>
      </c>
      <c r="B375" s="16">
        <v>40560</v>
      </c>
      <c r="C375" s="15">
        <v>1</v>
      </c>
      <c r="D375" s="15">
        <v>0</v>
      </c>
      <c r="E375" s="15">
        <v>1</v>
      </c>
      <c r="F375" s="15">
        <v>1</v>
      </c>
      <c r="G375" s="17" t="b">
        <v>1</v>
      </c>
      <c r="H375" s="15">
        <v>1</v>
      </c>
      <c r="I375" s="15">
        <v>2</v>
      </c>
      <c r="J375" s="15">
        <v>0.2</v>
      </c>
      <c r="K375" s="14">
        <v>0.19700000000000001</v>
      </c>
      <c r="L375" s="14">
        <v>0.44</v>
      </c>
      <c r="M375" s="14">
        <v>0.19400000000000001</v>
      </c>
      <c r="N375" s="14">
        <v>1</v>
      </c>
      <c r="O375" s="14">
        <v>15</v>
      </c>
      <c r="P375" s="14">
        <v>16</v>
      </c>
    </row>
    <row r="376" spans="1:16" x14ac:dyDescent="0.3">
      <c r="A376" s="15">
        <v>375</v>
      </c>
      <c r="B376" s="16">
        <v>40560</v>
      </c>
      <c r="C376" s="15">
        <v>1</v>
      </c>
      <c r="D376" s="15">
        <v>0</v>
      </c>
      <c r="E376" s="15">
        <v>1</v>
      </c>
      <c r="F376" s="15">
        <v>2</v>
      </c>
      <c r="G376" s="17" t="b">
        <v>1</v>
      </c>
      <c r="H376" s="15">
        <v>1</v>
      </c>
      <c r="I376" s="15">
        <v>2</v>
      </c>
      <c r="J376" s="15">
        <v>0.18</v>
      </c>
      <c r="K376" s="14">
        <v>0.16669999999999999</v>
      </c>
      <c r="L376" s="14">
        <v>0.43</v>
      </c>
      <c r="M376" s="14">
        <v>0.25369999999999998</v>
      </c>
      <c r="N376" s="14">
        <v>0</v>
      </c>
      <c r="O376" s="14">
        <v>8</v>
      </c>
      <c r="P376" s="14">
        <v>8</v>
      </c>
    </row>
    <row r="377" spans="1:16" x14ac:dyDescent="0.3">
      <c r="A377" s="15">
        <v>376</v>
      </c>
      <c r="B377" s="16">
        <v>40560</v>
      </c>
      <c r="C377" s="15">
        <v>1</v>
      </c>
      <c r="D377" s="15">
        <v>0</v>
      </c>
      <c r="E377" s="15">
        <v>1</v>
      </c>
      <c r="F377" s="15">
        <v>3</v>
      </c>
      <c r="G377" s="17" t="b">
        <v>1</v>
      </c>
      <c r="H377" s="15">
        <v>1</v>
      </c>
      <c r="I377" s="15">
        <v>2</v>
      </c>
      <c r="J377" s="15">
        <v>0.18</v>
      </c>
      <c r="K377" s="14">
        <v>0.18179999999999999</v>
      </c>
      <c r="L377" s="14">
        <v>0.43</v>
      </c>
      <c r="M377" s="14">
        <v>0.19400000000000001</v>
      </c>
      <c r="N377" s="14">
        <v>0</v>
      </c>
      <c r="O377" s="14">
        <v>2</v>
      </c>
      <c r="P377" s="14">
        <v>2</v>
      </c>
    </row>
    <row r="378" spans="1:16" x14ac:dyDescent="0.3">
      <c r="A378" s="15">
        <v>377</v>
      </c>
      <c r="B378" s="16">
        <v>40560</v>
      </c>
      <c r="C378" s="15">
        <v>1</v>
      </c>
      <c r="D378" s="15">
        <v>0</v>
      </c>
      <c r="E378" s="15">
        <v>1</v>
      </c>
      <c r="F378" s="15">
        <v>4</v>
      </c>
      <c r="G378" s="17" t="b">
        <v>1</v>
      </c>
      <c r="H378" s="15">
        <v>1</v>
      </c>
      <c r="I378" s="15">
        <v>2</v>
      </c>
      <c r="J378" s="15">
        <v>0.18</v>
      </c>
      <c r="K378" s="14">
        <v>0.19700000000000001</v>
      </c>
      <c r="L378" s="14">
        <v>0.43</v>
      </c>
      <c r="M378" s="14">
        <v>0.1343</v>
      </c>
      <c r="N378" s="14">
        <v>1</v>
      </c>
      <c r="O378" s="14">
        <v>2</v>
      </c>
      <c r="P378" s="14">
        <v>3</v>
      </c>
    </row>
    <row r="379" spans="1:16" x14ac:dyDescent="0.3">
      <c r="A379" s="15">
        <v>378</v>
      </c>
      <c r="B379" s="16">
        <v>40560</v>
      </c>
      <c r="C379" s="15">
        <v>1</v>
      </c>
      <c r="D379" s="15">
        <v>0</v>
      </c>
      <c r="E379" s="15">
        <v>1</v>
      </c>
      <c r="F379" s="15">
        <v>5</v>
      </c>
      <c r="G379" s="17" t="b">
        <v>1</v>
      </c>
      <c r="H379" s="15">
        <v>1</v>
      </c>
      <c r="I379" s="15">
        <v>2</v>
      </c>
      <c r="J379" s="15">
        <v>0.18</v>
      </c>
      <c r="K379" s="14">
        <v>0.19700000000000001</v>
      </c>
      <c r="L379" s="14">
        <v>0.43</v>
      </c>
      <c r="M379" s="14">
        <v>0.16420000000000001</v>
      </c>
      <c r="N379" s="14">
        <v>0</v>
      </c>
      <c r="O379" s="14">
        <v>1</v>
      </c>
      <c r="P379" s="14">
        <v>1</v>
      </c>
    </row>
    <row r="380" spans="1:16" x14ac:dyDescent="0.3">
      <c r="A380" s="15">
        <v>379</v>
      </c>
      <c r="B380" s="16">
        <v>40560</v>
      </c>
      <c r="C380" s="15">
        <v>1</v>
      </c>
      <c r="D380" s="15">
        <v>0</v>
      </c>
      <c r="E380" s="15">
        <v>1</v>
      </c>
      <c r="F380" s="15">
        <v>6</v>
      </c>
      <c r="G380" s="17" t="b">
        <v>1</v>
      </c>
      <c r="H380" s="15">
        <v>1</v>
      </c>
      <c r="I380" s="15">
        <v>2</v>
      </c>
      <c r="J380" s="15">
        <v>0.18</v>
      </c>
      <c r="K380" s="14">
        <v>0.18179999999999999</v>
      </c>
      <c r="L380" s="14">
        <v>0.43</v>
      </c>
      <c r="M380" s="14">
        <v>0.19400000000000001</v>
      </c>
      <c r="N380" s="14">
        <v>0</v>
      </c>
      <c r="O380" s="14">
        <v>5</v>
      </c>
      <c r="P380" s="14">
        <v>5</v>
      </c>
    </row>
    <row r="381" spans="1:16" x14ac:dyDescent="0.3">
      <c r="A381" s="15">
        <v>380</v>
      </c>
      <c r="B381" s="16">
        <v>40560</v>
      </c>
      <c r="C381" s="15">
        <v>1</v>
      </c>
      <c r="D381" s="15">
        <v>0</v>
      </c>
      <c r="E381" s="15">
        <v>1</v>
      </c>
      <c r="F381" s="15">
        <v>7</v>
      </c>
      <c r="G381" s="17" t="b">
        <v>1</v>
      </c>
      <c r="H381" s="15">
        <v>1</v>
      </c>
      <c r="I381" s="15">
        <v>2</v>
      </c>
      <c r="J381" s="15">
        <v>0.16</v>
      </c>
      <c r="K381" s="14">
        <v>0.18179999999999999</v>
      </c>
      <c r="L381" s="14">
        <v>0.5</v>
      </c>
      <c r="M381" s="14">
        <v>0.1343</v>
      </c>
      <c r="N381" s="14">
        <v>4</v>
      </c>
      <c r="O381" s="14">
        <v>9</v>
      </c>
      <c r="P381" s="14">
        <v>13</v>
      </c>
    </row>
    <row r="382" spans="1:16" x14ac:dyDescent="0.3">
      <c r="A382" s="15">
        <v>381</v>
      </c>
      <c r="B382" s="16">
        <v>40560</v>
      </c>
      <c r="C382" s="15">
        <v>1</v>
      </c>
      <c r="D382" s="15">
        <v>0</v>
      </c>
      <c r="E382" s="15">
        <v>1</v>
      </c>
      <c r="F382" s="15">
        <v>8</v>
      </c>
      <c r="G382" s="17" t="b">
        <v>1</v>
      </c>
      <c r="H382" s="15">
        <v>1</v>
      </c>
      <c r="I382" s="15">
        <v>2</v>
      </c>
      <c r="J382" s="15">
        <v>0.16</v>
      </c>
      <c r="K382" s="14">
        <v>0.1515</v>
      </c>
      <c r="L382" s="14">
        <v>0.47</v>
      </c>
      <c r="M382" s="14">
        <v>0.22389999999999999</v>
      </c>
      <c r="N382" s="14">
        <v>3</v>
      </c>
      <c r="O382" s="14">
        <v>30</v>
      </c>
      <c r="P382" s="14">
        <v>33</v>
      </c>
    </row>
    <row r="383" spans="1:16" x14ac:dyDescent="0.3">
      <c r="A383" s="15">
        <v>382</v>
      </c>
      <c r="B383" s="16">
        <v>40560</v>
      </c>
      <c r="C383" s="15">
        <v>1</v>
      </c>
      <c r="D383" s="15">
        <v>0</v>
      </c>
      <c r="E383" s="15">
        <v>1</v>
      </c>
      <c r="F383" s="15">
        <v>9</v>
      </c>
      <c r="G383" s="17" t="b">
        <v>1</v>
      </c>
      <c r="H383" s="15">
        <v>1</v>
      </c>
      <c r="I383" s="15">
        <v>2</v>
      </c>
      <c r="J383" s="15">
        <v>0.16</v>
      </c>
      <c r="K383" s="14">
        <v>0.1515</v>
      </c>
      <c r="L383" s="14">
        <v>0.47</v>
      </c>
      <c r="M383" s="14">
        <v>0.22389999999999999</v>
      </c>
      <c r="N383" s="14">
        <v>8</v>
      </c>
      <c r="O383" s="14">
        <v>39</v>
      </c>
      <c r="P383" s="14">
        <v>47</v>
      </c>
    </row>
    <row r="384" spans="1:16" x14ac:dyDescent="0.3">
      <c r="A384" s="15">
        <v>383</v>
      </c>
      <c r="B384" s="16">
        <v>40560</v>
      </c>
      <c r="C384" s="15">
        <v>1</v>
      </c>
      <c r="D384" s="15">
        <v>0</v>
      </c>
      <c r="E384" s="15">
        <v>1</v>
      </c>
      <c r="F384" s="15">
        <v>10</v>
      </c>
      <c r="G384" s="17" t="b">
        <v>1</v>
      </c>
      <c r="H384" s="15">
        <v>1</v>
      </c>
      <c r="I384" s="15">
        <v>2</v>
      </c>
      <c r="J384" s="15">
        <v>0.16</v>
      </c>
      <c r="K384" s="14">
        <v>0.1515</v>
      </c>
      <c r="L384" s="14">
        <v>0.5</v>
      </c>
      <c r="M384" s="14">
        <v>0.25369999999999998</v>
      </c>
      <c r="N384" s="14">
        <v>7</v>
      </c>
      <c r="O384" s="14">
        <v>50</v>
      </c>
      <c r="P384" s="14">
        <v>57</v>
      </c>
    </row>
    <row r="385" spans="1:16" x14ac:dyDescent="0.3">
      <c r="A385" s="15">
        <v>384</v>
      </c>
      <c r="B385" s="16">
        <v>40560</v>
      </c>
      <c r="C385" s="15">
        <v>1</v>
      </c>
      <c r="D385" s="15">
        <v>0</v>
      </c>
      <c r="E385" s="15">
        <v>1</v>
      </c>
      <c r="F385" s="15">
        <v>11</v>
      </c>
      <c r="G385" s="17" t="b">
        <v>1</v>
      </c>
      <c r="H385" s="15">
        <v>1</v>
      </c>
      <c r="I385" s="15">
        <v>2</v>
      </c>
      <c r="J385" s="15">
        <v>0.16</v>
      </c>
      <c r="K385" s="14">
        <v>0.1515</v>
      </c>
      <c r="L385" s="14">
        <v>0.55000000000000004</v>
      </c>
      <c r="M385" s="14">
        <v>0.19400000000000001</v>
      </c>
      <c r="N385" s="14">
        <v>9</v>
      </c>
      <c r="O385" s="14">
        <v>55</v>
      </c>
      <c r="P385" s="14">
        <v>64</v>
      </c>
    </row>
    <row r="386" spans="1:16" x14ac:dyDescent="0.3">
      <c r="A386" s="15">
        <v>385</v>
      </c>
      <c r="B386" s="16">
        <v>40560</v>
      </c>
      <c r="C386" s="15">
        <v>1</v>
      </c>
      <c r="D386" s="15">
        <v>0</v>
      </c>
      <c r="E386" s="15">
        <v>1</v>
      </c>
      <c r="F386" s="15">
        <v>12</v>
      </c>
      <c r="G386" s="17" t="b">
        <v>1</v>
      </c>
      <c r="H386" s="15">
        <v>1</v>
      </c>
      <c r="I386" s="15">
        <v>2</v>
      </c>
      <c r="J386" s="15">
        <v>0.18</v>
      </c>
      <c r="K386" s="14">
        <v>0.19700000000000001</v>
      </c>
      <c r="L386" s="14">
        <v>0.47</v>
      </c>
      <c r="M386" s="14">
        <v>0.1343</v>
      </c>
      <c r="N386" s="14">
        <v>10</v>
      </c>
      <c r="O386" s="14">
        <v>70</v>
      </c>
      <c r="P386" s="14">
        <v>80</v>
      </c>
    </row>
    <row r="387" spans="1:16" x14ac:dyDescent="0.3">
      <c r="A387" s="15">
        <v>386</v>
      </c>
      <c r="B387" s="16">
        <v>40560</v>
      </c>
      <c r="C387" s="15">
        <v>1</v>
      </c>
      <c r="D387" s="15">
        <v>0</v>
      </c>
      <c r="E387" s="15">
        <v>1</v>
      </c>
      <c r="F387" s="15">
        <v>13</v>
      </c>
      <c r="G387" s="17" t="b">
        <v>1</v>
      </c>
      <c r="H387" s="15">
        <v>1</v>
      </c>
      <c r="I387" s="15">
        <v>2</v>
      </c>
      <c r="J387" s="15">
        <v>0.18</v>
      </c>
      <c r="K387" s="14">
        <v>0.19700000000000001</v>
      </c>
      <c r="L387" s="14">
        <v>0.47</v>
      </c>
      <c r="M387" s="14">
        <v>0.1343</v>
      </c>
      <c r="N387" s="14">
        <v>13</v>
      </c>
      <c r="O387" s="14">
        <v>80</v>
      </c>
      <c r="P387" s="14">
        <v>93</v>
      </c>
    </row>
    <row r="388" spans="1:16" x14ac:dyDescent="0.3">
      <c r="A388" s="15">
        <v>387</v>
      </c>
      <c r="B388" s="16">
        <v>40560</v>
      </c>
      <c r="C388" s="15">
        <v>1</v>
      </c>
      <c r="D388" s="15">
        <v>0</v>
      </c>
      <c r="E388" s="15">
        <v>1</v>
      </c>
      <c r="F388" s="15">
        <v>14</v>
      </c>
      <c r="G388" s="17" t="b">
        <v>1</v>
      </c>
      <c r="H388" s="15">
        <v>1</v>
      </c>
      <c r="I388" s="15">
        <v>2</v>
      </c>
      <c r="J388" s="15">
        <v>0.18</v>
      </c>
      <c r="K388" s="14">
        <v>0.21210000000000001</v>
      </c>
      <c r="L388" s="14">
        <v>0.43</v>
      </c>
      <c r="M388" s="14">
        <v>0.1045</v>
      </c>
      <c r="N388" s="14">
        <v>12</v>
      </c>
      <c r="O388" s="14">
        <v>74</v>
      </c>
      <c r="P388" s="14">
        <v>86</v>
      </c>
    </row>
    <row r="389" spans="1:16" x14ac:dyDescent="0.3">
      <c r="A389" s="15">
        <v>388</v>
      </c>
      <c r="B389" s="16">
        <v>40560</v>
      </c>
      <c r="C389" s="15">
        <v>1</v>
      </c>
      <c r="D389" s="15">
        <v>0</v>
      </c>
      <c r="E389" s="15">
        <v>1</v>
      </c>
      <c r="F389" s="15">
        <v>15</v>
      </c>
      <c r="G389" s="17" t="b">
        <v>1</v>
      </c>
      <c r="H389" s="15">
        <v>1</v>
      </c>
      <c r="I389" s="15">
        <v>2</v>
      </c>
      <c r="J389" s="15">
        <v>0.2</v>
      </c>
      <c r="K389" s="14">
        <v>0.21210000000000001</v>
      </c>
      <c r="L389" s="14">
        <v>0.47</v>
      </c>
      <c r="M389" s="14">
        <v>0.16420000000000001</v>
      </c>
      <c r="N389" s="14">
        <v>21</v>
      </c>
      <c r="O389" s="14">
        <v>72</v>
      </c>
      <c r="P389" s="14">
        <v>93</v>
      </c>
    </row>
    <row r="390" spans="1:16" x14ac:dyDescent="0.3">
      <c r="A390" s="15">
        <v>389</v>
      </c>
      <c r="B390" s="16">
        <v>40560</v>
      </c>
      <c r="C390" s="15">
        <v>1</v>
      </c>
      <c r="D390" s="15">
        <v>0</v>
      </c>
      <c r="E390" s="15">
        <v>1</v>
      </c>
      <c r="F390" s="15">
        <v>16</v>
      </c>
      <c r="G390" s="17" t="b">
        <v>1</v>
      </c>
      <c r="H390" s="15">
        <v>1</v>
      </c>
      <c r="I390" s="15">
        <v>2</v>
      </c>
      <c r="J390" s="15">
        <v>0.2</v>
      </c>
      <c r="K390" s="14">
        <v>0.21210000000000001</v>
      </c>
      <c r="L390" s="14">
        <v>0.47</v>
      </c>
      <c r="M390" s="14">
        <v>0.16420000000000001</v>
      </c>
      <c r="N390" s="14">
        <v>6</v>
      </c>
      <c r="O390" s="14">
        <v>76</v>
      </c>
      <c r="P390" s="14">
        <v>82</v>
      </c>
    </row>
    <row r="391" spans="1:16" x14ac:dyDescent="0.3">
      <c r="A391" s="15">
        <v>390</v>
      </c>
      <c r="B391" s="16">
        <v>40560</v>
      </c>
      <c r="C391" s="15">
        <v>1</v>
      </c>
      <c r="D391" s="15">
        <v>0</v>
      </c>
      <c r="E391" s="15">
        <v>1</v>
      </c>
      <c r="F391" s="15">
        <v>17</v>
      </c>
      <c r="G391" s="17" t="b">
        <v>1</v>
      </c>
      <c r="H391" s="15">
        <v>1</v>
      </c>
      <c r="I391" s="15">
        <v>1</v>
      </c>
      <c r="J391" s="15">
        <v>0.2</v>
      </c>
      <c r="K391" s="14">
        <v>0.19700000000000001</v>
      </c>
      <c r="L391" s="14">
        <v>0.51</v>
      </c>
      <c r="M391" s="14">
        <v>0.19400000000000001</v>
      </c>
      <c r="N391" s="14">
        <v>4</v>
      </c>
      <c r="O391" s="14">
        <v>67</v>
      </c>
      <c r="P391" s="14">
        <v>71</v>
      </c>
    </row>
    <row r="392" spans="1:16" x14ac:dyDescent="0.3">
      <c r="A392" s="15">
        <v>391</v>
      </c>
      <c r="B392" s="16">
        <v>40560</v>
      </c>
      <c r="C392" s="15">
        <v>1</v>
      </c>
      <c r="D392" s="15">
        <v>0</v>
      </c>
      <c r="E392" s="15">
        <v>1</v>
      </c>
      <c r="F392" s="15">
        <v>18</v>
      </c>
      <c r="G392" s="17" t="b">
        <v>1</v>
      </c>
      <c r="H392" s="15">
        <v>1</v>
      </c>
      <c r="I392" s="15">
        <v>2</v>
      </c>
      <c r="J392" s="15">
        <v>0.18</v>
      </c>
      <c r="K392" s="14">
        <v>0.16669999999999999</v>
      </c>
      <c r="L392" s="14">
        <v>0.55000000000000004</v>
      </c>
      <c r="M392" s="14">
        <v>0.25369999999999998</v>
      </c>
      <c r="N392" s="14">
        <v>7</v>
      </c>
      <c r="O392" s="14">
        <v>85</v>
      </c>
      <c r="P392" s="14">
        <v>92</v>
      </c>
    </row>
    <row r="393" spans="1:16" x14ac:dyDescent="0.3">
      <c r="A393" s="15">
        <v>392</v>
      </c>
      <c r="B393" s="16">
        <v>40560</v>
      </c>
      <c r="C393" s="15">
        <v>1</v>
      </c>
      <c r="D393" s="15">
        <v>0</v>
      </c>
      <c r="E393" s="15">
        <v>1</v>
      </c>
      <c r="F393" s="15">
        <v>19</v>
      </c>
      <c r="G393" s="17" t="b">
        <v>1</v>
      </c>
      <c r="H393" s="15">
        <v>1</v>
      </c>
      <c r="I393" s="15">
        <v>3</v>
      </c>
      <c r="J393" s="15">
        <v>0.18</v>
      </c>
      <c r="K393" s="14">
        <v>0.18179999999999999</v>
      </c>
      <c r="L393" s="14">
        <v>0.59</v>
      </c>
      <c r="M393" s="14">
        <v>0.19400000000000001</v>
      </c>
      <c r="N393" s="14">
        <v>2</v>
      </c>
      <c r="O393" s="14">
        <v>58</v>
      </c>
      <c r="P393" s="14">
        <v>60</v>
      </c>
    </row>
    <row r="394" spans="1:16" x14ac:dyDescent="0.3">
      <c r="A394" s="15">
        <v>393</v>
      </c>
      <c r="B394" s="16">
        <v>40560</v>
      </c>
      <c r="C394" s="15">
        <v>1</v>
      </c>
      <c r="D394" s="15">
        <v>0</v>
      </c>
      <c r="E394" s="15">
        <v>1</v>
      </c>
      <c r="F394" s="15">
        <v>20</v>
      </c>
      <c r="G394" s="17" t="b">
        <v>1</v>
      </c>
      <c r="H394" s="15">
        <v>1</v>
      </c>
      <c r="I394" s="15">
        <v>3</v>
      </c>
      <c r="J394" s="15">
        <v>0.16</v>
      </c>
      <c r="K394" s="14">
        <v>0.1515</v>
      </c>
      <c r="L394" s="14">
        <v>0.8</v>
      </c>
      <c r="M394" s="14">
        <v>0.19400000000000001</v>
      </c>
      <c r="N394" s="14">
        <v>4</v>
      </c>
      <c r="O394" s="14">
        <v>29</v>
      </c>
      <c r="P394" s="14">
        <v>33</v>
      </c>
    </row>
    <row r="395" spans="1:16" x14ac:dyDescent="0.3">
      <c r="A395" s="15">
        <v>394</v>
      </c>
      <c r="B395" s="16">
        <v>40560</v>
      </c>
      <c r="C395" s="15">
        <v>1</v>
      </c>
      <c r="D395" s="15">
        <v>0</v>
      </c>
      <c r="E395" s="15">
        <v>1</v>
      </c>
      <c r="F395" s="15">
        <v>21</v>
      </c>
      <c r="G395" s="17" t="b">
        <v>1</v>
      </c>
      <c r="H395" s="15">
        <v>1</v>
      </c>
      <c r="I395" s="15">
        <v>3</v>
      </c>
      <c r="J395" s="15">
        <v>0.16</v>
      </c>
      <c r="K395" s="14">
        <v>0.1515</v>
      </c>
      <c r="L395" s="14">
        <v>0.8</v>
      </c>
      <c r="M395" s="14">
        <v>0.19400000000000001</v>
      </c>
      <c r="N395" s="14">
        <v>3</v>
      </c>
      <c r="O395" s="14">
        <v>24</v>
      </c>
      <c r="P395" s="14">
        <v>27</v>
      </c>
    </row>
    <row r="396" spans="1:16" x14ac:dyDescent="0.3">
      <c r="A396" s="15">
        <v>395</v>
      </c>
      <c r="B396" s="16">
        <v>40560</v>
      </c>
      <c r="C396" s="15">
        <v>1</v>
      </c>
      <c r="D396" s="15">
        <v>0</v>
      </c>
      <c r="E396" s="15">
        <v>1</v>
      </c>
      <c r="F396" s="15">
        <v>22</v>
      </c>
      <c r="G396" s="17" t="b">
        <v>1</v>
      </c>
      <c r="H396" s="15">
        <v>1</v>
      </c>
      <c r="I396" s="15">
        <v>3</v>
      </c>
      <c r="J396" s="15">
        <v>0.14000000000000001</v>
      </c>
      <c r="K396" s="14">
        <v>0.1212</v>
      </c>
      <c r="L396" s="14">
        <v>0.93</v>
      </c>
      <c r="M396" s="14">
        <v>0.25369999999999998</v>
      </c>
      <c r="N396" s="14">
        <v>0</v>
      </c>
      <c r="O396" s="14">
        <v>13</v>
      </c>
      <c r="P396" s="14">
        <v>13</v>
      </c>
    </row>
    <row r="397" spans="1:16" x14ac:dyDescent="0.3">
      <c r="A397" s="15">
        <v>396</v>
      </c>
      <c r="B397" s="16">
        <v>40560</v>
      </c>
      <c r="C397" s="15">
        <v>1</v>
      </c>
      <c r="D397" s="15">
        <v>0</v>
      </c>
      <c r="E397" s="15">
        <v>1</v>
      </c>
      <c r="F397" s="15">
        <v>23</v>
      </c>
      <c r="G397" s="17" t="b">
        <v>1</v>
      </c>
      <c r="H397" s="15">
        <v>1</v>
      </c>
      <c r="I397" s="15">
        <v>3</v>
      </c>
      <c r="J397" s="15">
        <v>0.16</v>
      </c>
      <c r="K397" s="14">
        <v>0.13639999999999999</v>
      </c>
      <c r="L397" s="14">
        <v>0.86</v>
      </c>
      <c r="M397" s="14">
        <v>0.28360000000000002</v>
      </c>
      <c r="N397" s="14">
        <v>1</v>
      </c>
      <c r="O397" s="14">
        <v>3</v>
      </c>
      <c r="P397" s="14">
        <v>4</v>
      </c>
    </row>
    <row r="398" spans="1:16" x14ac:dyDescent="0.3">
      <c r="A398" s="15">
        <v>397</v>
      </c>
      <c r="B398" s="16">
        <v>40561</v>
      </c>
      <c r="C398" s="15">
        <v>1</v>
      </c>
      <c r="D398" s="15">
        <v>0</v>
      </c>
      <c r="E398" s="15">
        <v>1</v>
      </c>
      <c r="F398" s="15">
        <v>12</v>
      </c>
      <c r="G398" s="17" t="b">
        <v>0</v>
      </c>
      <c r="H398" s="15">
        <v>2</v>
      </c>
      <c r="I398" s="15">
        <v>2</v>
      </c>
      <c r="J398" s="15">
        <v>0.2</v>
      </c>
      <c r="K398" s="14">
        <v>0.18179999999999999</v>
      </c>
      <c r="L398" s="14">
        <v>0.86</v>
      </c>
      <c r="M398" s="14">
        <v>0.32840000000000003</v>
      </c>
      <c r="N398" s="14">
        <v>0</v>
      </c>
      <c r="O398" s="14">
        <v>3</v>
      </c>
      <c r="P398" s="14">
        <v>3</v>
      </c>
    </row>
    <row r="399" spans="1:16" x14ac:dyDescent="0.3">
      <c r="A399" s="15">
        <v>398</v>
      </c>
      <c r="B399" s="16">
        <v>40561</v>
      </c>
      <c r="C399" s="15">
        <v>1</v>
      </c>
      <c r="D399" s="15">
        <v>0</v>
      </c>
      <c r="E399" s="15">
        <v>1</v>
      </c>
      <c r="F399" s="15">
        <v>13</v>
      </c>
      <c r="G399" s="17" t="b">
        <v>0</v>
      </c>
      <c r="H399" s="15">
        <v>2</v>
      </c>
      <c r="I399" s="15">
        <v>2</v>
      </c>
      <c r="J399" s="15">
        <v>0.2</v>
      </c>
      <c r="K399" s="14">
        <v>0.19700000000000001</v>
      </c>
      <c r="L399" s="14">
        <v>0.86</v>
      </c>
      <c r="M399" s="14">
        <v>0.22389999999999999</v>
      </c>
      <c r="N399" s="14">
        <v>0</v>
      </c>
      <c r="O399" s="14">
        <v>22</v>
      </c>
      <c r="P399" s="14">
        <v>22</v>
      </c>
    </row>
    <row r="400" spans="1:16" x14ac:dyDescent="0.3">
      <c r="A400" s="15">
        <v>399</v>
      </c>
      <c r="B400" s="16">
        <v>40561</v>
      </c>
      <c r="C400" s="15">
        <v>1</v>
      </c>
      <c r="D400" s="15">
        <v>0</v>
      </c>
      <c r="E400" s="15">
        <v>1</v>
      </c>
      <c r="F400" s="15">
        <v>14</v>
      </c>
      <c r="G400" s="17" t="b">
        <v>0</v>
      </c>
      <c r="H400" s="15">
        <v>2</v>
      </c>
      <c r="I400" s="15">
        <v>2</v>
      </c>
      <c r="J400" s="15">
        <v>0.22</v>
      </c>
      <c r="K400" s="14">
        <v>0.2273</v>
      </c>
      <c r="L400" s="14">
        <v>0.8</v>
      </c>
      <c r="M400" s="14">
        <v>0.16420000000000001</v>
      </c>
      <c r="N400" s="14">
        <v>2</v>
      </c>
      <c r="O400" s="14">
        <v>26</v>
      </c>
      <c r="P400" s="14">
        <v>28</v>
      </c>
    </row>
    <row r="401" spans="1:16" x14ac:dyDescent="0.3">
      <c r="A401" s="15">
        <v>400</v>
      </c>
      <c r="B401" s="16">
        <v>40561</v>
      </c>
      <c r="C401" s="15">
        <v>1</v>
      </c>
      <c r="D401" s="15">
        <v>0</v>
      </c>
      <c r="E401" s="15">
        <v>1</v>
      </c>
      <c r="F401" s="15">
        <v>15</v>
      </c>
      <c r="G401" s="17" t="b">
        <v>0</v>
      </c>
      <c r="H401" s="15">
        <v>2</v>
      </c>
      <c r="I401" s="15">
        <v>2</v>
      </c>
      <c r="J401" s="15">
        <v>0.22</v>
      </c>
      <c r="K401" s="14">
        <v>0.2273</v>
      </c>
      <c r="L401" s="14">
        <v>0.87</v>
      </c>
      <c r="M401" s="14">
        <v>0.16420000000000001</v>
      </c>
      <c r="N401" s="14">
        <v>3</v>
      </c>
      <c r="O401" s="14">
        <v>32</v>
      </c>
      <c r="P401" s="14">
        <v>35</v>
      </c>
    </row>
    <row r="402" spans="1:16" x14ac:dyDescent="0.3">
      <c r="A402" s="15">
        <v>401</v>
      </c>
      <c r="B402" s="16">
        <v>40561</v>
      </c>
      <c r="C402" s="15">
        <v>1</v>
      </c>
      <c r="D402" s="15">
        <v>0</v>
      </c>
      <c r="E402" s="15">
        <v>1</v>
      </c>
      <c r="F402" s="15">
        <v>16</v>
      </c>
      <c r="G402" s="17" t="b">
        <v>0</v>
      </c>
      <c r="H402" s="15">
        <v>2</v>
      </c>
      <c r="I402" s="15">
        <v>2</v>
      </c>
      <c r="J402" s="15">
        <v>0.22</v>
      </c>
      <c r="K402" s="14">
        <v>0.2273</v>
      </c>
      <c r="L402" s="14">
        <v>0.87</v>
      </c>
      <c r="M402" s="14">
        <v>0.19400000000000001</v>
      </c>
      <c r="N402" s="14">
        <v>0</v>
      </c>
      <c r="O402" s="14">
        <v>61</v>
      </c>
      <c r="P402" s="14">
        <v>61</v>
      </c>
    </row>
    <row r="403" spans="1:16" x14ac:dyDescent="0.3">
      <c r="A403" s="15">
        <v>402</v>
      </c>
      <c r="B403" s="16">
        <v>40561</v>
      </c>
      <c r="C403" s="15">
        <v>1</v>
      </c>
      <c r="D403" s="15">
        <v>0</v>
      </c>
      <c r="E403" s="15">
        <v>1</v>
      </c>
      <c r="F403" s="15">
        <v>17</v>
      </c>
      <c r="G403" s="17" t="b">
        <v>0</v>
      </c>
      <c r="H403" s="15">
        <v>2</v>
      </c>
      <c r="I403" s="15">
        <v>2</v>
      </c>
      <c r="J403" s="15">
        <v>0.22</v>
      </c>
      <c r="K403" s="14">
        <v>0.2273</v>
      </c>
      <c r="L403" s="14">
        <v>0.82</v>
      </c>
      <c r="M403" s="14">
        <v>0.19400000000000001</v>
      </c>
      <c r="N403" s="14">
        <v>1</v>
      </c>
      <c r="O403" s="14">
        <v>124</v>
      </c>
      <c r="P403" s="14">
        <v>125</v>
      </c>
    </row>
    <row r="404" spans="1:16" x14ac:dyDescent="0.3">
      <c r="A404" s="15">
        <v>403</v>
      </c>
      <c r="B404" s="16">
        <v>40561</v>
      </c>
      <c r="C404" s="15">
        <v>1</v>
      </c>
      <c r="D404" s="15">
        <v>0</v>
      </c>
      <c r="E404" s="15">
        <v>1</v>
      </c>
      <c r="F404" s="15">
        <v>18</v>
      </c>
      <c r="G404" s="17" t="b">
        <v>0</v>
      </c>
      <c r="H404" s="15">
        <v>2</v>
      </c>
      <c r="I404" s="15">
        <v>2</v>
      </c>
      <c r="J404" s="15">
        <v>0.22</v>
      </c>
      <c r="K404" s="14">
        <v>0.2273</v>
      </c>
      <c r="L404" s="14">
        <v>0.8</v>
      </c>
      <c r="M404" s="14">
        <v>0.16420000000000001</v>
      </c>
      <c r="N404" s="14">
        <v>1</v>
      </c>
      <c r="O404" s="14">
        <v>132</v>
      </c>
      <c r="P404" s="14">
        <v>133</v>
      </c>
    </row>
    <row r="405" spans="1:16" x14ac:dyDescent="0.3">
      <c r="A405" s="15">
        <v>404</v>
      </c>
      <c r="B405" s="16">
        <v>40561</v>
      </c>
      <c r="C405" s="15">
        <v>1</v>
      </c>
      <c r="D405" s="15">
        <v>0</v>
      </c>
      <c r="E405" s="15">
        <v>1</v>
      </c>
      <c r="F405" s="15">
        <v>19</v>
      </c>
      <c r="G405" s="17" t="b">
        <v>0</v>
      </c>
      <c r="H405" s="15">
        <v>2</v>
      </c>
      <c r="I405" s="15">
        <v>2</v>
      </c>
      <c r="J405" s="15">
        <v>0.22</v>
      </c>
      <c r="K405" s="14">
        <v>0.2273</v>
      </c>
      <c r="L405" s="14">
        <v>0.8</v>
      </c>
      <c r="M405" s="14">
        <v>0.1343</v>
      </c>
      <c r="N405" s="14">
        <v>1</v>
      </c>
      <c r="O405" s="14">
        <v>98</v>
      </c>
      <c r="P405" s="14">
        <v>99</v>
      </c>
    </row>
    <row r="406" spans="1:16" x14ac:dyDescent="0.3">
      <c r="A406" s="15">
        <v>405</v>
      </c>
      <c r="B406" s="16">
        <v>40561</v>
      </c>
      <c r="C406" s="15">
        <v>1</v>
      </c>
      <c r="D406" s="15">
        <v>0</v>
      </c>
      <c r="E406" s="15">
        <v>1</v>
      </c>
      <c r="F406" s="15">
        <v>20</v>
      </c>
      <c r="G406" s="17" t="b">
        <v>0</v>
      </c>
      <c r="H406" s="15">
        <v>2</v>
      </c>
      <c r="I406" s="15">
        <v>2</v>
      </c>
      <c r="J406" s="15">
        <v>0.22</v>
      </c>
      <c r="K406" s="14">
        <v>0.2727</v>
      </c>
      <c r="L406" s="14">
        <v>0.87</v>
      </c>
      <c r="M406" s="14">
        <v>0</v>
      </c>
      <c r="N406" s="14">
        <v>0</v>
      </c>
      <c r="O406" s="14">
        <v>83</v>
      </c>
      <c r="P406" s="14">
        <v>83</v>
      </c>
    </row>
    <row r="407" spans="1:16" x14ac:dyDescent="0.3">
      <c r="A407" s="15">
        <v>406</v>
      </c>
      <c r="B407" s="16">
        <v>40561</v>
      </c>
      <c r="C407" s="15">
        <v>1</v>
      </c>
      <c r="D407" s="15">
        <v>0</v>
      </c>
      <c r="E407" s="15">
        <v>1</v>
      </c>
      <c r="F407" s="15">
        <v>21</v>
      </c>
      <c r="G407" s="17" t="b">
        <v>0</v>
      </c>
      <c r="H407" s="15">
        <v>2</v>
      </c>
      <c r="I407" s="15">
        <v>2</v>
      </c>
      <c r="J407" s="15">
        <v>0.22</v>
      </c>
      <c r="K407" s="14">
        <v>0.2424</v>
      </c>
      <c r="L407" s="14">
        <v>0.93</v>
      </c>
      <c r="M407" s="14">
        <v>0.1045</v>
      </c>
      <c r="N407" s="14">
        <v>0</v>
      </c>
      <c r="O407" s="14">
        <v>41</v>
      </c>
      <c r="P407" s="14">
        <v>41</v>
      </c>
    </row>
    <row r="408" spans="1:16" x14ac:dyDescent="0.3">
      <c r="A408" s="15">
        <v>407</v>
      </c>
      <c r="B408" s="16">
        <v>40561</v>
      </c>
      <c r="C408" s="15">
        <v>1</v>
      </c>
      <c r="D408" s="15">
        <v>0</v>
      </c>
      <c r="E408" s="15">
        <v>1</v>
      </c>
      <c r="F408" s="15">
        <v>22</v>
      </c>
      <c r="G408" s="17" t="b">
        <v>0</v>
      </c>
      <c r="H408" s="15">
        <v>2</v>
      </c>
      <c r="I408" s="15">
        <v>2</v>
      </c>
      <c r="J408" s="15">
        <v>0.22</v>
      </c>
      <c r="K408" s="14">
        <v>0.2576</v>
      </c>
      <c r="L408" s="14">
        <v>0.93</v>
      </c>
      <c r="M408" s="14">
        <v>8.9599999999999999E-2</v>
      </c>
      <c r="N408" s="14">
        <v>0</v>
      </c>
      <c r="O408" s="14">
        <v>33</v>
      </c>
      <c r="P408" s="14">
        <v>33</v>
      </c>
    </row>
    <row r="409" spans="1:16" x14ac:dyDescent="0.3">
      <c r="A409" s="15">
        <v>408</v>
      </c>
      <c r="B409" s="16">
        <v>40561</v>
      </c>
      <c r="C409" s="15">
        <v>1</v>
      </c>
      <c r="D409" s="15">
        <v>0</v>
      </c>
      <c r="E409" s="15">
        <v>1</v>
      </c>
      <c r="F409" s="15">
        <v>23</v>
      </c>
      <c r="G409" s="17" t="b">
        <v>0</v>
      </c>
      <c r="H409" s="15">
        <v>2</v>
      </c>
      <c r="I409" s="15">
        <v>2</v>
      </c>
      <c r="J409" s="15">
        <v>0.22</v>
      </c>
      <c r="K409" s="14">
        <v>0.2727</v>
      </c>
      <c r="L409" s="14">
        <v>0.93</v>
      </c>
      <c r="M409" s="14">
        <v>0</v>
      </c>
      <c r="N409" s="14">
        <v>1</v>
      </c>
      <c r="O409" s="14">
        <v>19</v>
      </c>
      <c r="P409" s="14">
        <v>20</v>
      </c>
    </row>
    <row r="410" spans="1:16" x14ac:dyDescent="0.3">
      <c r="A410" s="15">
        <v>409</v>
      </c>
      <c r="B410" s="16">
        <v>40562</v>
      </c>
      <c r="C410" s="15">
        <v>1</v>
      </c>
      <c r="D410" s="15">
        <v>0</v>
      </c>
      <c r="E410" s="15">
        <v>1</v>
      </c>
      <c r="F410" s="15">
        <v>0</v>
      </c>
      <c r="G410" s="17" t="b">
        <v>0</v>
      </c>
      <c r="H410" s="15">
        <v>3</v>
      </c>
      <c r="I410" s="15">
        <v>2</v>
      </c>
      <c r="J410" s="15">
        <v>0.22</v>
      </c>
      <c r="K410" s="14">
        <v>0.2727</v>
      </c>
      <c r="L410" s="14">
        <v>0.93</v>
      </c>
      <c r="M410" s="14">
        <v>0</v>
      </c>
      <c r="N410" s="14">
        <v>0</v>
      </c>
      <c r="O410" s="14">
        <v>3</v>
      </c>
      <c r="P410" s="14">
        <v>3</v>
      </c>
    </row>
    <row r="411" spans="1:16" x14ac:dyDescent="0.3">
      <c r="A411" s="15">
        <v>410</v>
      </c>
      <c r="B411" s="16">
        <v>40562</v>
      </c>
      <c r="C411" s="15">
        <v>1</v>
      </c>
      <c r="D411" s="15">
        <v>0</v>
      </c>
      <c r="E411" s="15">
        <v>1</v>
      </c>
      <c r="F411" s="15">
        <v>1</v>
      </c>
      <c r="G411" s="17" t="b">
        <v>0</v>
      </c>
      <c r="H411" s="15">
        <v>3</v>
      </c>
      <c r="I411" s="15">
        <v>3</v>
      </c>
      <c r="J411" s="15">
        <v>0.22</v>
      </c>
      <c r="K411" s="14">
        <v>0.2273</v>
      </c>
      <c r="L411" s="14">
        <v>0.93</v>
      </c>
      <c r="M411" s="14">
        <v>0.1343</v>
      </c>
      <c r="N411" s="14">
        <v>1</v>
      </c>
      <c r="O411" s="14">
        <v>6</v>
      </c>
      <c r="P411" s="14">
        <v>7</v>
      </c>
    </row>
    <row r="412" spans="1:16" x14ac:dyDescent="0.3">
      <c r="A412" s="15">
        <v>411</v>
      </c>
      <c r="B412" s="16">
        <v>40562</v>
      </c>
      <c r="C412" s="15">
        <v>1</v>
      </c>
      <c r="D412" s="15">
        <v>0</v>
      </c>
      <c r="E412" s="15">
        <v>1</v>
      </c>
      <c r="F412" s="15">
        <v>2</v>
      </c>
      <c r="G412" s="17" t="b">
        <v>0</v>
      </c>
      <c r="H412" s="15">
        <v>3</v>
      </c>
      <c r="I412" s="15">
        <v>3</v>
      </c>
      <c r="J412" s="15">
        <v>0.22</v>
      </c>
      <c r="K412" s="14">
        <v>0.2273</v>
      </c>
      <c r="L412" s="14">
        <v>0.93</v>
      </c>
      <c r="M412" s="14">
        <v>0.1343</v>
      </c>
      <c r="N412" s="14">
        <v>0</v>
      </c>
      <c r="O412" s="14">
        <v>3</v>
      </c>
      <c r="P412" s="14">
        <v>3</v>
      </c>
    </row>
    <row r="413" spans="1:16" x14ac:dyDescent="0.3">
      <c r="A413" s="15">
        <v>412</v>
      </c>
      <c r="B413" s="16">
        <v>40562</v>
      </c>
      <c r="C413" s="15">
        <v>1</v>
      </c>
      <c r="D413" s="15">
        <v>0</v>
      </c>
      <c r="E413" s="15">
        <v>1</v>
      </c>
      <c r="F413" s="15">
        <v>4</v>
      </c>
      <c r="G413" s="17" t="b">
        <v>0</v>
      </c>
      <c r="H413" s="15">
        <v>3</v>
      </c>
      <c r="I413" s="15">
        <v>3</v>
      </c>
      <c r="J413" s="15">
        <v>0.22</v>
      </c>
      <c r="K413" s="14">
        <v>0.2273</v>
      </c>
      <c r="L413" s="14">
        <v>0.93</v>
      </c>
      <c r="M413" s="14">
        <v>0.1343</v>
      </c>
      <c r="N413" s="14">
        <v>1</v>
      </c>
      <c r="O413" s="14">
        <v>1</v>
      </c>
      <c r="P413" s="14">
        <v>2</v>
      </c>
    </row>
    <row r="414" spans="1:16" x14ac:dyDescent="0.3">
      <c r="A414" s="15">
        <v>413</v>
      </c>
      <c r="B414" s="16">
        <v>40562</v>
      </c>
      <c r="C414" s="15">
        <v>1</v>
      </c>
      <c r="D414" s="15">
        <v>0</v>
      </c>
      <c r="E414" s="15">
        <v>1</v>
      </c>
      <c r="F414" s="15">
        <v>5</v>
      </c>
      <c r="G414" s="17" t="b">
        <v>0</v>
      </c>
      <c r="H414" s="15">
        <v>3</v>
      </c>
      <c r="I414" s="15">
        <v>2</v>
      </c>
      <c r="J414" s="15">
        <v>0.22</v>
      </c>
      <c r="K414" s="14">
        <v>0.2576</v>
      </c>
      <c r="L414" s="14">
        <v>0.93</v>
      </c>
      <c r="M414" s="14">
        <v>8.9599999999999999E-2</v>
      </c>
      <c r="N414" s="14">
        <v>0</v>
      </c>
      <c r="O414" s="14">
        <v>7</v>
      </c>
      <c r="P414" s="14">
        <v>7</v>
      </c>
    </row>
    <row r="415" spans="1:16" x14ac:dyDescent="0.3">
      <c r="A415" s="15">
        <v>414</v>
      </c>
      <c r="B415" s="16">
        <v>40562</v>
      </c>
      <c r="C415" s="15">
        <v>1</v>
      </c>
      <c r="D415" s="15">
        <v>0</v>
      </c>
      <c r="E415" s="15">
        <v>1</v>
      </c>
      <c r="F415" s="15">
        <v>6</v>
      </c>
      <c r="G415" s="17" t="b">
        <v>0</v>
      </c>
      <c r="H415" s="15">
        <v>3</v>
      </c>
      <c r="I415" s="15">
        <v>2</v>
      </c>
      <c r="J415" s="15">
        <v>0.22</v>
      </c>
      <c r="K415" s="14">
        <v>0.2576</v>
      </c>
      <c r="L415" s="14">
        <v>0.93</v>
      </c>
      <c r="M415" s="14">
        <v>8.9599999999999999E-2</v>
      </c>
      <c r="N415" s="14">
        <v>0</v>
      </c>
      <c r="O415" s="14">
        <v>32</v>
      </c>
      <c r="P415" s="14">
        <v>32</v>
      </c>
    </row>
    <row r="416" spans="1:16" x14ac:dyDescent="0.3">
      <c r="A416" s="15">
        <v>415</v>
      </c>
      <c r="B416" s="16">
        <v>40562</v>
      </c>
      <c r="C416" s="15">
        <v>1</v>
      </c>
      <c r="D416" s="15">
        <v>0</v>
      </c>
      <c r="E416" s="15">
        <v>1</v>
      </c>
      <c r="F416" s="15">
        <v>7</v>
      </c>
      <c r="G416" s="17" t="b">
        <v>0</v>
      </c>
      <c r="H416" s="15">
        <v>3</v>
      </c>
      <c r="I416" s="15">
        <v>2</v>
      </c>
      <c r="J416" s="15">
        <v>0.24</v>
      </c>
      <c r="K416" s="14">
        <v>0.2576</v>
      </c>
      <c r="L416" s="14">
        <v>0.92</v>
      </c>
      <c r="M416" s="14">
        <v>0.1045</v>
      </c>
      <c r="N416" s="14">
        <v>1</v>
      </c>
      <c r="O416" s="14">
        <v>89</v>
      </c>
      <c r="P416" s="14">
        <v>90</v>
      </c>
    </row>
    <row r="417" spans="1:16" x14ac:dyDescent="0.3">
      <c r="A417" s="15">
        <v>416</v>
      </c>
      <c r="B417" s="16">
        <v>40562</v>
      </c>
      <c r="C417" s="15">
        <v>1</v>
      </c>
      <c r="D417" s="15">
        <v>0</v>
      </c>
      <c r="E417" s="15">
        <v>1</v>
      </c>
      <c r="F417" s="15">
        <v>8</v>
      </c>
      <c r="G417" s="17" t="b">
        <v>0</v>
      </c>
      <c r="H417" s="15">
        <v>3</v>
      </c>
      <c r="I417" s="15">
        <v>2</v>
      </c>
      <c r="J417" s="15">
        <v>0.24</v>
      </c>
      <c r="K417" s="14">
        <v>0.2576</v>
      </c>
      <c r="L417" s="14">
        <v>0.93</v>
      </c>
      <c r="M417" s="14">
        <v>0.1045</v>
      </c>
      <c r="N417" s="14">
        <v>1</v>
      </c>
      <c r="O417" s="14">
        <v>196</v>
      </c>
      <c r="P417" s="14">
        <v>197</v>
      </c>
    </row>
    <row r="418" spans="1:16" x14ac:dyDescent="0.3">
      <c r="A418" s="15">
        <v>417</v>
      </c>
      <c r="B418" s="16">
        <v>40562</v>
      </c>
      <c r="C418" s="15">
        <v>1</v>
      </c>
      <c r="D418" s="15">
        <v>0</v>
      </c>
      <c r="E418" s="15">
        <v>1</v>
      </c>
      <c r="F418" s="15">
        <v>9</v>
      </c>
      <c r="G418" s="17" t="b">
        <v>0</v>
      </c>
      <c r="H418" s="15">
        <v>3</v>
      </c>
      <c r="I418" s="15">
        <v>2</v>
      </c>
      <c r="J418" s="15">
        <v>0.24</v>
      </c>
      <c r="K418" s="14">
        <v>0.2576</v>
      </c>
      <c r="L418" s="14">
        <v>0.93</v>
      </c>
      <c r="M418" s="14">
        <v>0.1045</v>
      </c>
      <c r="N418" s="14">
        <v>2</v>
      </c>
      <c r="O418" s="14">
        <v>107</v>
      </c>
      <c r="P418" s="14">
        <v>109</v>
      </c>
    </row>
    <row r="419" spans="1:16" x14ac:dyDescent="0.3">
      <c r="A419" s="15">
        <v>418</v>
      </c>
      <c r="B419" s="16">
        <v>40562</v>
      </c>
      <c r="C419" s="15">
        <v>1</v>
      </c>
      <c r="D419" s="15">
        <v>0</v>
      </c>
      <c r="E419" s="15">
        <v>1</v>
      </c>
      <c r="F419" s="15">
        <v>10</v>
      </c>
      <c r="G419" s="17" t="b">
        <v>0</v>
      </c>
      <c r="H419" s="15">
        <v>3</v>
      </c>
      <c r="I419" s="15">
        <v>2</v>
      </c>
      <c r="J419" s="15">
        <v>0.26</v>
      </c>
      <c r="K419" s="14">
        <v>0.2727</v>
      </c>
      <c r="L419" s="14">
        <v>0.93</v>
      </c>
      <c r="M419" s="14">
        <v>0.1343</v>
      </c>
      <c r="N419" s="14">
        <v>1</v>
      </c>
      <c r="O419" s="14">
        <v>46</v>
      </c>
      <c r="P419" s="14">
        <v>47</v>
      </c>
    </row>
    <row r="420" spans="1:16" x14ac:dyDescent="0.3">
      <c r="A420" s="15">
        <v>419</v>
      </c>
      <c r="B420" s="16">
        <v>40562</v>
      </c>
      <c r="C420" s="15">
        <v>1</v>
      </c>
      <c r="D420" s="15">
        <v>0</v>
      </c>
      <c r="E420" s="15">
        <v>1</v>
      </c>
      <c r="F420" s="15">
        <v>11</v>
      </c>
      <c r="G420" s="17" t="b">
        <v>0</v>
      </c>
      <c r="H420" s="15">
        <v>3</v>
      </c>
      <c r="I420" s="15">
        <v>2</v>
      </c>
      <c r="J420" s="15">
        <v>0.28000000000000003</v>
      </c>
      <c r="K420" s="14">
        <v>0.30299999999999999</v>
      </c>
      <c r="L420" s="14">
        <v>0.87</v>
      </c>
      <c r="M420" s="14">
        <v>8.9599999999999999E-2</v>
      </c>
      <c r="N420" s="14">
        <v>5</v>
      </c>
      <c r="O420" s="14">
        <v>47</v>
      </c>
      <c r="P420" s="14">
        <v>52</v>
      </c>
    </row>
    <row r="421" spans="1:16" x14ac:dyDescent="0.3">
      <c r="A421" s="15">
        <v>420</v>
      </c>
      <c r="B421" s="16">
        <v>40562</v>
      </c>
      <c r="C421" s="15">
        <v>1</v>
      </c>
      <c r="D421" s="15">
        <v>0</v>
      </c>
      <c r="E421" s="15">
        <v>1</v>
      </c>
      <c r="F421" s="15">
        <v>12</v>
      </c>
      <c r="G421" s="17" t="b">
        <v>0</v>
      </c>
      <c r="H421" s="15">
        <v>3</v>
      </c>
      <c r="I421" s="15">
        <v>2</v>
      </c>
      <c r="J421" s="15">
        <v>0.3</v>
      </c>
      <c r="K421" s="14">
        <v>0.31819999999999998</v>
      </c>
      <c r="L421" s="14">
        <v>0.81</v>
      </c>
      <c r="M421" s="14">
        <v>8.9599999999999999E-2</v>
      </c>
      <c r="N421" s="14">
        <v>5</v>
      </c>
      <c r="O421" s="14">
        <v>65</v>
      </c>
      <c r="P421" s="14">
        <v>70</v>
      </c>
    </row>
    <row r="422" spans="1:16" x14ac:dyDescent="0.3">
      <c r="A422" s="15">
        <v>421</v>
      </c>
      <c r="B422" s="16">
        <v>40562</v>
      </c>
      <c r="C422" s="15">
        <v>1</v>
      </c>
      <c r="D422" s="15">
        <v>0</v>
      </c>
      <c r="E422" s="15">
        <v>1</v>
      </c>
      <c r="F422" s="15">
        <v>13</v>
      </c>
      <c r="G422" s="17" t="b">
        <v>0</v>
      </c>
      <c r="H422" s="15">
        <v>3</v>
      </c>
      <c r="I422" s="15">
        <v>1</v>
      </c>
      <c r="J422" s="15">
        <v>0.4</v>
      </c>
      <c r="K422" s="14">
        <v>0.40910000000000002</v>
      </c>
      <c r="L422" s="14">
        <v>0.62</v>
      </c>
      <c r="M422" s="14">
        <v>0.28360000000000002</v>
      </c>
      <c r="N422" s="14">
        <v>11</v>
      </c>
      <c r="O422" s="14">
        <v>67</v>
      </c>
      <c r="P422" s="14">
        <v>78</v>
      </c>
    </row>
    <row r="423" spans="1:16" x14ac:dyDescent="0.3">
      <c r="A423" s="15">
        <v>422</v>
      </c>
      <c r="B423" s="16">
        <v>40562</v>
      </c>
      <c r="C423" s="15">
        <v>1</v>
      </c>
      <c r="D423" s="15">
        <v>0</v>
      </c>
      <c r="E423" s="15">
        <v>1</v>
      </c>
      <c r="F423" s="15">
        <v>14</v>
      </c>
      <c r="G423" s="17" t="b">
        <v>0</v>
      </c>
      <c r="H423" s="15">
        <v>3</v>
      </c>
      <c r="I423" s="15">
        <v>1</v>
      </c>
      <c r="J423" s="15">
        <v>0.4</v>
      </c>
      <c r="K423" s="14">
        <v>0.40910000000000002</v>
      </c>
      <c r="L423" s="14">
        <v>0.57999999999999996</v>
      </c>
      <c r="M423" s="14">
        <v>0.25369999999999998</v>
      </c>
      <c r="N423" s="14">
        <v>7</v>
      </c>
      <c r="O423" s="14">
        <v>68</v>
      </c>
      <c r="P423" s="14">
        <v>75</v>
      </c>
    </row>
    <row r="424" spans="1:16" x14ac:dyDescent="0.3">
      <c r="A424" s="15">
        <v>423</v>
      </c>
      <c r="B424" s="16">
        <v>40562</v>
      </c>
      <c r="C424" s="15">
        <v>1</v>
      </c>
      <c r="D424" s="15">
        <v>0</v>
      </c>
      <c r="E424" s="15">
        <v>1</v>
      </c>
      <c r="F424" s="15">
        <v>15</v>
      </c>
      <c r="G424" s="17" t="b">
        <v>0</v>
      </c>
      <c r="H424" s="15">
        <v>3</v>
      </c>
      <c r="I424" s="15">
        <v>1</v>
      </c>
      <c r="J424" s="15">
        <v>0.4</v>
      </c>
      <c r="K424" s="14">
        <v>0.40910000000000002</v>
      </c>
      <c r="L424" s="14">
        <v>0.54</v>
      </c>
      <c r="M424" s="14">
        <v>0.28360000000000002</v>
      </c>
      <c r="N424" s="14">
        <v>4</v>
      </c>
      <c r="O424" s="14">
        <v>78</v>
      </c>
      <c r="P424" s="14">
        <v>82</v>
      </c>
    </row>
    <row r="425" spans="1:16" x14ac:dyDescent="0.3">
      <c r="A425" s="15">
        <v>424</v>
      </c>
      <c r="B425" s="16">
        <v>40562</v>
      </c>
      <c r="C425" s="15">
        <v>1</v>
      </c>
      <c r="D425" s="15">
        <v>0</v>
      </c>
      <c r="E425" s="15">
        <v>1</v>
      </c>
      <c r="F425" s="15">
        <v>16</v>
      </c>
      <c r="G425" s="17" t="b">
        <v>0</v>
      </c>
      <c r="H425" s="15">
        <v>3</v>
      </c>
      <c r="I425" s="15">
        <v>1</v>
      </c>
      <c r="J425" s="15">
        <v>0.38</v>
      </c>
      <c r="K425" s="14">
        <v>0.39389999999999997</v>
      </c>
      <c r="L425" s="14">
        <v>0.57999999999999996</v>
      </c>
      <c r="M425" s="14">
        <v>0.3881</v>
      </c>
      <c r="N425" s="14">
        <v>10</v>
      </c>
      <c r="O425" s="14">
        <v>94</v>
      </c>
      <c r="P425" s="14">
        <v>104</v>
      </c>
    </row>
    <row r="426" spans="1:16" x14ac:dyDescent="0.3">
      <c r="A426" s="15">
        <v>425</v>
      </c>
      <c r="B426" s="16">
        <v>40562</v>
      </c>
      <c r="C426" s="15">
        <v>1</v>
      </c>
      <c r="D426" s="15">
        <v>0</v>
      </c>
      <c r="E426" s="15">
        <v>1</v>
      </c>
      <c r="F426" s="15">
        <v>17</v>
      </c>
      <c r="G426" s="17" t="b">
        <v>0</v>
      </c>
      <c r="H426" s="15">
        <v>3</v>
      </c>
      <c r="I426" s="15">
        <v>1</v>
      </c>
      <c r="J426" s="15">
        <v>0.36</v>
      </c>
      <c r="K426" s="14">
        <v>0.33329999999999999</v>
      </c>
      <c r="L426" s="14">
        <v>0.56999999999999995</v>
      </c>
      <c r="M426" s="14">
        <v>0.32840000000000003</v>
      </c>
      <c r="N426" s="14">
        <v>7</v>
      </c>
      <c r="O426" s="14">
        <v>190</v>
      </c>
      <c r="P426" s="14">
        <v>197</v>
      </c>
    </row>
    <row r="427" spans="1:16" x14ac:dyDescent="0.3">
      <c r="A427" s="15">
        <v>426</v>
      </c>
      <c r="B427" s="16">
        <v>40562</v>
      </c>
      <c r="C427" s="15">
        <v>1</v>
      </c>
      <c r="D427" s="15">
        <v>0</v>
      </c>
      <c r="E427" s="15">
        <v>1</v>
      </c>
      <c r="F427" s="15">
        <v>18</v>
      </c>
      <c r="G427" s="17" t="b">
        <v>0</v>
      </c>
      <c r="H427" s="15">
        <v>3</v>
      </c>
      <c r="I427" s="15">
        <v>1</v>
      </c>
      <c r="J427" s="15">
        <v>0.34</v>
      </c>
      <c r="K427" s="14">
        <v>0.31819999999999998</v>
      </c>
      <c r="L427" s="14">
        <v>0.61</v>
      </c>
      <c r="M427" s="14">
        <v>0.28360000000000002</v>
      </c>
      <c r="N427" s="14">
        <v>5</v>
      </c>
      <c r="O427" s="14">
        <v>156</v>
      </c>
      <c r="P427" s="14">
        <v>161</v>
      </c>
    </row>
    <row r="428" spans="1:16" x14ac:dyDescent="0.3">
      <c r="A428" s="15">
        <v>427</v>
      </c>
      <c r="B428" s="16">
        <v>40562</v>
      </c>
      <c r="C428" s="15">
        <v>1</v>
      </c>
      <c r="D428" s="15">
        <v>0</v>
      </c>
      <c r="E428" s="15">
        <v>1</v>
      </c>
      <c r="F428" s="15">
        <v>19</v>
      </c>
      <c r="G428" s="17" t="b">
        <v>0</v>
      </c>
      <c r="H428" s="15">
        <v>3</v>
      </c>
      <c r="I428" s="15">
        <v>1</v>
      </c>
      <c r="J428" s="15">
        <v>0.32</v>
      </c>
      <c r="K428" s="14">
        <v>0.28789999999999999</v>
      </c>
      <c r="L428" s="14">
        <v>0.56999999999999995</v>
      </c>
      <c r="M428" s="14">
        <v>0.41789999999999999</v>
      </c>
      <c r="N428" s="14">
        <v>4</v>
      </c>
      <c r="O428" s="14">
        <v>108</v>
      </c>
      <c r="P428" s="14">
        <v>112</v>
      </c>
    </row>
    <row r="429" spans="1:16" x14ac:dyDescent="0.3">
      <c r="A429" s="15">
        <v>428</v>
      </c>
      <c r="B429" s="16">
        <v>40562</v>
      </c>
      <c r="C429" s="15">
        <v>1</v>
      </c>
      <c r="D429" s="15">
        <v>0</v>
      </c>
      <c r="E429" s="15">
        <v>1</v>
      </c>
      <c r="F429" s="15">
        <v>20</v>
      </c>
      <c r="G429" s="17" t="b">
        <v>0</v>
      </c>
      <c r="H429" s="15">
        <v>3</v>
      </c>
      <c r="I429" s="15">
        <v>1</v>
      </c>
      <c r="J429" s="15">
        <v>0.32</v>
      </c>
      <c r="K429" s="14">
        <v>0.30299999999999999</v>
      </c>
      <c r="L429" s="14">
        <v>0.49</v>
      </c>
      <c r="M429" s="14">
        <v>0.29849999999999999</v>
      </c>
      <c r="N429" s="14">
        <v>2</v>
      </c>
      <c r="O429" s="14">
        <v>74</v>
      </c>
      <c r="P429" s="14">
        <v>76</v>
      </c>
    </row>
    <row r="430" spans="1:16" x14ac:dyDescent="0.3">
      <c r="A430" s="15">
        <v>429</v>
      </c>
      <c r="B430" s="16">
        <v>40562</v>
      </c>
      <c r="C430" s="15">
        <v>1</v>
      </c>
      <c r="D430" s="15">
        <v>0</v>
      </c>
      <c r="E430" s="15">
        <v>1</v>
      </c>
      <c r="F430" s="15">
        <v>21</v>
      </c>
      <c r="G430" s="17" t="b">
        <v>0</v>
      </c>
      <c r="H430" s="15">
        <v>3</v>
      </c>
      <c r="I430" s="15">
        <v>1</v>
      </c>
      <c r="J430" s="15">
        <v>0.32</v>
      </c>
      <c r="K430" s="14">
        <v>0.28789999999999999</v>
      </c>
      <c r="L430" s="14">
        <v>0.49</v>
      </c>
      <c r="M430" s="14">
        <v>0.41789999999999999</v>
      </c>
      <c r="N430" s="14">
        <v>4</v>
      </c>
      <c r="O430" s="14">
        <v>55</v>
      </c>
      <c r="P430" s="14">
        <v>59</v>
      </c>
    </row>
    <row r="431" spans="1:16" x14ac:dyDescent="0.3">
      <c r="A431" s="15">
        <v>430</v>
      </c>
      <c r="B431" s="16">
        <v>40562</v>
      </c>
      <c r="C431" s="15">
        <v>1</v>
      </c>
      <c r="D431" s="15">
        <v>0</v>
      </c>
      <c r="E431" s="15">
        <v>1</v>
      </c>
      <c r="F431" s="15">
        <v>22</v>
      </c>
      <c r="G431" s="17" t="b">
        <v>0</v>
      </c>
      <c r="H431" s="15">
        <v>3</v>
      </c>
      <c r="I431" s="15">
        <v>1</v>
      </c>
      <c r="J431" s="15">
        <v>0.3</v>
      </c>
      <c r="K431" s="14">
        <v>0.30299999999999999</v>
      </c>
      <c r="L431" s="14">
        <v>0.52</v>
      </c>
      <c r="M431" s="14">
        <v>0.16420000000000001</v>
      </c>
      <c r="N431" s="14">
        <v>6</v>
      </c>
      <c r="O431" s="14">
        <v>53</v>
      </c>
      <c r="P431" s="14">
        <v>59</v>
      </c>
    </row>
    <row r="432" spans="1:16" x14ac:dyDescent="0.3">
      <c r="A432" s="15">
        <v>431</v>
      </c>
      <c r="B432" s="16">
        <v>40562</v>
      </c>
      <c r="C432" s="15">
        <v>1</v>
      </c>
      <c r="D432" s="15">
        <v>0</v>
      </c>
      <c r="E432" s="15">
        <v>1</v>
      </c>
      <c r="F432" s="15">
        <v>23</v>
      </c>
      <c r="G432" s="17" t="b">
        <v>0</v>
      </c>
      <c r="H432" s="15">
        <v>3</v>
      </c>
      <c r="I432" s="15">
        <v>1</v>
      </c>
      <c r="J432" s="15">
        <v>0.3</v>
      </c>
      <c r="K432" s="14">
        <v>0.2727</v>
      </c>
      <c r="L432" s="14">
        <v>0.52</v>
      </c>
      <c r="M432" s="14">
        <v>0.4627</v>
      </c>
      <c r="N432" s="14">
        <v>1</v>
      </c>
      <c r="O432" s="14">
        <v>27</v>
      </c>
      <c r="P432" s="14">
        <v>28</v>
      </c>
    </row>
    <row r="433" spans="1:16" x14ac:dyDescent="0.3">
      <c r="A433" s="15">
        <v>432</v>
      </c>
      <c r="B433" s="16">
        <v>40563</v>
      </c>
      <c r="C433" s="15">
        <v>1</v>
      </c>
      <c r="D433" s="15">
        <v>0</v>
      </c>
      <c r="E433" s="15">
        <v>1</v>
      </c>
      <c r="F433" s="15">
        <v>0</v>
      </c>
      <c r="G433" s="17" t="b">
        <v>0</v>
      </c>
      <c r="H433" s="15">
        <v>4</v>
      </c>
      <c r="I433" s="15">
        <v>1</v>
      </c>
      <c r="J433" s="15">
        <v>0.26</v>
      </c>
      <c r="K433" s="14">
        <v>0.2273</v>
      </c>
      <c r="L433" s="14">
        <v>0.56000000000000005</v>
      </c>
      <c r="M433" s="14">
        <v>0.3881</v>
      </c>
      <c r="N433" s="14">
        <v>5</v>
      </c>
      <c r="O433" s="14">
        <v>8</v>
      </c>
      <c r="P433" s="14">
        <v>13</v>
      </c>
    </row>
    <row r="434" spans="1:16" x14ac:dyDescent="0.3">
      <c r="A434" s="15">
        <v>433</v>
      </c>
      <c r="B434" s="16">
        <v>40563</v>
      </c>
      <c r="C434" s="15">
        <v>1</v>
      </c>
      <c r="D434" s="15">
        <v>0</v>
      </c>
      <c r="E434" s="15">
        <v>1</v>
      </c>
      <c r="F434" s="15">
        <v>1</v>
      </c>
      <c r="G434" s="17" t="b">
        <v>0</v>
      </c>
      <c r="H434" s="15">
        <v>4</v>
      </c>
      <c r="I434" s="15">
        <v>1</v>
      </c>
      <c r="J434" s="15">
        <v>0.26</v>
      </c>
      <c r="K434" s="14">
        <v>0.2727</v>
      </c>
      <c r="L434" s="14">
        <v>0.56000000000000005</v>
      </c>
      <c r="M434" s="14">
        <v>0</v>
      </c>
      <c r="N434" s="14">
        <v>2</v>
      </c>
      <c r="O434" s="14">
        <v>3</v>
      </c>
      <c r="P434" s="14">
        <v>5</v>
      </c>
    </row>
    <row r="435" spans="1:16" x14ac:dyDescent="0.3">
      <c r="A435" s="15">
        <v>434</v>
      </c>
      <c r="B435" s="16">
        <v>40563</v>
      </c>
      <c r="C435" s="15">
        <v>1</v>
      </c>
      <c r="D435" s="15">
        <v>0</v>
      </c>
      <c r="E435" s="15">
        <v>1</v>
      </c>
      <c r="F435" s="15">
        <v>2</v>
      </c>
      <c r="G435" s="17" t="b">
        <v>0</v>
      </c>
      <c r="H435" s="15">
        <v>4</v>
      </c>
      <c r="I435" s="15">
        <v>1</v>
      </c>
      <c r="J435" s="15">
        <v>0.26</v>
      </c>
      <c r="K435" s="14">
        <v>0.2727</v>
      </c>
      <c r="L435" s="14">
        <v>0.56000000000000005</v>
      </c>
      <c r="M435" s="14">
        <v>0</v>
      </c>
      <c r="N435" s="14">
        <v>0</v>
      </c>
      <c r="O435" s="14">
        <v>2</v>
      </c>
      <c r="P435" s="14">
        <v>2</v>
      </c>
    </row>
    <row r="436" spans="1:16" x14ac:dyDescent="0.3">
      <c r="A436" s="15">
        <v>435</v>
      </c>
      <c r="B436" s="16">
        <v>40563</v>
      </c>
      <c r="C436" s="15">
        <v>1</v>
      </c>
      <c r="D436" s="15">
        <v>0</v>
      </c>
      <c r="E436" s="15">
        <v>1</v>
      </c>
      <c r="F436" s="15">
        <v>3</v>
      </c>
      <c r="G436" s="17" t="b">
        <v>0</v>
      </c>
      <c r="H436" s="15">
        <v>4</v>
      </c>
      <c r="I436" s="15">
        <v>1</v>
      </c>
      <c r="J436" s="15">
        <v>0.26</v>
      </c>
      <c r="K436" s="14">
        <v>0.2576</v>
      </c>
      <c r="L436" s="14">
        <v>0.56000000000000005</v>
      </c>
      <c r="M436" s="14">
        <v>0.16420000000000001</v>
      </c>
      <c r="N436" s="14">
        <v>0</v>
      </c>
      <c r="O436" s="14">
        <v>1</v>
      </c>
      <c r="P436" s="14">
        <v>1</v>
      </c>
    </row>
    <row r="437" spans="1:16" x14ac:dyDescent="0.3">
      <c r="A437" s="15">
        <v>436</v>
      </c>
      <c r="B437" s="16">
        <v>40563</v>
      </c>
      <c r="C437" s="15">
        <v>1</v>
      </c>
      <c r="D437" s="15">
        <v>0</v>
      </c>
      <c r="E437" s="15">
        <v>1</v>
      </c>
      <c r="F437" s="15">
        <v>4</v>
      </c>
      <c r="G437" s="17" t="b">
        <v>0</v>
      </c>
      <c r="H437" s="15">
        <v>4</v>
      </c>
      <c r="I437" s="15">
        <v>1</v>
      </c>
      <c r="J437" s="15">
        <v>0.26</v>
      </c>
      <c r="K437" s="14">
        <v>0.2576</v>
      </c>
      <c r="L437" s="14">
        <v>0.56000000000000005</v>
      </c>
      <c r="M437" s="14">
        <v>0.16420000000000001</v>
      </c>
      <c r="N437" s="14">
        <v>0</v>
      </c>
      <c r="O437" s="14">
        <v>1</v>
      </c>
      <c r="P437" s="14">
        <v>1</v>
      </c>
    </row>
    <row r="438" spans="1:16" x14ac:dyDescent="0.3">
      <c r="A438" s="15">
        <v>437</v>
      </c>
      <c r="B438" s="16">
        <v>40563</v>
      </c>
      <c r="C438" s="15">
        <v>1</v>
      </c>
      <c r="D438" s="15">
        <v>0</v>
      </c>
      <c r="E438" s="15">
        <v>1</v>
      </c>
      <c r="F438" s="15">
        <v>5</v>
      </c>
      <c r="G438" s="17" t="b">
        <v>0</v>
      </c>
      <c r="H438" s="15">
        <v>4</v>
      </c>
      <c r="I438" s="15">
        <v>1</v>
      </c>
      <c r="J438" s="15">
        <v>0.24</v>
      </c>
      <c r="K438" s="14">
        <v>0.2273</v>
      </c>
      <c r="L438" s="14">
        <v>0.6</v>
      </c>
      <c r="M438" s="14">
        <v>0.22389999999999999</v>
      </c>
      <c r="N438" s="14">
        <v>0</v>
      </c>
      <c r="O438" s="14">
        <v>6</v>
      </c>
      <c r="P438" s="14">
        <v>6</v>
      </c>
    </row>
    <row r="439" spans="1:16" x14ac:dyDescent="0.3">
      <c r="A439" s="15">
        <v>438</v>
      </c>
      <c r="B439" s="16">
        <v>40563</v>
      </c>
      <c r="C439" s="15">
        <v>1</v>
      </c>
      <c r="D439" s="15">
        <v>0</v>
      </c>
      <c r="E439" s="15">
        <v>1</v>
      </c>
      <c r="F439" s="15">
        <v>6</v>
      </c>
      <c r="G439" s="17" t="b">
        <v>0</v>
      </c>
      <c r="H439" s="15">
        <v>4</v>
      </c>
      <c r="I439" s="15">
        <v>1</v>
      </c>
      <c r="J439" s="15">
        <v>0.22</v>
      </c>
      <c r="K439" s="14">
        <v>0.21210000000000001</v>
      </c>
      <c r="L439" s="14">
        <v>0.6</v>
      </c>
      <c r="M439" s="14">
        <v>0.22389999999999999</v>
      </c>
      <c r="N439" s="14">
        <v>0</v>
      </c>
      <c r="O439" s="14">
        <v>35</v>
      </c>
      <c r="P439" s="14">
        <v>35</v>
      </c>
    </row>
    <row r="440" spans="1:16" x14ac:dyDescent="0.3">
      <c r="A440" s="15">
        <v>439</v>
      </c>
      <c r="B440" s="16">
        <v>40563</v>
      </c>
      <c r="C440" s="15">
        <v>1</v>
      </c>
      <c r="D440" s="15">
        <v>0</v>
      </c>
      <c r="E440" s="15">
        <v>1</v>
      </c>
      <c r="F440" s="15">
        <v>7</v>
      </c>
      <c r="G440" s="17" t="b">
        <v>0</v>
      </c>
      <c r="H440" s="15">
        <v>4</v>
      </c>
      <c r="I440" s="15">
        <v>1</v>
      </c>
      <c r="J440" s="15">
        <v>0.22</v>
      </c>
      <c r="K440" s="14">
        <v>0.21210000000000001</v>
      </c>
      <c r="L440" s="14">
        <v>0.55000000000000004</v>
      </c>
      <c r="M440" s="14">
        <v>0.22389999999999999</v>
      </c>
      <c r="N440" s="14">
        <v>1</v>
      </c>
      <c r="O440" s="14">
        <v>100</v>
      </c>
      <c r="P440" s="14">
        <v>101</v>
      </c>
    </row>
    <row r="441" spans="1:16" x14ac:dyDescent="0.3">
      <c r="A441" s="15">
        <v>440</v>
      </c>
      <c r="B441" s="16">
        <v>40563</v>
      </c>
      <c r="C441" s="15">
        <v>1</v>
      </c>
      <c r="D441" s="15">
        <v>0</v>
      </c>
      <c r="E441" s="15">
        <v>1</v>
      </c>
      <c r="F441" s="15">
        <v>8</v>
      </c>
      <c r="G441" s="17" t="b">
        <v>0</v>
      </c>
      <c r="H441" s="15">
        <v>4</v>
      </c>
      <c r="I441" s="15">
        <v>1</v>
      </c>
      <c r="J441" s="15">
        <v>0.22</v>
      </c>
      <c r="K441" s="14">
        <v>0.21210000000000001</v>
      </c>
      <c r="L441" s="14">
        <v>0.55000000000000004</v>
      </c>
      <c r="M441" s="14">
        <v>0.28360000000000002</v>
      </c>
      <c r="N441" s="14">
        <v>2</v>
      </c>
      <c r="O441" s="14">
        <v>247</v>
      </c>
      <c r="P441" s="14">
        <v>249</v>
      </c>
    </row>
    <row r="442" spans="1:16" x14ac:dyDescent="0.3">
      <c r="A442" s="15">
        <v>441</v>
      </c>
      <c r="B442" s="16">
        <v>40563</v>
      </c>
      <c r="C442" s="15">
        <v>1</v>
      </c>
      <c r="D442" s="15">
        <v>0</v>
      </c>
      <c r="E442" s="15">
        <v>1</v>
      </c>
      <c r="F442" s="15">
        <v>9</v>
      </c>
      <c r="G442" s="17" t="b">
        <v>0</v>
      </c>
      <c r="H442" s="15">
        <v>4</v>
      </c>
      <c r="I442" s="15">
        <v>2</v>
      </c>
      <c r="J442" s="15">
        <v>0.24</v>
      </c>
      <c r="K442" s="14">
        <v>0.2273</v>
      </c>
      <c r="L442" s="14">
        <v>0.52</v>
      </c>
      <c r="M442" s="14">
        <v>0.22389999999999999</v>
      </c>
      <c r="N442" s="14">
        <v>3</v>
      </c>
      <c r="O442" s="14">
        <v>140</v>
      </c>
      <c r="P442" s="14">
        <v>143</v>
      </c>
    </row>
    <row r="443" spans="1:16" x14ac:dyDescent="0.3">
      <c r="A443" s="15">
        <v>442</v>
      </c>
      <c r="B443" s="16">
        <v>40563</v>
      </c>
      <c r="C443" s="15">
        <v>1</v>
      </c>
      <c r="D443" s="15">
        <v>0</v>
      </c>
      <c r="E443" s="15">
        <v>1</v>
      </c>
      <c r="F443" s="15">
        <v>10</v>
      </c>
      <c r="G443" s="17" t="b">
        <v>0</v>
      </c>
      <c r="H443" s="15">
        <v>4</v>
      </c>
      <c r="I443" s="15">
        <v>1</v>
      </c>
      <c r="J443" s="15">
        <v>0.26</v>
      </c>
      <c r="K443" s="14">
        <v>0.2273</v>
      </c>
      <c r="L443" s="14">
        <v>0.48</v>
      </c>
      <c r="M443" s="14">
        <v>0.29849999999999999</v>
      </c>
      <c r="N443" s="14">
        <v>1</v>
      </c>
      <c r="O443" s="14">
        <v>56</v>
      </c>
      <c r="P443" s="14">
        <v>57</v>
      </c>
    </row>
    <row r="444" spans="1:16" x14ac:dyDescent="0.3">
      <c r="A444" s="15">
        <v>443</v>
      </c>
      <c r="B444" s="16">
        <v>40563</v>
      </c>
      <c r="C444" s="15">
        <v>1</v>
      </c>
      <c r="D444" s="15">
        <v>0</v>
      </c>
      <c r="E444" s="15">
        <v>1</v>
      </c>
      <c r="F444" s="15">
        <v>11</v>
      </c>
      <c r="G444" s="17" t="b">
        <v>0</v>
      </c>
      <c r="H444" s="15">
        <v>4</v>
      </c>
      <c r="I444" s="15">
        <v>2</v>
      </c>
      <c r="J444" s="15">
        <v>0.28000000000000003</v>
      </c>
      <c r="K444" s="14">
        <v>0.2727</v>
      </c>
      <c r="L444" s="14">
        <v>0.45</v>
      </c>
      <c r="M444" s="14">
        <v>0.16420000000000001</v>
      </c>
      <c r="N444" s="14">
        <v>5</v>
      </c>
      <c r="O444" s="14">
        <v>63</v>
      </c>
      <c r="P444" s="14">
        <v>68</v>
      </c>
    </row>
    <row r="445" spans="1:16" x14ac:dyDescent="0.3">
      <c r="A445" s="15">
        <v>444</v>
      </c>
      <c r="B445" s="16">
        <v>40563</v>
      </c>
      <c r="C445" s="15">
        <v>1</v>
      </c>
      <c r="D445" s="15">
        <v>0</v>
      </c>
      <c r="E445" s="15">
        <v>1</v>
      </c>
      <c r="F445" s="15">
        <v>12</v>
      </c>
      <c r="G445" s="17" t="b">
        <v>0</v>
      </c>
      <c r="H445" s="15">
        <v>4</v>
      </c>
      <c r="I445" s="15">
        <v>2</v>
      </c>
      <c r="J445" s="15">
        <v>0.3</v>
      </c>
      <c r="K445" s="14">
        <v>0.33329999999999999</v>
      </c>
      <c r="L445" s="14">
        <v>0.42</v>
      </c>
      <c r="M445" s="14">
        <v>0</v>
      </c>
      <c r="N445" s="14">
        <v>7</v>
      </c>
      <c r="O445" s="14">
        <v>77</v>
      </c>
      <c r="P445" s="14">
        <v>84</v>
      </c>
    </row>
    <row r="446" spans="1:16" x14ac:dyDescent="0.3">
      <c r="A446" s="15">
        <v>445</v>
      </c>
      <c r="B446" s="16">
        <v>40563</v>
      </c>
      <c r="C446" s="15">
        <v>1</v>
      </c>
      <c r="D446" s="15">
        <v>0</v>
      </c>
      <c r="E446" s="15">
        <v>1</v>
      </c>
      <c r="F446" s="15">
        <v>13</v>
      </c>
      <c r="G446" s="17" t="b">
        <v>0</v>
      </c>
      <c r="H446" s="15">
        <v>4</v>
      </c>
      <c r="I446" s="15">
        <v>2</v>
      </c>
      <c r="J446" s="15">
        <v>0.28000000000000003</v>
      </c>
      <c r="K446" s="14">
        <v>0.28789999999999999</v>
      </c>
      <c r="L446" s="14">
        <v>0.45</v>
      </c>
      <c r="M446" s="14">
        <v>0.1045</v>
      </c>
      <c r="N446" s="14">
        <v>12</v>
      </c>
      <c r="O446" s="14">
        <v>86</v>
      </c>
      <c r="P446" s="14">
        <v>98</v>
      </c>
    </row>
    <row r="447" spans="1:16" x14ac:dyDescent="0.3">
      <c r="A447" s="15">
        <v>446</v>
      </c>
      <c r="B447" s="16">
        <v>40563</v>
      </c>
      <c r="C447" s="15">
        <v>1</v>
      </c>
      <c r="D447" s="15">
        <v>0</v>
      </c>
      <c r="E447" s="15">
        <v>1</v>
      </c>
      <c r="F447" s="15">
        <v>14</v>
      </c>
      <c r="G447" s="17" t="b">
        <v>0</v>
      </c>
      <c r="H447" s="15">
        <v>4</v>
      </c>
      <c r="I447" s="15">
        <v>2</v>
      </c>
      <c r="J447" s="15">
        <v>0.3</v>
      </c>
      <c r="K447" s="14">
        <v>0.30299999999999999</v>
      </c>
      <c r="L447" s="14">
        <v>0.45</v>
      </c>
      <c r="M447" s="14">
        <v>0.1343</v>
      </c>
      <c r="N447" s="14">
        <v>6</v>
      </c>
      <c r="O447" s="14">
        <v>75</v>
      </c>
      <c r="P447" s="14">
        <v>81</v>
      </c>
    </row>
    <row r="448" spans="1:16" x14ac:dyDescent="0.3">
      <c r="A448" s="15">
        <v>447</v>
      </c>
      <c r="B448" s="16">
        <v>40563</v>
      </c>
      <c r="C448" s="15">
        <v>1</v>
      </c>
      <c r="D448" s="15">
        <v>0</v>
      </c>
      <c r="E448" s="15">
        <v>1</v>
      </c>
      <c r="F448" s="15">
        <v>15</v>
      </c>
      <c r="G448" s="17" t="b">
        <v>0</v>
      </c>
      <c r="H448" s="15">
        <v>4</v>
      </c>
      <c r="I448" s="15">
        <v>2</v>
      </c>
      <c r="J448" s="15">
        <v>0.32</v>
      </c>
      <c r="K448" s="14">
        <v>0.31819999999999998</v>
      </c>
      <c r="L448" s="14">
        <v>0.45</v>
      </c>
      <c r="M448" s="14">
        <v>0.19400000000000001</v>
      </c>
      <c r="N448" s="14">
        <v>8</v>
      </c>
      <c r="O448" s="14">
        <v>62</v>
      </c>
      <c r="P448" s="14">
        <v>70</v>
      </c>
    </row>
    <row r="449" spans="1:16" x14ac:dyDescent="0.3">
      <c r="A449" s="15">
        <v>448</v>
      </c>
      <c r="B449" s="16">
        <v>40563</v>
      </c>
      <c r="C449" s="15">
        <v>1</v>
      </c>
      <c r="D449" s="15">
        <v>0</v>
      </c>
      <c r="E449" s="15">
        <v>1</v>
      </c>
      <c r="F449" s="15">
        <v>16</v>
      </c>
      <c r="G449" s="17" t="b">
        <v>0</v>
      </c>
      <c r="H449" s="15">
        <v>4</v>
      </c>
      <c r="I449" s="15">
        <v>2</v>
      </c>
      <c r="J449" s="15">
        <v>0.3</v>
      </c>
      <c r="K449" s="14">
        <v>0.30299999999999999</v>
      </c>
      <c r="L449" s="14">
        <v>0.49</v>
      </c>
      <c r="M449" s="14">
        <v>0.1343</v>
      </c>
      <c r="N449" s="14">
        <v>8</v>
      </c>
      <c r="O449" s="14">
        <v>83</v>
      </c>
      <c r="P449" s="14">
        <v>91</v>
      </c>
    </row>
    <row r="450" spans="1:16" x14ac:dyDescent="0.3">
      <c r="A450" s="15">
        <v>449</v>
      </c>
      <c r="B450" s="16">
        <v>40563</v>
      </c>
      <c r="C450" s="15">
        <v>1</v>
      </c>
      <c r="D450" s="15">
        <v>0</v>
      </c>
      <c r="E450" s="15">
        <v>1</v>
      </c>
      <c r="F450" s="15">
        <v>17</v>
      </c>
      <c r="G450" s="17" t="b">
        <v>0</v>
      </c>
      <c r="H450" s="15">
        <v>4</v>
      </c>
      <c r="I450" s="15">
        <v>2</v>
      </c>
      <c r="J450" s="15">
        <v>0.3</v>
      </c>
      <c r="K450" s="14">
        <v>0.31819999999999998</v>
      </c>
      <c r="L450" s="14">
        <v>0.49</v>
      </c>
      <c r="M450" s="14">
        <v>0.1045</v>
      </c>
      <c r="N450" s="14">
        <v>8</v>
      </c>
      <c r="O450" s="14">
        <v>207</v>
      </c>
      <c r="P450" s="14">
        <v>215</v>
      </c>
    </row>
    <row r="451" spans="1:16" x14ac:dyDescent="0.3">
      <c r="A451" s="15">
        <v>450</v>
      </c>
      <c r="B451" s="16">
        <v>40563</v>
      </c>
      <c r="C451" s="15">
        <v>1</v>
      </c>
      <c r="D451" s="15">
        <v>0</v>
      </c>
      <c r="E451" s="15">
        <v>1</v>
      </c>
      <c r="F451" s="15">
        <v>18</v>
      </c>
      <c r="G451" s="17" t="b">
        <v>0</v>
      </c>
      <c r="H451" s="15">
        <v>4</v>
      </c>
      <c r="I451" s="15">
        <v>2</v>
      </c>
      <c r="J451" s="15">
        <v>0.26</v>
      </c>
      <c r="K451" s="14">
        <v>0.2576</v>
      </c>
      <c r="L451" s="14">
        <v>0.56000000000000005</v>
      </c>
      <c r="M451" s="14">
        <v>0.19400000000000001</v>
      </c>
      <c r="N451" s="14">
        <v>1</v>
      </c>
      <c r="O451" s="14">
        <v>184</v>
      </c>
      <c r="P451" s="14">
        <v>185</v>
      </c>
    </row>
    <row r="452" spans="1:16" x14ac:dyDescent="0.3">
      <c r="A452" s="15">
        <v>451</v>
      </c>
      <c r="B452" s="16">
        <v>40563</v>
      </c>
      <c r="C452" s="15">
        <v>1</v>
      </c>
      <c r="D452" s="15">
        <v>0</v>
      </c>
      <c r="E452" s="15">
        <v>1</v>
      </c>
      <c r="F452" s="15">
        <v>19</v>
      </c>
      <c r="G452" s="17" t="b">
        <v>0</v>
      </c>
      <c r="H452" s="15">
        <v>4</v>
      </c>
      <c r="I452" s="15">
        <v>1</v>
      </c>
      <c r="J452" s="15">
        <v>0.26</v>
      </c>
      <c r="K452" s="14">
        <v>0.2273</v>
      </c>
      <c r="L452" s="14">
        <v>0.56000000000000005</v>
      </c>
      <c r="M452" s="14">
        <v>0.32840000000000003</v>
      </c>
      <c r="N452" s="14">
        <v>6</v>
      </c>
      <c r="O452" s="14">
        <v>146</v>
      </c>
      <c r="P452" s="14">
        <v>152</v>
      </c>
    </row>
    <row r="453" spans="1:16" x14ac:dyDescent="0.3">
      <c r="A453" s="15">
        <v>452</v>
      </c>
      <c r="B453" s="16">
        <v>40563</v>
      </c>
      <c r="C453" s="15">
        <v>1</v>
      </c>
      <c r="D453" s="15">
        <v>0</v>
      </c>
      <c r="E453" s="15">
        <v>1</v>
      </c>
      <c r="F453" s="15">
        <v>20</v>
      </c>
      <c r="G453" s="17" t="b">
        <v>0</v>
      </c>
      <c r="H453" s="15">
        <v>4</v>
      </c>
      <c r="I453" s="15">
        <v>2</v>
      </c>
      <c r="J453" s="15">
        <v>0.26</v>
      </c>
      <c r="K453" s="14">
        <v>0.2424</v>
      </c>
      <c r="L453" s="14">
        <v>0.6</v>
      </c>
      <c r="M453" s="14">
        <v>0.28360000000000002</v>
      </c>
      <c r="N453" s="14">
        <v>2</v>
      </c>
      <c r="O453" s="14">
        <v>124</v>
      </c>
      <c r="P453" s="14">
        <v>126</v>
      </c>
    </row>
    <row r="454" spans="1:16" x14ac:dyDescent="0.3">
      <c r="A454" s="15">
        <v>453</v>
      </c>
      <c r="B454" s="16">
        <v>40563</v>
      </c>
      <c r="C454" s="15">
        <v>1</v>
      </c>
      <c r="D454" s="15">
        <v>0</v>
      </c>
      <c r="E454" s="15">
        <v>1</v>
      </c>
      <c r="F454" s="15">
        <v>21</v>
      </c>
      <c r="G454" s="17" t="b">
        <v>0</v>
      </c>
      <c r="H454" s="15">
        <v>4</v>
      </c>
      <c r="I454" s="15">
        <v>2</v>
      </c>
      <c r="J454" s="15">
        <v>0.24</v>
      </c>
      <c r="K454" s="14">
        <v>0.2273</v>
      </c>
      <c r="L454" s="14">
        <v>0.6</v>
      </c>
      <c r="M454" s="14">
        <v>0.25369999999999998</v>
      </c>
      <c r="N454" s="14">
        <v>3</v>
      </c>
      <c r="O454" s="14">
        <v>54</v>
      </c>
      <c r="P454" s="14">
        <v>57</v>
      </c>
    </row>
    <row r="455" spans="1:16" x14ac:dyDescent="0.3">
      <c r="A455" s="15">
        <v>454</v>
      </c>
      <c r="B455" s="16">
        <v>40563</v>
      </c>
      <c r="C455" s="15">
        <v>1</v>
      </c>
      <c r="D455" s="15">
        <v>0</v>
      </c>
      <c r="E455" s="15">
        <v>1</v>
      </c>
      <c r="F455" s="15">
        <v>22</v>
      </c>
      <c r="G455" s="17" t="b">
        <v>0</v>
      </c>
      <c r="H455" s="15">
        <v>4</v>
      </c>
      <c r="I455" s="15">
        <v>2</v>
      </c>
      <c r="J455" s="15">
        <v>0.24</v>
      </c>
      <c r="K455" s="14">
        <v>0.21210000000000001</v>
      </c>
      <c r="L455" s="14">
        <v>0.65</v>
      </c>
      <c r="M455" s="14">
        <v>0.28360000000000002</v>
      </c>
      <c r="N455" s="14">
        <v>0</v>
      </c>
      <c r="O455" s="14">
        <v>56</v>
      </c>
      <c r="P455" s="14">
        <v>56</v>
      </c>
    </row>
    <row r="456" spans="1:16" x14ac:dyDescent="0.3">
      <c r="A456" s="15">
        <v>455</v>
      </c>
      <c r="B456" s="16">
        <v>40563</v>
      </c>
      <c r="C456" s="15">
        <v>1</v>
      </c>
      <c r="D456" s="15">
        <v>0</v>
      </c>
      <c r="E456" s="15">
        <v>1</v>
      </c>
      <c r="F456" s="15">
        <v>23</v>
      </c>
      <c r="G456" s="17" t="b">
        <v>0</v>
      </c>
      <c r="H456" s="15">
        <v>4</v>
      </c>
      <c r="I456" s="15">
        <v>2</v>
      </c>
      <c r="J456" s="15">
        <v>0.24</v>
      </c>
      <c r="K456" s="14">
        <v>0.21210000000000001</v>
      </c>
      <c r="L456" s="14">
        <v>0.65</v>
      </c>
      <c r="M456" s="14">
        <v>0.32840000000000003</v>
      </c>
      <c r="N456" s="14">
        <v>3</v>
      </c>
      <c r="O456" s="14">
        <v>28</v>
      </c>
      <c r="P456" s="14">
        <v>31</v>
      </c>
    </row>
    <row r="457" spans="1:16" x14ac:dyDescent="0.3">
      <c r="A457" s="15">
        <v>456</v>
      </c>
      <c r="B457" s="16">
        <v>40564</v>
      </c>
      <c r="C457" s="15">
        <v>1</v>
      </c>
      <c r="D457" s="15">
        <v>0</v>
      </c>
      <c r="E457" s="15">
        <v>1</v>
      </c>
      <c r="F457" s="15">
        <v>0</v>
      </c>
      <c r="G457" s="17" t="b">
        <v>0</v>
      </c>
      <c r="H457" s="15">
        <v>5</v>
      </c>
      <c r="I457" s="15">
        <v>2</v>
      </c>
      <c r="J457" s="15">
        <v>0.24</v>
      </c>
      <c r="K457" s="14">
        <v>0.2273</v>
      </c>
      <c r="L457" s="14">
        <v>0.7</v>
      </c>
      <c r="M457" s="14">
        <v>0.25369999999999998</v>
      </c>
      <c r="N457" s="14">
        <v>1</v>
      </c>
      <c r="O457" s="14">
        <v>20</v>
      </c>
      <c r="P457" s="14">
        <v>21</v>
      </c>
    </row>
    <row r="458" spans="1:16" x14ac:dyDescent="0.3">
      <c r="A458" s="15">
        <v>457</v>
      </c>
      <c r="B458" s="16">
        <v>40564</v>
      </c>
      <c r="C458" s="15">
        <v>1</v>
      </c>
      <c r="D458" s="15">
        <v>0</v>
      </c>
      <c r="E458" s="15">
        <v>1</v>
      </c>
      <c r="F458" s="15">
        <v>1</v>
      </c>
      <c r="G458" s="17" t="b">
        <v>0</v>
      </c>
      <c r="H458" s="15">
        <v>5</v>
      </c>
      <c r="I458" s="15">
        <v>2</v>
      </c>
      <c r="J458" s="15">
        <v>0.24</v>
      </c>
      <c r="K458" s="14">
        <v>0.2273</v>
      </c>
      <c r="L458" s="14">
        <v>0.7</v>
      </c>
      <c r="M458" s="14">
        <v>0.25369999999999998</v>
      </c>
      <c r="N458" s="14">
        <v>0</v>
      </c>
      <c r="O458" s="14">
        <v>6</v>
      </c>
      <c r="P458" s="14">
        <v>6</v>
      </c>
    </row>
    <row r="459" spans="1:16" x14ac:dyDescent="0.3">
      <c r="A459" s="15">
        <v>458</v>
      </c>
      <c r="B459" s="16">
        <v>40564</v>
      </c>
      <c r="C459" s="15">
        <v>1</v>
      </c>
      <c r="D459" s="15">
        <v>0</v>
      </c>
      <c r="E459" s="15">
        <v>1</v>
      </c>
      <c r="F459" s="15">
        <v>2</v>
      </c>
      <c r="G459" s="17" t="b">
        <v>0</v>
      </c>
      <c r="H459" s="15">
        <v>5</v>
      </c>
      <c r="I459" s="15">
        <v>3</v>
      </c>
      <c r="J459" s="15">
        <v>0.24</v>
      </c>
      <c r="K459" s="14">
        <v>0.2424</v>
      </c>
      <c r="L459" s="14">
        <v>0.75</v>
      </c>
      <c r="M459" s="14">
        <v>0.16420000000000001</v>
      </c>
      <c r="N459" s="14">
        <v>0</v>
      </c>
      <c r="O459" s="14">
        <v>2</v>
      </c>
      <c r="P459" s="14">
        <v>2</v>
      </c>
    </row>
    <row r="460" spans="1:16" x14ac:dyDescent="0.3">
      <c r="A460" s="15">
        <v>459</v>
      </c>
      <c r="B460" s="16">
        <v>40564</v>
      </c>
      <c r="C460" s="15">
        <v>1</v>
      </c>
      <c r="D460" s="15">
        <v>0</v>
      </c>
      <c r="E460" s="15">
        <v>1</v>
      </c>
      <c r="F460" s="15">
        <v>3</v>
      </c>
      <c r="G460" s="17" t="b">
        <v>0</v>
      </c>
      <c r="H460" s="15">
        <v>5</v>
      </c>
      <c r="I460" s="15">
        <v>3</v>
      </c>
      <c r="J460" s="15">
        <v>0.22</v>
      </c>
      <c r="K460" s="14">
        <v>0.21210000000000001</v>
      </c>
      <c r="L460" s="14">
        <v>0.8</v>
      </c>
      <c r="M460" s="14">
        <v>0.29849999999999999</v>
      </c>
      <c r="N460" s="14">
        <v>0</v>
      </c>
      <c r="O460" s="14">
        <v>1</v>
      </c>
      <c r="P460" s="14">
        <v>1</v>
      </c>
    </row>
    <row r="461" spans="1:16" x14ac:dyDescent="0.3">
      <c r="A461" s="15">
        <v>460</v>
      </c>
      <c r="B461" s="16">
        <v>40564</v>
      </c>
      <c r="C461" s="15">
        <v>1</v>
      </c>
      <c r="D461" s="15">
        <v>0</v>
      </c>
      <c r="E461" s="15">
        <v>1</v>
      </c>
      <c r="F461" s="15">
        <v>4</v>
      </c>
      <c r="G461" s="17" t="b">
        <v>0</v>
      </c>
      <c r="H461" s="15">
        <v>5</v>
      </c>
      <c r="I461" s="15">
        <v>2</v>
      </c>
      <c r="J461" s="15">
        <v>0.22</v>
      </c>
      <c r="K461" s="14">
        <v>0.2576</v>
      </c>
      <c r="L461" s="14">
        <v>0.87</v>
      </c>
      <c r="M461" s="14">
        <v>8.9599999999999999E-2</v>
      </c>
      <c r="N461" s="14">
        <v>0</v>
      </c>
      <c r="O461" s="14">
        <v>1</v>
      </c>
      <c r="P461" s="14">
        <v>1</v>
      </c>
    </row>
    <row r="462" spans="1:16" x14ac:dyDescent="0.3">
      <c r="A462" s="15">
        <v>461</v>
      </c>
      <c r="B462" s="16">
        <v>40564</v>
      </c>
      <c r="C462" s="15">
        <v>1</v>
      </c>
      <c r="D462" s="15">
        <v>0</v>
      </c>
      <c r="E462" s="15">
        <v>1</v>
      </c>
      <c r="F462" s="15">
        <v>5</v>
      </c>
      <c r="G462" s="17" t="b">
        <v>0</v>
      </c>
      <c r="H462" s="15">
        <v>5</v>
      </c>
      <c r="I462" s="15">
        <v>1</v>
      </c>
      <c r="J462" s="15">
        <v>0.24</v>
      </c>
      <c r="K462" s="14">
        <v>0.19700000000000001</v>
      </c>
      <c r="L462" s="14">
        <v>0.6</v>
      </c>
      <c r="M462" s="14">
        <v>0.41789999999999999</v>
      </c>
      <c r="N462" s="14">
        <v>1</v>
      </c>
      <c r="O462" s="14">
        <v>4</v>
      </c>
      <c r="P462" s="14">
        <v>5</v>
      </c>
    </row>
    <row r="463" spans="1:16" x14ac:dyDescent="0.3">
      <c r="A463" s="15">
        <v>462</v>
      </c>
      <c r="B463" s="16">
        <v>40564</v>
      </c>
      <c r="C463" s="15">
        <v>1</v>
      </c>
      <c r="D463" s="15">
        <v>0</v>
      </c>
      <c r="E463" s="15">
        <v>1</v>
      </c>
      <c r="F463" s="15">
        <v>6</v>
      </c>
      <c r="G463" s="17" t="b">
        <v>0</v>
      </c>
      <c r="H463" s="15">
        <v>5</v>
      </c>
      <c r="I463" s="15">
        <v>1</v>
      </c>
      <c r="J463" s="15">
        <v>0.22</v>
      </c>
      <c r="K463" s="14">
        <v>0.21210000000000001</v>
      </c>
      <c r="L463" s="14">
        <v>0.55000000000000004</v>
      </c>
      <c r="M463" s="14">
        <v>0.25369999999999998</v>
      </c>
      <c r="N463" s="14">
        <v>0</v>
      </c>
      <c r="O463" s="14">
        <v>27</v>
      </c>
      <c r="P463" s="14">
        <v>27</v>
      </c>
    </row>
    <row r="464" spans="1:16" x14ac:dyDescent="0.3">
      <c r="A464" s="15">
        <v>463</v>
      </c>
      <c r="B464" s="16">
        <v>40564</v>
      </c>
      <c r="C464" s="15">
        <v>1</v>
      </c>
      <c r="D464" s="15">
        <v>0</v>
      </c>
      <c r="E464" s="15">
        <v>1</v>
      </c>
      <c r="F464" s="15">
        <v>7</v>
      </c>
      <c r="G464" s="17" t="b">
        <v>0</v>
      </c>
      <c r="H464" s="15">
        <v>5</v>
      </c>
      <c r="I464" s="15">
        <v>1</v>
      </c>
      <c r="J464" s="15">
        <v>0.2</v>
      </c>
      <c r="K464" s="14">
        <v>0.18179999999999999</v>
      </c>
      <c r="L464" s="14">
        <v>0.51</v>
      </c>
      <c r="M464" s="14">
        <v>0.28360000000000002</v>
      </c>
      <c r="N464" s="14">
        <v>2</v>
      </c>
      <c r="O464" s="14">
        <v>66</v>
      </c>
      <c r="P464" s="14">
        <v>68</v>
      </c>
    </row>
    <row r="465" spans="1:16" x14ac:dyDescent="0.3">
      <c r="A465" s="15">
        <v>464</v>
      </c>
      <c r="B465" s="16">
        <v>40564</v>
      </c>
      <c r="C465" s="15">
        <v>1</v>
      </c>
      <c r="D465" s="15">
        <v>0</v>
      </c>
      <c r="E465" s="15">
        <v>1</v>
      </c>
      <c r="F465" s="15">
        <v>8</v>
      </c>
      <c r="G465" s="17" t="b">
        <v>0</v>
      </c>
      <c r="H465" s="15">
        <v>5</v>
      </c>
      <c r="I465" s="15">
        <v>1</v>
      </c>
      <c r="J465" s="15">
        <v>0.2</v>
      </c>
      <c r="K465" s="14">
        <v>0.18179999999999999</v>
      </c>
      <c r="L465" s="14">
        <v>0.47</v>
      </c>
      <c r="M465" s="14">
        <v>0.32840000000000003</v>
      </c>
      <c r="N465" s="14">
        <v>7</v>
      </c>
      <c r="O465" s="14">
        <v>210</v>
      </c>
      <c r="P465" s="14">
        <v>217</v>
      </c>
    </row>
    <row r="466" spans="1:16" x14ac:dyDescent="0.3">
      <c r="A466" s="15">
        <v>465</v>
      </c>
      <c r="B466" s="16">
        <v>40564</v>
      </c>
      <c r="C466" s="15">
        <v>1</v>
      </c>
      <c r="D466" s="15">
        <v>0</v>
      </c>
      <c r="E466" s="15">
        <v>1</v>
      </c>
      <c r="F466" s="15">
        <v>9</v>
      </c>
      <c r="G466" s="17" t="b">
        <v>0</v>
      </c>
      <c r="H466" s="15">
        <v>5</v>
      </c>
      <c r="I466" s="15">
        <v>1</v>
      </c>
      <c r="J466" s="15">
        <v>0.2</v>
      </c>
      <c r="K466" s="14">
        <v>0.18179999999999999</v>
      </c>
      <c r="L466" s="14">
        <v>0.51</v>
      </c>
      <c r="M466" s="14">
        <v>0.35820000000000002</v>
      </c>
      <c r="N466" s="14">
        <v>7</v>
      </c>
      <c r="O466" s="14">
        <v>159</v>
      </c>
      <c r="P466" s="14">
        <v>166</v>
      </c>
    </row>
    <row r="467" spans="1:16" x14ac:dyDescent="0.3">
      <c r="A467" s="15">
        <v>466</v>
      </c>
      <c r="B467" s="16">
        <v>40564</v>
      </c>
      <c r="C467" s="15">
        <v>1</v>
      </c>
      <c r="D467" s="15">
        <v>0</v>
      </c>
      <c r="E467" s="15">
        <v>1</v>
      </c>
      <c r="F467" s="15">
        <v>10</v>
      </c>
      <c r="G467" s="17" t="b">
        <v>0</v>
      </c>
      <c r="H467" s="15">
        <v>5</v>
      </c>
      <c r="I467" s="15">
        <v>1</v>
      </c>
      <c r="J467" s="15">
        <v>0.2</v>
      </c>
      <c r="K467" s="14">
        <v>0.16669999999999999</v>
      </c>
      <c r="L467" s="14">
        <v>0.47</v>
      </c>
      <c r="M467" s="14">
        <v>0.4627</v>
      </c>
      <c r="N467" s="14">
        <v>6</v>
      </c>
      <c r="O467" s="14">
        <v>57</v>
      </c>
      <c r="P467" s="14">
        <v>63</v>
      </c>
    </row>
    <row r="468" spans="1:16" x14ac:dyDescent="0.3">
      <c r="A468" s="15">
        <v>467</v>
      </c>
      <c r="B468" s="16">
        <v>40564</v>
      </c>
      <c r="C468" s="15">
        <v>1</v>
      </c>
      <c r="D468" s="15">
        <v>0</v>
      </c>
      <c r="E468" s="15">
        <v>1</v>
      </c>
      <c r="F468" s="15">
        <v>11</v>
      </c>
      <c r="G468" s="17" t="b">
        <v>0</v>
      </c>
      <c r="H468" s="15">
        <v>5</v>
      </c>
      <c r="I468" s="15">
        <v>1</v>
      </c>
      <c r="J468" s="15">
        <v>0.22</v>
      </c>
      <c r="K468" s="14">
        <v>0.18179999999999999</v>
      </c>
      <c r="L468" s="14">
        <v>0.41</v>
      </c>
      <c r="M468" s="14">
        <v>0.4627</v>
      </c>
      <c r="N468" s="14">
        <v>6</v>
      </c>
      <c r="O468" s="14">
        <v>53</v>
      </c>
      <c r="P468" s="14">
        <v>59</v>
      </c>
    </row>
    <row r="469" spans="1:16" x14ac:dyDescent="0.3">
      <c r="A469" s="15">
        <v>468</v>
      </c>
      <c r="B469" s="16">
        <v>40564</v>
      </c>
      <c r="C469" s="15">
        <v>1</v>
      </c>
      <c r="D469" s="15">
        <v>0</v>
      </c>
      <c r="E469" s="15">
        <v>1</v>
      </c>
      <c r="F469" s="15">
        <v>12</v>
      </c>
      <c r="G469" s="17" t="b">
        <v>0</v>
      </c>
      <c r="H469" s="15">
        <v>5</v>
      </c>
      <c r="I469" s="15">
        <v>1</v>
      </c>
      <c r="J469" s="15">
        <v>0.22</v>
      </c>
      <c r="K469" s="14">
        <v>0.18179999999999999</v>
      </c>
      <c r="L469" s="14">
        <v>0.27</v>
      </c>
      <c r="M469" s="14">
        <v>0.58209999999999995</v>
      </c>
      <c r="N469" s="14">
        <v>11</v>
      </c>
      <c r="O469" s="14">
        <v>67</v>
      </c>
      <c r="P469" s="14">
        <v>78</v>
      </c>
    </row>
    <row r="470" spans="1:16" x14ac:dyDescent="0.3">
      <c r="A470" s="15">
        <v>469</v>
      </c>
      <c r="B470" s="16">
        <v>40564</v>
      </c>
      <c r="C470" s="15">
        <v>1</v>
      </c>
      <c r="D470" s="15">
        <v>0</v>
      </c>
      <c r="E470" s="15">
        <v>1</v>
      </c>
      <c r="F470" s="15">
        <v>13</v>
      </c>
      <c r="G470" s="17" t="b">
        <v>0</v>
      </c>
      <c r="H470" s="15">
        <v>5</v>
      </c>
      <c r="I470" s="15">
        <v>1</v>
      </c>
      <c r="J470" s="15">
        <v>0.2</v>
      </c>
      <c r="K470" s="14">
        <v>0.1515</v>
      </c>
      <c r="L470" s="14">
        <v>0.21</v>
      </c>
      <c r="M470" s="14">
        <v>0.58209999999999995</v>
      </c>
      <c r="N470" s="14">
        <v>8</v>
      </c>
      <c r="O470" s="14">
        <v>65</v>
      </c>
      <c r="P470" s="14">
        <v>73</v>
      </c>
    </row>
    <row r="471" spans="1:16" x14ac:dyDescent="0.3">
      <c r="A471" s="15">
        <v>470</v>
      </c>
      <c r="B471" s="16">
        <v>40564</v>
      </c>
      <c r="C471" s="15">
        <v>1</v>
      </c>
      <c r="D471" s="15">
        <v>0</v>
      </c>
      <c r="E471" s="15">
        <v>1</v>
      </c>
      <c r="F471" s="15">
        <v>14</v>
      </c>
      <c r="G471" s="17" t="b">
        <v>0</v>
      </c>
      <c r="H471" s="15">
        <v>5</v>
      </c>
      <c r="I471" s="15">
        <v>1</v>
      </c>
      <c r="J471" s="15">
        <v>0.2</v>
      </c>
      <c r="K471" s="14">
        <v>0.1515</v>
      </c>
      <c r="L471" s="14">
        <v>0.25</v>
      </c>
      <c r="M471" s="14">
        <v>0.52239999999999998</v>
      </c>
      <c r="N471" s="14">
        <v>6</v>
      </c>
      <c r="O471" s="14">
        <v>56</v>
      </c>
      <c r="P471" s="14">
        <v>62</v>
      </c>
    </row>
    <row r="472" spans="1:16" x14ac:dyDescent="0.3">
      <c r="A472" s="15">
        <v>471</v>
      </c>
      <c r="B472" s="16">
        <v>40564</v>
      </c>
      <c r="C472" s="15">
        <v>1</v>
      </c>
      <c r="D472" s="15">
        <v>0</v>
      </c>
      <c r="E472" s="15">
        <v>1</v>
      </c>
      <c r="F472" s="15">
        <v>15</v>
      </c>
      <c r="G472" s="17" t="b">
        <v>0</v>
      </c>
      <c r="H472" s="15">
        <v>5</v>
      </c>
      <c r="I472" s="15">
        <v>1</v>
      </c>
      <c r="J472" s="15">
        <v>0.16</v>
      </c>
      <c r="K472" s="14">
        <v>0.1212</v>
      </c>
      <c r="L472" s="14">
        <v>0.26</v>
      </c>
      <c r="M472" s="14">
        <v>0.44779999999999998</v>
      </c>
      <c r="N472" s="14">
        <v>4</v>
      </c>
      <c r="O472" s="14">
        <v>61</v>
      </c>
      <c r="P472" s="14">
        <v>65</v>
      </c>
    </row>
    <row r="473" spans="1:16" x14ac:dyDescent="0.3">
      <c r="A473" s="15">
        <v>472</v>
      </c>
      <c r="B473" s="16">
        <v>40564</v>
      </c>
      <c r="C473" s="15">
        <v>1</v>
      </c>
      <c r="D473" s="15">
        <v>0</v>
      </c>
      <c r="E473" s="15">
        <v>1</v>
      </c>
      <c r="F473" s="15">
        <v>16</v>
      </c>
      <c r="G473" s="17" t="b">
        <v>0</v>
      </c>
      <c r="H473" s="15">
        <v>5</v>
      </c>
      <c r="I473" s="15">
        <v>1</v>
      </c>
      <c r="J473" s="15">
        <v>0.16</v>
      </c>
      <c r="K473" s="14">
        <v>0.13639999999999999</v>
      </c>
      <c r="L473" s="14">
        <v>0.26</v>
      </c>
      <c r="M473" s="14">
        <v>0.35820000000000002</v>
      </c>
      <c r="N473" s="14">
        <v>0</v>
      </c>
      <c r="O473" s="14">
        <v>97</v>
      </c>
      <c r="P473" s="14">
        <v>97</v>
      </c>
    </row>
    <row r="474" spans="1:16" x14ac:dyDescent="0.3">
      <c r="A474" s="15">
        <v>473</v>
      </c>
      <c r="B474" s="16">
        <v>40564</v>
      </c>
      <c r="C474" s="15">
        <v>1</v>
      </c>
      <c r="D474" s="15">
        <v>0</v>
      </c>
      <c r="E474" s="15">
        <v>1</v>
      </c>
      <c r="F474" s="15">
        <v>17</v>
      </c>
      <c r="G474" s="17" t="b">
        <v>0</v>
      </c>
      <c r="H474" s="15">
        <v>5</v>
      </c>
      <c r="I474" s="15">
        <v>1</v>
      </c>
      <c r="J474" s="15">
        <v>0.14000000000000001</v>
      </c>
      <c r="K474" s="14">
        <v>0.1212</v>
      </c>
      <c r="L474" s="14">
        <v>0.28000000000000003</v>
      </c>
      <c r="M474" s="14">
        <v>0.35820000000000002</v>
      </c>
      <c r="N474" s="14">
        <v>10</v>
      </c>
      <c r="O474" s="14">
        <v>151</v>
      </c>
      <c r="P474" s="14">
        <v>161</v>
      </c>
    </row>
    <row r="475" spans="1:16" x14ac:dyDescent="0.3">
      <c r="A475" s="15">
        <v>474</v>
      </c>
      <c r="B475" s="16">
        <v>40564</v>
      </c>
      <c r="C475" s="15">
        <v>1</v>
      </c>
      <c r="D475" s="15">
        <v>0</v>
      </c>
      <c r="E475" s="15">
        <v>1</v>
      </c>
      <c r="F475" s="15">
        <v>18</v>
      </c>
      <c r="G475" s="17" t="b">
        <v>0</v>
      </c>
      <c r="H475" s="15">
        <v>5</v>
      </c>
      <c r="I475" s="15">
        <v>1</v>
      </c>
      <c r="J475" s="15">
        <v>0.12</v>
      </c>
      <c r="K475" s="14">
        <v>0.1212</v>
      </c>
      <c r="L475" s="14">
        <v>0.3</v>
      </c>
      <c r="M475" s="14">
        <v>0.25369999999999998</v>
      </c>
      <c r="N475" s="14">
        <v>1</v>
      </c>
      <c r="O475" s="14">
        <v>119</v>
      </c>
      <c r="P475" s="14">
        <v>120</v>
      </c>
    </row>
    <row r="476" spans="1:16" x14ac:dyDescent="0.3">
      <c r="A476" s="15">
        <v>475</v>
      </c>
      <c r="B476" s="16">
        <v>40564</v>
      </c>
      <c r="C476" s="15">
        <v>1</v>
      </c>
      <c r="D476" s="15">
        <v>0</v>
      </c>
      <c r="E476" s="15">
        <v>1</v>
      </c>
      <c r="F476" s="15">
        <v>19</v>
      </c>
      <c r="G476" s="17" t="b">
        <v>0</v>
      </c>
      <c r="H476" s="15">
        <v>5</v>
      </c>
      <c r="I476" s="15">
        <v>1</v>
      </c>
      <c r="J476" s="15">
        <v>0.12</v>
      </c>
      <c r="K476" s="14">
        <v>0.1061</v>
      </c>
      <c r="L476" s="14">
        <v>0.3</v>
      </c>
      <c r="M476" s="14">
        <v>0.32840000000000003</v>
      </c>
      <c r="N476" s="14">
        <v>3</v>
      </c>
      <c r="O476" s="14">
        <v>93</v>
      </c>
      <c r="P476" s="14">
        <v>96</v>
      </c>
    </row>
    <row r="477" spans="1:16" x14ac:dyDescent="0.3">
      <c r="A477" s="15">
        <v>476</v>
      </c>
      <c r="B477" s="16">
        <v>40564</v>
      </c>
      <c r="C477" s="15">
        <v>1</v>
      </c>
      <c r="D477" s="15">
        <v>0</v>
      </c>
      <c r="E477" s="15">
        <v>1</v>
      </c>
      <c r="F477" s="15">
        <v>20</v>
      </c>
      <c r="G477" s="17" t="b">
        <v>0</v>
      </c>
      <c r="H477" s="15">
        <v>5</v>
      </c>
      <c r="I477" s="15">
        <v>1</v>
      </c>
      <c r="J477" s="15">
        <v>0.1</v>
      </c>
      <c r="K477" s="14">
        <v>7.5800000000000006E-2</v>
      </c>
      <c r="L477" s="14">
        <v>0.33</v>
      </c>
      <c r="M477" s="14">
        <v>0.41789999999999999</v>
      </c>
      <c r="N477" s="14">
        <v>1</v>
      </c>
      <c r="O477" s="14">
        <v>52</v>
      </c>
      <c r="P477" s="14">
        <v>53</v>
      </c>
    </row>
    <row r="478" spans="1:16" x14ac:dyDescent="0.3">
      <c r="A478" s="15">
        <v>477</v>
      </c>
      <c r="B478" s="16">
        <v>40564</v>
      </c>
      <c r="C478" s="15">
        <v>1</v>
      </c>
      <c r="D478" s="15">
        <v>0</v>
      </c>
      <c r="E478" s="15">
        <v>1</v>
      </c>
      <c r="F478" s="15">
        <v>21</v>
      </c>
      <c r="G478" s="17" t="b">
        <v>0</v>
      </c>
      <c r="H478" s="15">
        <v>5</v>
      </c>
      <c r="I478" s="15">
        <v>1</v>
      </c>
      <c r="J478" s="15">
        <v>0.08</v>
      </c>
      <c r="K478" s="14">
        <v>7.5800000000000006E-2</v>
      </c>
      <c r="L478" s="14">
        <v>0.38</v>
      </c>
      <c r="M478" s="14">
        <v>0.28360000000000002</v>
      </c>
      <c r="N478" s="14">
        <v>0</v>
      </c>
      <c r="O478" s="14">
        <v>41</v>
      </c>
      <c r="P478" s="14">
        <v>41</v>
      </c>
    </row>
    <row r="479" spans="1:16" x14ac:dyDescent="0.3">
      <c r="A479" s="15">
        <v>478</v>
      </c>
      <c r="B479" s="16">
        <v>40564</v>
      </c>
      <c r="C479" s="15">
        <v>1</v>
      </c>
      <c r="D479" s="15">
        <v>0</v>
      </c>
      <c r="E479" s="15">
        <v>1</v>
      </c>
      <c r="F479" s="15">
        <v>22</v>
      </c>
      <c r="G479" s="17" t="b">
        <v>0</v>
      </c>
      <c r="H479" s="15">
        <v>5</v>
      </c>
      <c r="I479" s="15">
        <v>1</v>
      </c>
      <c r="J479" s="15">
        <v>0.06</v>
      </c>
      <c r="K479" s="14">
        <v>3.0300000000000001E-2</v>
      </c>
      <c r="L479" s="14">
        <v>0.41</v>
      </c>
      <c r="M479" s="14">
        <v>0.3881</v>
      </c>
      <c r="N479" s="14">
        <v>1</v>
      </c>
      <c r="O479" s="14">
        <v>33</v>
      </c>
      <c r="P479" s="14">
        <v>34</v>
      </c>
    </row>
    <row r="480" spans="1:16" x14ac:dyDescent="0.3">
      <c r="A480" s="15">
        <v>479</v>
      </c>
      <c r="B480" s="16">
        <v>40564</v>
      </c>
      <c r="C480" s="15">
        <v>1</v>
      </c>
      <c r="D480" s="15">
        <v>0</v>
      </c>
      <c r="E480" s="15">
        <v>1</v>
      </c>
      <c r="F480" s="15">
        <v>23</v>
      </c>
      <c r="G480" s="17" t="b">
        <v>0</v>
      </c>
      <c r="H480" s="15">
        <v>5</v>
      </c>
      <c r="I480" s="15">
        <v>1</v>
      </c>
      <c r="J480" s="15">
        <v>0.06</v>
      </c>
      <c r="K480" s="14">
        <v>4.5499999999999999E-2</v>
      </c>
      <c r="L480" s="14">
        <v>0.38</v>
      </c>
      <c r="M480" s="14">
        <v>0.32840000000000003</v>
      </c>
      <c r="N480" s="14">
        <v>0</v>
      </c>
      <c r="O480" s="14">
        <v>27</v>
      </c>
      <c r="P480" s="14">
        <v>27</v>
      </c>
    </row>
    <row r="481" spans="1:16" x14ac:dyDescent="0.3">
      <c r="A481" s="15">
        <v>480</v>
      </c>
      <c r="B481" s="16">
        <v>40565</v>
      </c>
      <c r="C481" s="15">
        <v>1</v>
      </c>
      <c r="D481" s="15">
        <v>0</v>
      </c>
      <c r="E481" s="15">
        <v>1</v>
      </c>
      <c r="F481" s="15">
        <v>0</v>
      </c>
      <c r="G481" s="17" t="b">
        <v>0</v>
      </c>
      <c r="H481" s="15">
        <v>6</v>
      </c>
      <c r="I481" s="15">
        <v>1</v>
      </c>
      <c r="J481" s="15">
        <v>0.04</v>
      </c>
      <c r="K481" s="14">
        <v>3.0300000000000001E-2</v>
      </c>
      <c r="L481" s="14">
        <v>0.45</v>
      </c>
      <c r="M481" s="14">
        <v>0.25369999999999998</v>
      </c>
      <c r="N481" s="14">
        <v>0</v>
      </c>
      <c r="O481" s="14">
        <v>13</v>
      </c>
      <c r="P481" s="14">
        <v>13</v>
      </c>
    </row>
    <row r="482" spans="1:16" x14ac:dyDescent="0.3">
      <c r="A482" s="15">
        <v>481</v>
      </c>
      <c r="B482" s="16">
        <v>40565</v>
      </c>
      <c r="C482" s="15">
        <v>1</v>
      </c>
      <c r="D482" s="15">
        <v>0</v>
      </c>
      <c r="E482" s="15">
        <v>1</v>
      </c>
      <c r="F482" s="15">
        <v>1</v>
      </c>
      <c r="G482" s="17" t="b">
        <v>0</v>
      </c>
      <c r="H482" s="15">
        <v>6</v>
      </c>
      <c r="I482" s="15">
        <v>2</v>
      </c>
      <c r="J482" s="15">
        <v>0.04</v>
      </c>
      <c r="K482" s="14">
        <v>0</v>
      </c>
      <c r="L482" s="14">
        <v>0.41</v>
      </c>
      <c r="M482" s="14">
        <v>0.3881</v>
      </c>
      <c r="N482" s="14">
        <v>3</v>
      </c>
      <c r="O482" s="14">
        <v>9</v>
      </c>
      <c r="P482" s="14">
        <v>12</v>
      </c>
    </row>
    <row r="483" spans="1:16" x14ac:dyDescent="0.3">
      <c r="A483" s="15">
        <v>482</v>
      </c>
      <c r="B483" s="16">
        <v>40565</v>
      </c>
      <c r="C483" s="15">
        <v>1</v>
      </c>
      <c r="D483" s="15">
        <v>0</v>
      </c>
      <c r="E483" s="15">
        <v>1</v>
      </c>
      <c r="F483" s="15">
        <v>2</v>
      </c>
      <c r="G483" s="17" t="b">
        <v>0</v>
      </c>
      <c r="H483" s="15">
        <v>6</v>
      </c>
      <c r="I483" s="15">
        <v>2</v>
      </c>
      <c r="J483" s="15">
        <v>0.04</v>
      </c>
      <c r="K483" s="14">
        <v>3.0300000000000001E-2</v>
      </c>
      <c r="L483" s="14">
        <v>0.41</v>
      </c>
      <c r="M483" s="14">
        <v>0.25369999999999998</v>
      </c>
      <c r="N483" s="14">
        <v>0</v>
      </c>
      <c r="O483" s="14">
        <v>11</v>
      </c>
      <c r="P483" s="14">
        <v>11</v>
      </c>
    </row>
    <row r="484" spans="1:16" x14ac:dyDescent="0.3">
      <c r="A484" s="15">
        <v>483</v>
      </c>
      <c r="B484" s="16">
        <v>40565</v>
      </c>
      <c r="C484" s="15">
        <v>1</v>
      </c>
      <c r="D484" s="15">
        <v>0</v>
      </c>
      <c r="E484" s="15">
        <v>1</v>
      </c>
      <c r="F484" s="15">
        <v>3</v>
      </c>
      <c r="G484" s="17" t="b">
        <v>0</v>
      </c>
      <c r="H484" s="15">
        <v>6</v>
      </c>
      <c r="I484" s="15">
        <v>2</v>
      </c>
      <c r="J484" s="15">
        <v>0.04</v>
      </c>
      <c r="K484" s="14">
        <v>3.0300000000000001E-2</v>
      </c>
      <c r="L484" s="14">
        <v>0.41</v>
      </c>
      <c r="M484" s="14">
        <v>0.28360000000000002</v>
      </c>
      <c r="N484" s="14">
        <v>1</v>
      </c>
      <c r="O484" s="14">
        <v>6</v>
      </c>
      <c r="P484" s="14">
        <v>7</v>
      </c>
    </row>
    <row r="485" spans="1:16" x14ac:dyDescent="0.3">
      <c r="A485" s="15">
        <v>484</v>
      </c>
      <c r="B485" s="16">
        <v>40565</v>
      </c>
      <c r="C485" s="15">
        <v>1</v>
      </c>
      <c r="D485" s="15">
        <v>0</v>
      </c>
      <c r="E485" s="15">
        <v>1</v>
      </c>
      <c r="F485" s="15">
        <v>4</v>
      </c>
      <c r="G485" s="17" t="b">
        <v>0</v>
      </c>
      <c r="H485" s="15">
        <v>6</v>
      </c>
      <c r="I485" s="15">
        <v>2</v>
      </c>
      <c r="J485" s="15">
        <v>0.02</v>
      </c>
      <c r="K485" s="14">
        <v>1.52E-2</v>
      </c>
      <c r="L485" s="14">
        <v>0.48</v>
      </c>
      <c r="M485" s="14">
        <v>0.29849999999999999</v>
      </c>
      <c r="N485" s="14">
        <v>0</v>
      </c>
      <c r="O485" s="14">
        <v>3</v>
      </c>
      <c r="P485" s="14">
        <v>3</v>
      </c>
    </row>
    <row r="486" spans="1:16" x14ac:dyDescent="0.3">
      <c r="A486" s="15">
        <v>485</v>
      </c>
      <c r="B486" s="16">
        <v>40565</v>
      </c>
      <c r="C486" s="15">
        <v>1</v>
      </c>
      <c r="D486" s="15">
        <v>0</v>
      </c>
      <c r="E486" s="15">
        <v>1</v>
      </c>
      <c r="F486" s="15">
        <v>6</v>
      </c>
      <c r="G486" s="17" t="b">
        <v>0</v>
      </c>
      <c r="H486" s="15">
        <v>6</v>
      </c>
      <c r="I486" s="15">
        <v>2</v>
      </c>
      <c r="J486" s="15">
        <v>0.02</v>
      </c>
      <c r="K486" s="14">
        <v>3.0300000000000001E-2</v>
      </c>
      <c r="L486" s="14">
        <v>0.44</v>
      </c>
      <c r="M486" s="14">
        <v>0.22389999999999999</v>
      </c>
      <c r="N486" s="14">
        <v>0</v>
      </c>
      <c r="O486" s="14">
        <v>2</v>
      </c>
      <c r="P486" s="14">
        <v>2</v>
      </c>
    </row>
    <row r="487" spans="1:16" x14ac:dyDescent="0.3">
      <c r="A487" s="15">
        <v>486</v>
      </c>
      <c r="B487" s="16">
        <v>40565</v>
      </c>
      <c r="C487" s="15">
        <v>1</v>
      </c>
      <c r="D487" s="15">
        <v>0</v>
      </c>
      <c r="E487" s="15">
        <v>1</v>
      </c>
      <c r="F487" s="15">
        <v>7</v>
      </c>
      <c r="G487" s="17" t="b">
        <v>0</v>
      </c>
      <c r="H487" s="15">
        <v>6</v>
      </c>
      <c r="I487" s="15">
        <v>1</v>
      </c>
      <c r="J487" s="15">
        <v>0.02</v>
      </c>
      <c r="K487" s="14">
        <v>1.52E-2</v>
      </c>
      <c r="L487" s="14">
        <v>0.44</v>
      </c>
      <c r="M487" s="14">
        <v>0.28360000000000002</v>
      </c>
      <c r="N487" s="14">
        <v>0</v>
      </c>
      <c r="O487" s="14">
        <v>8</v>
      </c>
      <c r="P487" s="14">
        <v>8</v>
      </c>
    </row>
    <row r="488" spans="1:16" x14ac:dyDescent="0.3">
      <c r="A488" s="15">
        <v>487</v>
      </c>
      <c r="B488" s="16">
        <v>40565</v>
      </c>
      <c r="C488" s="15">
        <v>1</v>
      </c>
      <c r="D488" s="15">
        <v>0</v>
      </c>
      <c r="E488" s="15">
        <v>1</v>
      </c>
      <c r="F488" s="15">
        <v>8</v>
      </c>
      <c r="G488" s="17" t="b">
        <v>0</v>
      </c>
      <c r="H488" s="15">
        <v>6</v>
      </c>
      <c r="I488" s="15">
        <v>1</v>
      </c>
      <c r="J488" s="15">
        <v>0.02</v>
      </c>
      <c r="K488" s="14">
        <v>0</v>
      </c>
      <c r="L488" s="14">
        <v>0.44</v>
      </c>
      <c r="M488" s="14">
        <v>0.32840000000000003</v>
      </c>
      <c r="N488" s="14">
        <v>1</v>
      </c>
      <c r="O488" s="14">
        <v>26</v>
      </c>
      <c r="P488" s="14">
        <v>27</v>
      </c>
    </row>
    <row r="489" spans="1:16" x14ac:dyDescent="0.3">
      <c r="A489" s="15">
        <v>488</v>
      </c>
      <c r="B489" s="16">
        <v>40565</v>
      </c>
      <c r="C489" s="15">
        <v>1</v>
      </c>
      <c r="D489" s="15">
        <v>0</v>
      </c>
      <c r="E489" s="15">
        <v>1</v>
      </c>
      <c r="F489" s="15">
        <v>9</v>
      </c>
      <c r="G489" s="17" t="b">
        <v>0</v>
      </c>
      <c r="H489" s="15">
        <v>6</v>
      </c>
      <c r="I489" s="15">
        <v>1</v>
      </c>
      <c r="J489" s="15">
        <v>0.04</v>
      </c>
      <c r="K489" s="14">
        <v>3.0300000000000001E-2</v>
      </c>
      <c r="L489" s="14">
        <v>0.41</v>
      </c>
      <c r="M489" s="14">
        <v>0.25369999999999998</v>
      </c>
      <c r="N489" s="14">
        <v>3</v>
      </c>
      <c r="O489" s="14">
        <v>37</v>
      </c>
      <c r="P489" s="14">
        <v>40</v>
      </c>
    </row>
    <row r="490" spans="1:16" x14ac:dyDescent="0.3">
      <c r="A490" s="15">
        <v>489</v>
      </c>
      <c r="B490" s="16">
        <v>40565</v>
      </c>
      <c r="C490" s="15">
        <v>1</v>
      </c>
      <c r="D490" s="15">
        <v>0</v>
      </c>
      <c r="E490" s="15">
        <v>1</v>
      </c>
      <c r="F490" s="15">
        <v>10</v>
      </c>
      <c r="G490" s="17" t="b">
        <v>0</v>
      </c>
      <c r="H490" s="15">
        <v>6</v>
      </c>
      <c r="I490" s="15">
        <v>2</v>
      </c>
      <c r="J490" s="15">
        <v>0.04</v>
      </c>
      <c r="K490" s="14">
        <v>6.0600000000000001E-2</v>
      </c>
      <c r="L490" s="14">
        <v>0.41</v>
      </c>
      <c r="M490" s="14">
        <v>0.16420000000000001</v>
      </c>
      <c r="N490" s="14">
        <v>3</v>
      </c>
      <c r="O490" s="14">
        <v>50</v>
      </c>
      <c r="P490" s="14">
        <v>53</v>
      </c>
    </row>
    <row r="491" spans="1:16" x14ac:dyDescent="0.3">
      <c r="A491" s="15">
        <v>490</v>
      </c>
      <c r="B491" s="16">
        <v>40565</v>
      </c>
      <c r="C491" s="15">
        <v>1</v>
      </c>
      <c r="D491" s="15">
        <v>0</v>
      </c>
      <c r="E491" s="15">
        <v>1</v>
      </c>
      <c r="F491" s="15">
        <v>11</v>
      </c>
      <c r="G491" s="17" t="b">
        <v>0</v>
      </c>
      <c r="H491" s="15">
        <v>6</v>
      </c>
      <c r="I491" s="15">
        <v>2</v>
      </c>
      <c r="J491" s="15">
        <v>0.06</v>
      </c>
      <c r="K491" s="14">
        <v>7.5800000000000006E-2</v>
      </c>
      <c r="L491" s="14">
        <v>0.38</v>
      </c>
      <c r="M491" s="14">
        <v>0.1343</v>
      </c>
      <c r="N491" s="14">
        <v>4</v>
      </c>
      <c r="O491" s="14">
        <v>59</v>
      </c>
      <c r="P491" s="14">
        <v>63</v>
      </c>
    </row>
    <row r="492" spans="1:16" x14ac:dyDescent="0.3">
      <c r="A492" s="15">
        <v>491</v>
      </c>
      <c r="B492" s="16">
        <v>40565</v>
      </c>
      <c r="C492" s="15">
        <v>1</v>
      </c>
      <c r="D492" s="15">
        <v>0</v>
      </c>
      <c r="E492" s="15">
        <v>1</v>
      </c>
      <c r="F492" s="15">
        <v>12</v>
      </c>
      <c r="G492" s="17" t="b">
        <v>0</v>
      </c>
      <c r="H492" s="15">
        <v>6</v>
      </c>
      <c r="I492" s="15">
        <v>2</v>
      </c>
      <c r="J492" s="15">
        <v>0.06</v>
      </c>
      <c r="K492" s="14">
        <v>0.1061</v>
      </c>
      <c r="L492" s="14">
        <v>0.38</v>
      </c>
      <c r="M492" s="14">
        <v>0.1045</v>
      </c>
      <c r="N492" s="14">
        <v>10</v>
      </c>
      <c r="O492" s="14">
        <v>60</v>
      </c>
      <c r="P492" s="14">
        <v>70</v>
      </c>
    </row>
    <row r="493" spans="1:16" x14ac:dyDescent="0.3">
      <c r="A493" s="15">
        <v>492</v>
      </c>
      <c r="B493" s="16">
        <v>40565</v>
      </c>
      <c r="C493" s="15">
        <v>1</v>
      </c>
      <c r="D493" s="15">
        <v>0</v>
      </c>
      <c r="E493" s="15">
        <v>1</v>
      </c>
      <c r="F493" s="15">
        <v>13</v>
      </c>
      <c r="G493" s="17" t="b">
        <v>0</v>
      </c>
      <c r="H493" s="15">
        <v>6</v>
      </c>
      <c r="I493" s="15">
        <v>1</v>
      </c>
      <c r="J493" s="15">
        <v>0.08</v>
      </c>
      <c r="K493" s="14">
        <v>0.16669999999999999</v>
      </c>
      <c r="L493" s="14">
        <v>0.35</v>
      </c>
      <c r="M493" s="14">
        <v>0</v>
      </c>
      <c r="N493" s="14">
        <v>12</v>
      </c>
      <c r="O493" s="14">
        <v>72</v>
      </c>
      <c r="P493" s="14">
        <v>84</v>
      </c>
    </row>
    <row r="494" spans="1:16" x14ac:dyDescent="0.3">
      <c r="A494" s="15">
        <v>493</v>
      </c>
      <c r="B494" s="16">
        <v>40565</v>
      </c>
      <c r="C494" s="15">
        <v>1</v>
      </c>
      <c r="D494" s="15">
        <v>0</v>
      </c>
      <c r="E494" s="15">
        <v>1</v>
      </c>
      <c r="F494" s="15">
        <v>14</v>
      </c>
      <c r="G494" s="17" t="b">
        <v>0</v>
      </c>
      <c r="H494" s="15">
        <v>6</v>
      </c>
      <c r="I494" s="15">
        <v>1</v>
      </c>
      <c r="J494" s="15">
        <v>0.1</v>
      </c>
      <c r="K494" s="14">
        <v>0.13639999999999999</v>
      </c>
      <c r="L494" s="14">
        <v>0.33</v>
      </c>
      <c r="M494" s="14">
        <v>0.1045</v>
      </c>
      <c r="N494" s="14">
        <v>11</v>
      </c>
      <c r="O494" s="14">
        <v>64</v>
      </c>
      <c r="P494" s="14">
        <v>75</v>
      </c>
    </row>
    <row r="495" spans="1:16" x14ac:dyDescent="0.3">
      <c r="A495" s="15">
        <v>494</v>
      </c>
      <c r="B495" s="16">
        <v>40565</v>
      </c>
      <c r="C495" s="15">
        <v>1</v>
      </c>
      <c r="D495" s="15">
        <v>0</v>
      </c>
      <c r="E495" s="15">
        <v>1</v>
      </c>
      <c r="F495" s="15">
        <v>15</v>
      </c>
      <c r="G495" s="17" t="b">
        <v>0</v>
      </c>
      <c r="H495" s="15">
        <v>6</v>
      </c>
      <c r="I495" s="15">
        <v>1</v>
      </c>
      <c r="J495" s="15">
        <v>0.12</v>
      </c>
      <c r="K495" s="14">
        <v>0.1515</v>
      </c>
      <c r="L495" s="14">
        <v>0.28000000000000003</v>
      </c>
      <c r="M495" s="14">
        <v>0</v>
      </c>
      <c r="N495" s="14">
        <v>10</v>
      </c>
      <c r="O495" s="14">
        <v>93</v>
      </c>
      <c r="P495" s="14">
        <v>103</v>
      </c>
    </row>
    <row r="496" spans="1:16" x14ac:dyDescent="0.3">
      <c r="A496" s="15">
        <v>495</v>
      </c>
      <c r="B496" s="16">
        <v>40565</v>
      </c>
      <c r="C496" s="15">
        <v>1</v>
      </c>
      <c r="D496" s="15">
        <v>0</v>
      </c>
      <c r="E496" s="15">
        <v>1</v>
      </c>
      <c r="F496" s="15">
        <v>16</v>
      </c>
      <c r="G496" s="17" t="b">
        <v>0</v>
      </c>
      <c r="H496" s="15">
        <v>6</v>
      </c>
      <c r="I496" s="15">
        <v>1</v>
      </c>
      <c r="J496" s="15">
        <v>0.12</v>
      </c>
      <c r="K496" s="14">
        <v>0.13639999999999999</v>
      </c>
      <c r="L496" s="14">
        <v>0.28000000000000003</v>
      </c>
      <c r="M496" s="14">
        <v>0.19400000000000001</v>
      </c>
      <c r="N496" s="14">
        <v>11</v>
      </c>
      <c r="O496" s="14">
        <v>72</v>
      </c>
      <c r="P496" s="14">
        <v>83</v>
      </c>
    </row>
    <row r="497" spans="1:16" x14ac:dyDescent="0.3">
      <c r="A497" s="15">
        <v>496</v>
      </c>
      <c r="B497" s="16">
        <v>40565</v>
      </c>
      <c r="C497" s="15">
        <v>1</v>
      </c>
      <c r="D497" s="15">
        <v>0</v>
      </c>
      <c r="E497" s="15">
        <v>1</v>
      </c>
      <c r="F497" s="15">
        <v>17</v>
      </c>
      <c r="G497" s="17" t="b">
        <v>0</v>
      </c>
      <c r="H497" s="15">
        <v>6</v>
      </c>
      <c r="I497" s="15">
        <v>1</v>
      </c>
      <c r="J497" s="15">
        <v>0.12</v>
      </c>
      <c r="K497" s="14">
        <v>0.19700000000000001</v>
      </c>
      <c r="L497" s="14">
        <v>0.28000000000000003</v>
      </c>
      <c r="M497" s="14">
        <v>0</v>
      </c>
      <c r="N497" s="14">
        <v>8</v>
      </c>
      <c r="O497" s="14">
        <v>59</v>
      </c>
      <c r="P497" s="14">
        <v>67</v>
      </c>
    </row>
    <row r="498" spans="1:16" x14ac:dyDescent="0.3">
      <c r="A498" s="15">
        <v>497</v>
      </c>
      <c r="B498" s="16">
        <v>40565</v>
      </c>
      <c r="C498" s="15">
        <v>1</v>
      </c>
      <c r="D498" s="15">
        <v>0</v>
      </c>
      <c r="E498" s="15">
        <v>1</v>
      </c>
      <c r="F498" s="15">
        <v>18</v>
      </c>
      <c r="G498" s="17" t="b">
        <v>0</v>
      </c>
      <c r="H498" s="15">
        <v>6</v>
      </c>
      <c r="I498" s="15">
        <v>1</v>
      </c>
      <c r="J498" s="15">
        <v>0.08</v>
      </c>
      <c r="K498" s="14">
        <v>9.0899999999999995E-2</v>
      </c>
      <c r="L498" s="14">
        <v>0.35</v>
      </c>
      <c r="M498" s="14">
        <v>0.19400000000000001</v>
      </c>
      <c r="N498" s="14">
        <v>0</v>
      </c>
      <c r="O498" s="14">
        <v>54</v>
      </c>
      <c r="P498" s="14">
        <v>54</v>
      </c>
    </row>
    <row r="499" spans="1:16" x14ac:dyDescent="0.3">
      <c r="A499" s="15">
        <v>498</v>
      </c>
      <c r="B499" s="16">
        <v>40565</v>
      </c>
      <c r="C499" s="15">
        <v>1</v>
      </c>
      <c r="D499" s="15">
        <v>0</v>
      </c>
      <c r="E499" s="15">
        <v>1</v>
      </c>
      <c r="F499" s="15">
        <v>19</v>
      </c>
      <c r="G499" s="17" t="b">
        <v>0</v>
      </c>
      <c r="H499" s="15">
        <v>6</v>
      </c>
      <c r="I499" s="15">
        <v>1</v>
      </c>
      <c r="J499" s="15">
        <v>0.08</v>
      </c>
      <c r="K499" s="14">
        <v>0.1061</v>
      </c>
      <c r="L499" s="14">
        <v>0.35</v>
      </c>
      <c r="M499" s="14">
        <v>0.1343</v>
      </c>
      <c r="N499" s="14">
        <v>6</v>
      </c>
      <c r="O499" s="14">
        <v>53</v>
      </c>
      <c r="P499" s="14">
        <v>59</v>
      </c>
    </row>
    <row r="500" spans="1:16" x14ac:dyDescent="0.3">
      <c r="A500" s="15">
        <v>499</v>
      </c>
      <c r="B500" s="16">
        <v>40565</v>
      </c>
      <c r="C500" s="15">
        <v>1</v>
      </c>
      <c r="D500" s="15">
        <v>0</v>
      </c>
      <c r="E500" s="15">
        <v>1</v>
      </c>
      <c r="F500" s="15">
        <v>20</v>
      </c>
      <c r="G500" s="17" t="b">
        <v>0</v>
      </c>
      <c r="H500" s="15">
        <v>6</v>
      </c>
      <c r="I500" s="15">
        <v>1</v>
      </c>
      <c r="J500" s="15">
        <v>0.06</v>
      </c>
      <c r="K500" s="14">
        <v>7.5800000000000006E-2</v>
      </c>
      <c r="L500" s="14">
        <v>0.45</v>
      </c>
      <c r="M500" s="14">
        <v>0.16420000000000001</v>
      </c>
      <c r="N500" s="14">
        <v>1</v>
      </c>
      <c r="O500" s="14">
        <v>44</v>
      </c>
      <c r="P500" s="14">
        <v>45</v>
      </c>
    </row>
    <row r="501" spans="1:16" x14ac:dyDescent="0.3">
      <c r="A501" s="15">
        <v>500</v>
      </c>
      <c r="B501" s="16">
        <v>40565</v>
      </c>
      <c r="C501" s="15">
        <v>1</v>
      </c>
      <c r="D501" s="15">
        <v>0</v>
      </c>
      <c r="E501" s="15">
        <v>1</v>
      </c>
      <c r="F501" s="15">
        <v>21</v>
      </c>
      <c r="G501" s="17" t="b">
        <v>0</v>
      </c>
      <c r="H501" s="15">
        <v>6</v>
      </c>
      <c r="I501" s="15">
        <v>1</v>
      </c>
      <c r="J501" s="15">
        <v>0.06</v>
      </c>
      <c r="K501" s="14">
        <v>0.1061</v>
      </c>
      <c r="L501" s="14">
        <v>0.41</v>
      </c>
      <c r="M501" s="14">
        <v>8.9599999999999999E-2</v>
      </c>
      <c r="N501" s="14">
        <v>0</v>
      </c>
      <c r="O501" s="14">
        <v>39</v>
      </c>
      <c r="P501" s="14">
        <v>39</v>
      </c>
    </row>
    <row r="502" spans="1:16" x14ac:dyDescent="0.3">
      <c r="A502" s="15">
        <v>501</v>
      </c>
      <c r="B502" s="16">
        <v>40565</v>
      </c>
      <c r="C502" s="15">
        <v>1</v>
      </c>
      <c r="D502" s="15">
        <v>0</v>
      </c>
      <c r="E502" s="15">
        <v>1</v>
      </c>
      <c r="F502" s="15">
        <v>22</v>
      </c>
      <c r="G502" s="17" t="b">
        <v>0</v>
      </c>
      <c r="H502" s="15">
        <v>6</v>
      </c>
      <c r="I502" s="15">
        <v>1</v>
      </c>
      <c r="J502" s="15">
        <v>0.06</v>
      </c>
      <c r="K502" s="14">
        <v>0.1515</v>
      </c>
      <c r="L502" s="14">
        <v>0.49</v>
      </c>
      <c r="M502" s="14">
        <v>0</v>
      </c>
      <c r="N502" s="14">
        <v>7</v>
      </c>
      <c r="O502" s="14">
        <v>23</v>
      </c>
      <c r="P502" s="14">
        <v>30</v>
      </c>
    </row>
    <row r="503" spans="1:16" x14ac:dyDescent="0.3">
      <c r="A503" s="15">
        <v>502</v>
      </c>
      <c r="B503" s="16">
        <v>40565</v>
      </c>
      <c r="C503" s="15">
        <v>1</v>
      </c>
      <c r="D503" s="15">
        <v>0</v>
      </c>
      <c r="E503" s="15">
        <v>1</v>
      </c>
      <c r="F503" s="15">
        <v>23</v>
      </c>
      <c r="G503" s="17" t="b">
        <v>0</v>
      </c>
      <c r="H503" s="15">
        <v>6</v>
      </c>
      <c r="I503" s="15">
        <v>1</v>
      </c>
      <c r="J503" s="15">
        <v>0.04</v>
      </c>
      <c r="K503" s="14">
        <v>7.5800000000000006E-2</v>
      </c>
      <c r="L503" s="14">
        <v>0.56999999999999995</v>
      </c>
      <c r="M503" s="14">
        <v>0.1045</v>
      </c>
      <c r="N503" s="14">
        <v>2</v>
      </c>
      <c r="O503" s="14">
        <v>31</v>
      </c>
      <c r="P503" s="14">
        <v>33</v>
      </c>
    </row>
    <row r="504" spans="1:16" x14ac:dyDescent="0.3">
      <c r="A504" s="15">
        <v>503</v>
      </c>
      <c r="B504" s="16">
        <v>40566</v>
      </c>
      <c r="C504" s="15">
        <v>1</v>
      </c>
      <c r="D504" s="15">
        <v>0</v>
      </c>
      <c r="E504" s="15">
        <v>1</v>
      </c>
      <c r="F504" s="15">
        <v>0</v>
      </c>
      <c r="G504" s="17" t="b">
        <v>0</v>
      </c>
      <c r="H504" s="15">
        <v>0</v>
      </c>
      <c r="I504" s="15">
        <v>1</v>
      </c>
      <c r="J504" s="15">
        <v>0.04</v>
      </c>
      <c r="K504" s="14">
        <v>7.5800000000000006E-2</v>
      </c>
      <c r="L504" s="14">
        <v>0.56999999999999995</v>
      </c>
      <c r="M504" s="14">
        <v>0.1045</v>
      </c>
      <c r="N504" s="14">
        <v>2</v>
      </c>
      <c r="O504" s="14">
        <v>20</v>
      </c>
      <c r="P504" s="14">
        <v>22</v>
      </c>
    </row>
    <row r="505" spans="1:16" x14ac:dyDescent="0.3">
      <c r="A505" s="15">
        <v>504</v>
      </c>
      <c r="B505" s="16">
        <v>40566</v>
      </c>
      <c r="C505" s="15">
        <v>1</v>
      </c>
      <c r="D505" s="15">
        <v>0</v>
      </c>
      <c r="E505" s="15">
        <v>1</v>
      </c>
      <c r="F505" s="15">
        <v>1</v>
      </c>
      <c r="G505" s="17" t="b">
        <v>0</v>
      </c>
      <c r="H505" s="15">
        <v>0</v>
      </c>
      <c r="I505" s="15">
        <v>1</v>
      </c>
      <c r="J505" s="15">
        <v>0.04</v>
      </c>
      <c r="K505" s="14">
        <v>7.5800000000000006E-2</v>
      </c>
      <c r="L505" s="14">
        <v>0.56999999999999995</v>
      </c>
      <c r="M505" s="14">
        <v>0.1045</v>
      </c>
      <c r="N505" s="14">
        <v>1</v>
      </c>
      <c r="O505" s="14">
        <v>12</v>
      </c>
      <c r="P505" s="14">
        <v>13</v>
      </c>
    </row>
    <row r="506" spans="1:16" x14ac:dyDescent="0.3">
      <c r="A506" s="15">
        <v>505</v>
      </c>
      <c r="B506" s="16">
        <v>40566</v>
      </c>
      <c r="C506" s="15">
        <v>1</v>
      </c>
      <c r="D506" s="15">
        <v>0</v>
      </c>
      <c r="E506" s="15">
        <v>1</v>
      </c>
      <c r="F506" s="15">
        <v>2</v>
      </c>
      <c r="G506" s="17" t="b">
        <v>0</v>
      </c>
      <c r="H506" s="15">
        <v>0</v>
      </c>
      <c r="I506" s="15">
        <v>1</v>
      </c>
      <c r="J506" s="15">
        <v>0.02</v>
      </c>
      <c r="K506" s="14">
        <v>6.0600000000000001E-2</v>
      </c>
      <c r="L506" s="14">
        <v>0.62</v>
      </c>
      <c r="M506" s="14">
        <v>0.1343</v>
      </c>
      <c r="N506" s="14">
        <v>3</v>
      </c>
      <c r="O506" s="14">
        <v>15</v>
      </c>
      <c r="P506" s="14">
        <v>18</v>
      </c>
    </row>
    <row r="507" spans="1:16" x14ac:dyDescent="0.3">
      <c r="A507" s="15">
        <v>506</v>
      </c>
      <c r="B507" s="16">
        <v>40566</v>
      </c>
      <c r="C507" s="15">
        <v>1</v>
      </c>
      <c r="D507" s="15">
        <v>0</v>
      </c>
      <c r="E507" s="15">
        <v>1</v>
      </c>
      <c r="F507" s="15">
        <v>3</v>
      </c>
      <c r="G507" s="17" t="b">
        <v>0</v>
      </c>
      <c r="H507" s="15">
        <v>0</v>
      </c>
      <c r="I507" s="15">
        <v>1</v>
      </c>
      <c r="J507" s="15">
        <v>0.02</v>
      </c>
      <c r="K507" s="14">
        <v>6.0600000000000001E-2</v>
      </c>
      <c r="L507" s="14">
        <v>0.62</v>
      </c>
      <c r="M507" s="14">
        <v>0.1343</v>
      </c>
      <c r="N507" s="14">
        <v>1</v>
      </c>
      <c r="O507" s="14">
        <v>4</v>
      </c>
      <c r="P507" s="14">
        <v>5</v>
      </c>
    </row>
    <row r="508" spans="1:16" x14ac:dyDescent="0.3">
      <c r="A508" s="15">
        <v>507</v>
      </c>
      <c r="B508" s="16">
        <v>40566</v>
      </c>
      <c r="C508" s="15">
        <v>1</v>
      </c>
      <c r="D508" s="15">
        <v>0</v>
      </c>
      <c r="E508" s="15">
        <v>1</v>
      </c>
      <c r="F508" s="15">
        <v>5</v>
      </c>
      <c r="G508" s="17" t="b">
        <v>0</v>
      </c>
      <c r="H508" s="15">
        <v>0</v>
      </c>
      <c r="I508" s="15">
        <v>2</v>
      </c>
      <c r="J508" s="15">
        <v>0.04</v>
      </c>
      <c r="K508" s="14">
        <v>7.5800000000000006E-2</v>
      </c>
      <c r="L508" s="14">
        <v>0.56999999999999995</v>
      </c>
      <c r="M508" s="14">
        <v>0.1045</v>
      </c>
      <c r="N508" s="14">
        <v>0</v>
      </c>
      <c r="O508" s="14">
        <v>3</v>
      </c>
      <c r="P508" s="14">
        <v>3</v>
      </c>
    </row>
    <row r="509" spans="1:16" x14ac:dyDescent="0.3">
      <c r="A509" s="15">
        <v>508</v>
      </c>
      <c r="B509" s="16">
        <v>40566</v>
      </c>
      <c r="C509" s="15">
        <v>1</v>
      </c>
      <c r="D509" s="15">
        <v>0</v>
      </c>
      <c r="E509" s="15">
        <v>1</v>
      </c>
      <c r="F509" s="15">
        <v>6</v>
      </c>
      <c r="G509" s="17" t="b">
        <v>0</v>
      </c>
      <c r="H509" s="15">
        <v>0</v>
      </c>
      <c r="I509" s="15">
        <v>2</v>
      </c>
      <c r="J509" s="15">
        <v>0.04</v>
      </c>
      <c r="K509" s="14">
        <v>7.5800000000000006E-2</v>
      </c>
      <c r="L509" s="14">
        <v>0.56999999999999995</v>
      </c>
      <c r="M509" s="14">
        <v>0.1045</v>
      </c>
      <c r="N509" s="14">
        <v>0</v>
      </c>
      <c r="O509" s="14">
        <v>1</v>
      </c>
      <c r="P509" s="14">
        <v>1</v>
      </c>
    </row>
    <row r="510" spans="1:16" x14ac:dyDescent="0.3">
      <c r="A510" s="15">
        <v>509</v>
      </c>
      <c r="B510" s="16">
        <v>40566</v>
      </c>
      <c r="C510" s="15">
        <v>1</v>
      </c>
      <c r="D510" s="15">
        <v>0</v>
      </c>
      <c r="E510" s="15">
        <v>1</v>
      </c>
      <c r="F510" s="15">
        <v>7</v>
      </c>
      <c r="G510" s="17" t="b">
        <v>0</v>
      </c>
      <c r="H510" s="15">
        <v>0</v>
      </c>
      <c r="I510" s="15">
        <v>1</v>
      </c>
      <c r="J510" s="15">
        <v>0.08</v>
      </c>
      <c r="K510" s="14">
        <v>0.1061</v>
      </c>
      <c r="L510" s="14">
        <v>0.57999999999999996</v>
      </c>
      <c r="M510" s="14">
        <v>0.16420000000000001</v>
      </c>
      <c r="N510" s="14">
        <v>1</v>
      </c>
      <c r="O510" s="14">
        <v>1</v>
      </c>
      <c r="P510" s="14">
        <v>2</v>
      </c>
    </row>
    <row r="511" spans="1:16" x14ac:dyDescent="0.3">
      <c r="A511" s="15">
        <v>510</v>
      </c>
      <c r="B511" s="16">
        <v>40566</v>
      </c>
      <c r="C511" s="15">
        <v>1</v>
      </c>
      <c r="D511" s="15">
        <v>0</v>
      </c>
      <c r="E511" s="15">
        <v>1</v>
      </c>
      <c r="F511" s="15">
        <v>8</v>
      </c>
      <c r="G511" s="17" t="b">
        <v>0</v>
      </c>
      <c r="H511" s="15">
        <v>0</v>
      </c>
      <c r="I511" s="15">
        <v>1</v>
      </c>
      <c r="J511" s="15">
        <v>0.06</v>
      </c>
      <c r="K511" s="14">
        <v>7.5800000000000006E-2</v>
      </c>
      <c r="L511" s="14">
        <v>0.62</v>
      </c>
      <c r="M511" s="14">
        <v>0.16420000000000001</v>
      </c>
      <c r="N511" s="14">
        <v>2</v>
      </c>
      <c r="O511" s="14">
        <v>17</v>
      </c>
      <c r="P511" s="14">
        <v>19</v>
      </c>
    </row>
    <row r="512" spans="1:16" x14ac:dyDescent="0.3">
      <c r="A512" s="15">
        <v>511</v>
      </c>
      <c r="B512" s="16">
        <v>40566</v>
      </c>
      <c r="C512" s="15">
        <v>1</v>
      </c>
      <c r="D512" s="15">
        <v>0</v>
      </c>
      <c r="E512" s="15">
        <v>1</v>
      </c>
      <c r="F512" s="15">
        <v>9</v>
      </c>
      <c r="G512" s="17" t="b">
        <v>0</v>
      </c>
      <c r="H512" s="15">
        <v>0</v>
      </c>
      <c r="I512" s="15">
        <v>1</v>
      </c>
      <c r="J512" s="15">
        <v>0.1</v>
      </c>
      <c r="K512" s="14">
        <v>7.5800000000000006E-2</v>
      </c>
      <c r="L512" s="14">
        <v>0.54</v>
      </c>
      <c r="M512" s="14">
        <v>0.35820000000000002</v>
      </c>
      <c r="N512" s="14">
        <v>3</v>
      </c>
      <c r="O512" s="14">
        <v>25</v>
      </c>
      <c r="P512" s="14">
        <v>28</v>
      </c>
    </row>
    <row r="513" spans="1:16" x14ac:dyDescent="0.3">
      <c r="A513" s="15">
        <v>512</v>
      </c>
      <c r="B513" s="16">
        <v>40566</v>
      </c>
      <c r="C513" s="15">
        <v>1</v>
      </c>
      <c r="D513" s="15">
        <v>0</v>
      </c>
      <c r="E513" s="15">
        <v>1</v>
      </c>
      <c r="F513" s="15">
        <v>10</v>
      </c>
      <c r="G513" s="17" t="b">
        <v>0</v>
      </c>
      <c r="H513" s="15">
        <v>0</v>
      </c>
      <c r="I513" s="15">
        <v>1</v>
      </c>
      <c r="J513" s="15">
        <v>0.14000000000000001</v>
      </c>
      <c r="K513" s="14">
        <v>0.1061</v>
      </c>
      <c r="L513" s="14">
        <v>0.46</v>
      </c>
      <c r="M513" s="14">
        <v>0.3881</v>
      </c>
      <c r="N513" s="14">
        <v>7</v>
      </c>
      <c r="O513" s="14">
        <v>51</v>
      </c>
      <c r="P513" s="14">
        <v>58</v>
      </c>
    </row>
    <row r="514" spans="1:16" x14ac:dyDescent="0.3">
      <c r="A514" s="15">
        <v>513</v>
      </c>
      <c r="B514" s="16">
        <v>40566</v>
      </c>
      <c r="C514" s="15">
        <v>1</v>
      </c>
      <c r="D514" s="15">
        <v>0</v>
      </c>
      <c r="E514" s="15">
        <v>1</v>
      </c>
      <c r="F514" s="15">
        <v>11</v>
      </c>
      <c r="G514" s="17" t="b">
        <v>0</v>
      </c>
      <c r="H514" s="15">
        <v>0</v>
      </c>
      <c r="I514" s="15">
        <v>1</v>
      </c>
      <c r="J514" s="15">
        <v>0.14000000000000001</v>
      </c>
      <c r="K514" s="14">
        <v>0.13639999999999999</v>
      </c>
      <c r="L514" s="14">
        <v>0.43</v>
      </c>
      <c r="M514" s="14">
        <v>0.22389999999999999</v>
      </c>
      <c r="N514" s="14">
        <v>22</v>
      </c>
      <c r="O514" s="14">
        <v>77</v>
      </c>
      <c r="P514" s="14">
        <v>99</v>
      </c>
    </row>
    <row r="515" spans="1:16" x14ac:dyDescent="0.3">
      <c r="A515" s="15">
        <v>514</v>
      </c>
      <c r="B515" s="16">
        <v>40566</v>
      </c>
      <c r="C515" s="15">
        <v>1</v>
      </c>
      <c r="D515" s="15">
        <v>0</v>
      </c>
      <c r="E515" s="15">
        <v>1</v>
      </c>
      <c r="F515" s="15">
        <v>12</v>
      </c>
      <c r="G515" s="17" t="b">
        <v>0</v>
      </c>
      <c r="H515" s="15">
        <v>0</v>
      </c>
      <c r="I515" s="15">
        <v>1</v>
      </c>
      <c r="J515" s="15">
        <v>0.16</v>
      </c>
      <c r="K515" s="14">
        <v>0.1212</v>
      </c>
      <c r="L515" s="14">
        <v>0.37</v>
      </c>
      <c r="M515" s="14">
        <v>0.4627</v>
      </c>
      <c r="N515" s="14">
        <v>24</v>
      </c>
      <c r="O515" s="14">
        <v>92</v>
      </c>
      <c r="P515" s="14">
        <v>116</v>
      </c>
    </row>
    <row r="516" spans="1:16" x14ac:dyDescent="0.3">
      <c r="A516" s="15">
        <v>515</v>
      </c>
      <c r="B516" s="16">
        <v>40566</v>
      </c>
      <c r="C516" s="15">
        <v>1</v>
      </c>
      <c r="D516" s="15">
        <v>0</v>
      </c>
      <c r="E516" s="15">
        <v>1</v>
      </c>
      <c r="F516" s="15">
        <v>13</v>
      </c>
      <c r="G516" s="17" t="b">
        <v>0</v>
      </c>
      <c r="H516" s="15">
        <v>0</v>
      </c>
      <c r="I516" s="15">
        <v>1</v>
      </c>
      <c r="J516" s="15">
        <v>0.14000000000000001</v>
      </c>
      <c r="K516" s="14">
        <v>0.1061</v>
      </c>
      <c r="L516" s="14">
        <v>0.33</v>
      </c>
      <c r="M516" s="14">
        <v>0.3881</v>
      </c>
      <c r="N516" s="14">
        <v>12</v>
      </c>
      <c r="O516" s="14">
        <v>75</v>
      </c>
      <c r="P516" s="14">
        <v>87</v>
      </c>
    </row>
    <row r="517" spans="1:16" x14ac:dyDescent="0.3">
      <c r="A517" s="15">
        <v>516</v>
      </c>
      <c r="B517" s="16">
        <v>40566</v>
      </c>
      <c r="C517" s="15">
        <v>1</v>
      </c>
      <c r="D517" s="15">
        <v>0</v>
      </c>
      <c r="E517" s="15">
        <v>1</v>
      </c>
      <c r="F517" s="15">
        <v>14</v>
      </c>
      <c r="G517" s="17" t="b">
        <v>0</v>
      </c>
      <c r="H517" s="15">
        <v>0</v>
      </c>
      <c r="I517" s="15">
        <v>1</v>
      </c>
      <c r="J517" s="15">
        <v>0.16</v>
      </c>
      <c r="K517" s="14">
        <v>0.13639999999999999</v>
      </c>
      <c r="L517" s="14">
        <v>0.28000000000000003</v>
      </c>
      <c r="M517" s="14">
        <v>0.35820000000000002</v>
      </c>
      <c r="N517" s="14">
        <v>17</v>
      </c>
      <c r="O517" s="14">
        <v>93</v>
      </c>
      <c r="P517" s="14">
        <v>110</v>
      </c>
    </row>
    <row r="518" spans="1:16" x14ac:dyDescent="0.3">
      <c r="A518" s="15">
        <v>517</v>
      </c>
      <c r="B518" s="16">
        <v>40566</v>
      </c>
      <c r="C518" s="15">
        <v>1</v>
      </c>
      <c r="D518" s="15">
        <v>0</v>
      </c>
      <c r="E518" s="15">
        <v>1</v>
      </c>
      <c r="F518" s="15">
        <v>15</v>
      </c>
      <c r="G518" s="17" t="b">
        <v>0</v>
      </c>
      <c r="H518" s="15">
        <v>0</v>
      </c>
      <c r="I518" s="15">
        <v>1</v>
      </c>
      <c r="J518" s="15">
        <v>0.16</v>
      </c>
      <c r="K518" s="14">
        <v>0.13639999999999999</v>
      </c>
      <c r="L518" s="14">
        <v>0.28000000000000003</v>
      </c>
      <c r="M518" s="14">
        <v>0.35820000000000002</v>
      </c>
      <c r="N518" s="14">
        <v>13</v>
      </c>
      <c r="O518" s="14">
        <v>64</v>
      </c>
      <c r="P518" s="14">
        <v>77</v>
      </c>
    </row>
    <row r="519" spans="1:16" x14ac:dyDescent="0.3">
      <c r="A519" s="15">
        <v>518</v>
      </c>
      <c r="B519" s="16">
        <v>40566</v>
      </c>
      <c r="C519" s="15">
        <v>1</v>
      </c>
      <c r="D519" s="15">
        <v>0</v>
      </c>
      <c r="E519" s="15">
        <v>1</v>
      </c>
      <c r="F519" s="15">
        <v>16</v>
      </c>
      <c r="G519" s="17" t="b">
        <v>0</v>
      </c>
      <c r="H519" s="15">
        <v>0</v>
      </c>
      <c r="I519" s="15">
        <v>1</v>
      </c>
      <c r="J519" s="15">
        <v>0.16</v>
      </c>
      <c r="K519" s="14">
        <v>0.13639999999999999</v>
      </c>
      <c r="L519" s="14">
        <v>0.26</v>
      </c>
      <c r="M519" s="14">
        <v>0.32840000000000003</v>
      </c>
      <c r="N519" s="14">
        <v>9</v>
      </c>
      <c r="O519" s="14">
        <v>56</v>
      </c>
      <c r="P519" s="14">
        <v>65</v>
      </c>
    </row>
    <row r="520" spans="1:16" x14ac:dyDescent="0.3">
      <c r="A520" s="15">
        <v>519</v>
      </c>
      <c r="B520" s="16">
        <v>40566</v>
      </c>
      <c r="C520" s="15">
        <v>1</v>
      </c>
      <c r="D520" s="15">
        <v>0</v>
      </c>
      <c r="E520" s="15">
        <v>1</v>
      </c>
      <c r="F520" s="15">
        <v>17</v>
      </c>
      <c r="G520" s="17" t="b">
        <v>0</v>
      </c>
      <c r="H520" s="15">
        <v>0</v>
      </c>
      <c r="I520" s="15">
        <v>1</v>
      </c>
      <c r="J520" s="15">
        <v>0.14000000000000001</v>
      </c>
      <c r="K520" s="14">
        <v>0.1061</v>
      </c>
      <c r="L520" s="14">
        <v>0.26</v>
      </c>
      <c r="M520" s="14">
        <v>0.3881</v>
      </c>
      <c r="N520" s="14">
        <v>5</v>
      </c>
      <c r="O520" s="14">
        <v>50</v>
      </c>
      <c r="P520" s="14">
        <v>55</v>
      </c>
    </row>
    <row r="521" spans="1:16" x14ac:dyDescent="0.3">
      <c r="A521" s="15">
        <v>520</v>
      </c>
      <c r="B521" s="16">
        <v>40566</v>
      </c>
      <c r="C521" s="15">
        <v>1</v>
      </c>
      <c r="D521" s="15">
        <v>0</v>
      </c>
      <c r="E521" s="15">
        <v>1</v>
      </c>
      <c r="F521" s="15">
        <v>18</v>
      </c>
      <c r="G521" s="17" t="b">
        <v>0</v>
      </c>
      <c r="H521" s="15">
        <v>0</v>
      </c>
      <c r="I521" s="15">
        <v>1</v>
      </c>
      <c r="J521" s="15">
        <v>0.12</v>
      </c>
      <c r="K521" s="14">
        <v>0.1212</v>
      </c>
      <c r="L521" s="14">
        <v>0.3</v>
      </c>
      <c r="M521" s="14">
        <v>0.25369999999999998</v>
      </c>
      <c r="N521" s="14">
        <v>5</v>
      </c>
      <c r="O521" s="14">
        <v>44</v>
      </c>
      <c r="P521" s="14">
        <v>49</v>
      </c>
    </row>
    <row r="522" spans="1:16" x14ac:dyDescent="0.3">
      <c r="A522" s="15">
        <v>521</v>
      </c>
      <c r="B522" s="16">
        <v>40566</v>
      </c>
      <c r="C522" s="15">
        <v>1</v>
      </c>
      <c r="D522" s="15">
        <v>0</v>
      </c>
      <c r="E522" s="15">
        <v>1</v>
      </c>
      <c r="F522" s="15">
        <v>19</v>
      </c>
      <c r="G522" s="17" t="b">
        <v>0</v>
      </c>
      <c r="H522" s="15">
        <v>0</v>
      </c>
      <c r="I522" s="15">
        <v>1</v>
      </c>
      <c r="J522" s="15">
        <v>0.12</v>
      </c>
      <c r="K522" s="14">
        <v>0.1212</v>
      </c>
      <c r="L522" s="14">
        <v>0.3</v>
      </c>
      <c r="M522" s="14">
        <v>0.28360000000000002</v>
      </c>
      <c r="N522" s="14">
        <v>5</v>
      </c>
      <c r="O522" s="14">
        <v>45</v>
      </c>
      <c r="P522" s="14">
        <v>50</v>
      </c>
    </row>
    <row r="523" spans="1:16" x14ac:dyDescent="0.3">
      <c r="A523" s="15">
        <v>522</v>
      </c>
      <c r="B523" s="16">
        <v>40566</v>
      </c>
      <c r="C523" s="15">
        <v>1</v>
      </c>
      <c r="D523" s="15">
        <v>0</v>
      </c>
      <c r="E523" s="15">
        <v>1</v>
      </c>
      <c r="F523" s="15">
        <v>20</v>
      </c>
      <c r="G523" s="17" t="b">
        <v>0</v>
      </c>
      <c r="H523" s="15">
        <v>0</v>
      </c>
      <c r="I523" s="15">
        <v>1</v>
      </c>
      <c r="J523" s="15">
        <v>0.1</v>
      </c>
      <c r="K523" s="14">
        <v>0.1061</v>
      </c>
      <c r="L523" s="14">
        <v>0.36</v>
      </c>
      <c r="M523" s="14">
        <v>0.25369999999999998</v>
      </c>
      <c r="N523" s="14">
        <v>4</v>
      </c>
      <c r="O523" s="14">
        <v>31</v>
      </c>
      <c r="P523" s="14">
        <v>35</v>
      </c>
    </row>
    <row r="524" spans="1:16" x14ac:dyDescent="0.3">
      <c r="A524" s="15">
        <v>523</v>
      </c>
      <c r="B524" s="16">
        <v>40566</v>
      </c>
      <c r="C524" s="15">
        <v>1</v>
      </c>
      <c r="D524" s="15">
        <v>0</v>
      </c>
      <c r="E524" s="15">
        <v>1</v>
      </c>
      <c r="F524" s="15">
        <v>21</v>
      </c>
      <c r="G524" s="17" t="b">
        <v>0</v>
      </c>
      <c r="H524" s="15">
        <v>0</v>
      </c>
      <c r="I524" s="15">
        <v>1</v>
      </c>
      <c r="J524" s="15">
        <v>0.1</v>
      </c>
      <c r="K524" s="14">
        <v>0.1061</v>
      </c>
      <c r="L524" s="14">
        <v>0.36</v>
      </c>
      <c r="M524" s="14">
        <v>0.19400000000000001</v>
      </c>
      <c r="N524" s="14">
        <v>5</v>
      </c>
      <c r="O524" s="14">
        <v>20</v>
      </c>
      <c r="P524" s="14">
        <v>25</v>
      </c>
    </row>
    <row r="525" spans="1:16" x14ac:dyDescent="0.3">
      <c r="A525" s="15">
        <v>524</v>
      </c>
      <c r="B525" s="16">
        <v>40566</v>
      </c>
      <c r="C525" s="15">
        <v>1</v>
      </c>
      <c r="D525" s="15">
        <v>0</v>
      </c>
      <c r="E525" s="15">
        <v>1</v>
      </c>
      <c r="F525" s="15">
        <v>22</v>
      </c>
      <c r="G525" s="17" t="b">
        <v>0</v>
      </c>
      <c r="H525" s="15">
        <v>0</v>
      </c>
      <c r="I525" s="15">
        <v>1</v>
      </c>
      <c r="J525" s="15">
        <v>0.08</v>
      </c>
      <c r="K525" s="14">
        <v>9.0899999999999995E-2</v>
      </c>
      <c r="L525" s="14">
        <v>0.38</v>
      </c>
      <c r="M525" s="14">
        <v>0.19400000000000001</v>
      </c>
      <c r="N525" s="14">
        <v>5</v>
      </c>
      <c r="O525" s="14">
        <v>23</v>
      </c>
      <c r="P525" s="14">
        <v>28</v>
      </c>
    </row>
    <row r="526" spans="1:16" x14ac:dyDescent="0.3">
      <c r="A526" s="15">
        <v>525</v>
      </c>
      <c r="B526" s="16">
        <v>40566</v>
      </c>
      <c r="C526" s="15">
        <v>1</v>
      </c>
      <c r="D526" s="15">
        <v>0</v>
      </c>
      <c r="E526" s="15">
        <v>1</v>
      </c>
      <c r="F526" s="15">
        <v>23</v>
      </c>
      <c r="G526" s="17" t="b">
        <v>0</v>
      </c>
      <c r="H526" s="15">
        <v>0</v>
      </c>
      <c r="I526" s="15">
        <v>1</v>
      </c>
      <c r="J526" s="15">
        <v>0.06</v>
      </c>
      <c r="K526" s="14">
        <v>6.0600000000000001E-2</v>
      </c>
      <c r="L526" s="14">
        <v>0.41</v>
      </c>
      <c r="M526" s="14">
        <v>0.22389999999999999</v>
      </c>
      <c r="N526" s="14">
        <v>4</v>
      </c>
      <c r="O526" s="14">
        <v>17</v>
      </c>
      <c r="P526" s="14">
        <v>21</v>
      </c>
    </row>
    <row r="527" spans="1:16" x14ac:dyDescent="0.3">
      <c r="A527" s="15">
        <v>526</v>
      </c>
      <c r="B527" s="16">
        <v>40567</v>
      </c>
      <c r="C527" s="15">
        <v>1</v>
      </c>
      <c r="D527" s="15">
        <v>0</v>
      </c>
      <c r="E527" s="15">
        <v>1</v>
      </c>
      <c r="F527" s="15">
        <v>0</v>
      </c>
      <c r="G527" s="17" t="b">
        <v>0</v>
      </c>
      <c r="H527" s="15">
        <v>1</v>
      </c>
      <c r="I527" s="15">
        <v>1</v>
      </c>
      <c r="J527" s="15">
        <v>0.06</v>
      </c>
      <c r="K527" s="14">
        <v>6.0600000000000001E-2</v>
      </c>
      <c r="L527" s="14">
        <v>0.41</v>
      </c>
      <c r="M527" s="14">
        <v>0.19400000000000001</v>
      </c>
      <c r="N527" s="14">
        <v>0</v>
      </c>
      <c r="O527" s="14">
        <v>7</v>
      </c>
      <c r="P527" s="14">
        <v>7</v>
      </c>
    </row>
    <row r="528" spans="1:16" x14ac:dyDescent="0.3">
      <c r="A528" s="15">
        <v>527</v>
      </c>
      <c r="B528" s="16">
        <v>40567</v>
      </c>
      <c r="C528" s="15">
        <v>1</v>
      </c>
      <c r="D528" s="15">
        <v>0</v>
      </c>
      <c r="E528" s="15">
        <v>1</v>
      </c>
      <c r="F528" s="15">
        <v>1</v>
      </c>
      <c r="G528" s="17" t="b">
        <v>0</v>
      </c>
      <c r="H528" s="15">
        <v>1</v>
      </c>
      <c r="I528" s="15">
        <v>1</v>
      </c>
      <c r="J528" s="15">
        <v>0.04</v>
      </c>
      <c r="K528" s="14">
        <v>4.5499999999999999E-2</v>
      </c>
      <c r="L528" s="14">
        <v>0.45</v>
      </c>
      <c r="M528" s="14">
        <v>0.19400000000000001</v>
      </c>
      <c r="N528" s="14">
        <v>0</v>
      </c>
      <c r="O528" s="14">
        <v>1</v>
      </c>
      <c r="P528" s="14">
        <v>1</v>
      </c>
    </row>
    <row r="529" spans="1:16" x14ac:dyDescent="0.3">
      <c r="A529" s="15">
        <v>528</v>
      </c>
      <c r="B529" s="16">
        <v>40567</v>
      </c>
      <c r="C529" s="15">
        <v>1</v>
      </c>
      <c r="D529" s="15">
        <v>0</v>
      </c>
      <c r="E529" s="15">
        <v>1</v>
      </c>
      <c r="F529" s="15">
        <v>3</v>
      </c>
      <c r="G529" s="17" t="b">
        <v>0</v>
      </c>
      <c r="H529" s="15">
        <v>1</v>
      </c>
      <c r="I529" s="15">
        <v>1</v>
      </c>
      <c r="J529" s="15">
        <v>0.04</v>
      </c>
      <c r="K529" s="14">
        <v>3.0300000000000001E-2</v>
      </c>
      <c r="L529" s="14">
        <v>0.45</v>
      </c>
      <c r="M529" s="14">
        <v>0.25369999999999998</v>
      </c>
      <c r="N529" s="14">
        <v>0</v>
      </c>
      <c r="O529" s="14">
        <v>1</v>
      </c>
      <c r="P529" s="14">
        <v>1</v>
      </c>
    </row>
    <row r="530" spans="1:16" x14ac:dyDescent="0.3">
      <c r="A530" s="15">
        <v>529</v>
      </c>
      <c r="B530" s="16">
        <v>40567</v>
      </c>
      <c r="C530" s="15">
        <v>1</v>
      </c>
      <c r="D530" s="15">
        <v>0</v>
      </c>
      <c r="E530" s="15">
        <v>1</v>
      </c>
      <c r="F530" s="15">
        <v>4</v>
      </c>
      <c r="G530" s="17" t="b">
        <v>0</v>
      </c>
      <c r="H530" s="15">
        <v>1</v>
      </c>
      <c r="I530" s="15">
        <v>1</v>
      </c>
      <c r="J530" s="15">
        <v>0.02</v>
      </c>
      <c r="K530" s="14">
        <v>6.0600000000000001E-2</v>
      </c>
      <c r="L530" s="14">
        <v>0.48</v>
      </c>
      <c r="M530" s="14">
        <v>0.1343</v>
      </c>
      <c r="N530" s="14">
        <v>0</v>
      </c>
      <c r="O530" s="14">
        <v>1</v>
      </c>
      <c r="P530" s="14">
        <v>1</v>
      </c>
    </row>
    <row r="531" spans="1:16" x14ac:dyDescent="0.3">
      <c r="A531" s="15">
        <v>530</v>
      </c>
      <c r="B531" s="16">
        <v>40567</v>
      </c>
      <c r="C531" s="15">
        <v>1</v>
      </c>
      <c r="D531" s="15">
        <v>0</v>
      </c>
      <c r="E531" s="15">
        <v>1</v>
      </c>
      <c r="F531" s="15">
        <v>5</v>
      </c>
      <c r="G531" s="17" t="b">
        <v>0</v>
      </c>
      <c r="H531" s="15">
        <v>1</v>
      </c>
      <c r="I531" s="15">
        <v>1</v>
      </c>
      <c r="J531" s="15">
        <v>0.02</v>
      </c>
      <c r="K531" s="14">
        <v>6.0600000000000001E-2</v>
      </c>
      <c r="L531" s="14">
        <v>0.48</v>
      </c>
      <c r="M531" s="14">
        <v>0.1343</v>
      </c>
      <c r="N531" s="14">
        <v>0</v>
      </c>
      <c r="O531" s="14">
        <v>5</v>
      </c>
      <c r="P531" s="14">
        <v>5</v>
      </c>
    </row>
    <row r="532" spans="1:16" x14ac:dyDescent="0.3">
      <c r="A532" s="15">
        <v>531</v>
      </c>
      <c r="B532" s="16">
        <v>40567</v>
      </c>
      <c r="C532" s="15">
        <v>1</v>
      </c>
      <c r="D532" s="15">
        <v>0</v>
      </c>
      <c r="E532" s="15">
        <v>1</v>
      </c>
      <c r="F532" s="15">
        <v>6</v>
      </c>
      <c r="G532" s="17" t="b">
        <v>0</v>
      </c>
      <c r="H532" s="15">
        <v>1</v>
      </c>
      <c r="I532" s="15">
        <v>1</v>
      </c>
      <c r="J532" s="15">
        <v>0.02</v>
      </c>
      <c r="K532" s="14">
        <v>7.5800000000000006E-2</v>
      </c>
      <c r="L532" s="14">
        <v>0.48</v>
      </c>
      <c r="M532" s="14">
        <v>8.9599999999999999E-2</v>
      </c>
      <c r="N532" s="14">
        <v>0</v>
      </c>
      <c r="O532" s="14">
        <v>15</v>
      </c>
      <c r="P532" s="14">
        <v>15</v>
      </c>
    </row>
    <row r="533" spans="1:16" x14ac:dyDescent="0.3">
      <c r="A533" s="15">
        <v>532</v>
      </c>
      <c r="B533" s="16">
        <v>40567</v>
      </c>
      <c r="C533" s="15">
        <v>1</v>
      </c>
      <c r="D533" s="15">
        <v>0</v>
      </c>
      <c r="E533" s="15">
        <v>1</v>
      </c>
      <c r="F533" s="15">
        <v>7</v>
      </c>
      <c r="G533" s="17" t="b">
        <v>0</v>
      </c>
      <c r="H533" s="15">
        <v>1</v>
      </c>
      <c r="I533" s="15">
        <v>1</v>
      </c>
      <c r="J533" s="15">
        <v>0.02</v>
      </c>
      <c r="K533" s="14">
        <v>0.1212</v>
      </c>
      <c r="L533" s="14">
        <v>0.48</v>
      </c>
      <c r="M533" s="14">
        <v>0</v>
      </c>
      <c r="N533" s="14">
        <v>5</v>
      </c>
      <c r="O533" s="14">
        <v>79</v>
      </c>
      <c r="P533" s="14">
        <v>84</v>
      </c>
    </row>
    <row r="534" spans="1:16" x14ac:dyDescent="0.3">
      <c r="A534" s="15">
        <v>533</v>
      </c>
      <c r="B534" s="16">
        <v>40567</v>
      </c>
      <c r="C534" s="15">
        <v>1</v>
      </c>
      <c r="D534" s="15">
        <v>0</v>
      </c>
      <c r="E534" s="15">
        <v>1</v>
      </c>
      <c r="F534" s="15">
        <v>8</v>
      </c>
      <c r="G534" s="17" t="b">
        <v>0</v>
      </c>
      <c r="H534" s="15">
        <v>1</v>
      </c>
      <c r="I534" s="15">
        <v>1</v>
      </c>
      <c r="J534" s="15">
        <v>0.04</v>
      </c>
      <c r="K534" s="14">
        <v>0.13639999999999999</v>
      </c>
      <c r="L534" s="14">
        <v>0.49</v>
      </c>
      <c r="M534" s="14">
        <v>0</v>
      </c>
      <c r="N534" s="14">
        <v>6</v>
      </c>
      <c r="O534" s="14">
        <v>171</v>
      </c>
      <c r="P534" s="14">
        <v>177</v>
      </c>
    </row>
    <row r="535" spans="1:16" x14ac:dyDescent="0.3">
      <c r="A535" s="15">
        <v>534</v>
      </c>
      <c r="B535" s="16">
        <v>40567</v>
      </c>
      <c r="C535" s="15">
        <v>1</v>
      </c>
      <c r="D535" s="15">
        <v>0</v>
      </c>
      <c r="E535" s="15">
        <v>1</v>
      </c>
      <c r="F535" s="15">
        <v>9</v>
      </c>
      <c r="G535" s="17" t="b">
        <v>0</v>
      </c>
      <c r="H535" s="15">
        <v>1</v>
      </c>
      <c r="I535" s="15">
        <v>1</v>
      </c>
      <c r="J535" s="15">
        <v>0.06</v>
      </c>
      <c r="K535" s="14">
        <v>0.1515</v>
      </c>
      <c r="L535" s="14">
        <v>0.41</v>
      </c>
      <c r="M535" s="14">
        <v>0</v>
      </c>
      <c r="N535" s="14">
        <v>4</v>
      </c>
      <c r="O535" s="14">
        <v>98</v>
      </c>
      <c r="P535" s="14">
        <v>102</v>
      </c>
    </row>
    <row r="536" spans="1:16" x14ac:dyDescent="0.3">
      <c r="A536" s="15">
        <v>535</v>
      </c>
      <c r="B536" s="16">
        <v>40567</v>
      </c>
      <c r="C536" s="15">
        <v>1</v>
      </c>
      <c r="D536" s="15">
        <v>0</v>
      </c>
      <c r="E536" s="15">
        <v>1</v>
      </c>
      <c r="F536" s="15">
        <v>10</v>
      </c>
      <c r="G536" s="17" t="b">
        <v>0</v>
      </c>
      <c r="H536" s="15">
        <v>1</v>
      </c>
      <c r="I536" s="15">
        <v>1</v>
      </c>
      <c r="J536" s="15">
        <v>0.1</v>
      </c>
      <c r="K536" s="14">
        <v>0.13639999999999999</v>
      </c>
      <c r="L536" s="14">
        <v>0.42</v>
      </c>
      <c r="M536" s="14">
        <v>0</v>
      </c>
      <c r="N536" s="14">
        <v>6</v>
      </c>
      <c r="O536" s="14">
        <v>34</v>
      </c>
      <c r="P536" s="14">
        <v>40</v>
      </c>
    </row>
    <row r="537" spans="1:16" x14ac:dyDescent="0.3">
      <c r="A537" s="15">
        <v>536</v>
      </c>
      <c r="B537" s="16">
        <v>40567</v>
      </c>
      <c r="C537" s="15">
        <v>1</v>
      </c>
      <c r="D537" s="15">
        <v>0</v>
      </c>
      <c r="E537" s="15">
        <v>1</v>
      </c>
      <c r="F537" s="15">
        <v>11</v>
      </c>
      <c r="G537" s="17" t="b">
        <v>0</v>
      </c>
      <c r="H537" s="15">
        <v>1</v>
      </c>
      <c r="I537" s="15">
        <v>1</v>
      </c>
      <c r="J537" s="15">
        <v>0.1</v>
      </c>
      <c r="K537" s="14">
        <v>0.1212</v>
      </c>
      <c r="L537" s="14">
        <v>0.46</v>
      </c>
      <c r="M537" s="14">
        <v>0.1343</v>
      </c>
      <c r="N537" s="14">
        <v>3</v>
      </c>
      <c r="O537" s="14">
        <v>43</v>
      </c>
      <c r="P537" s="14">
        <v>46</v>
      </c>
    </row>
    <row r="538" spans="1:16" x14ac:dyDescent="0.3">
      <c r="A538" s="15">
        <v>537</v>
      </c>
      <c r="B538" s="16">
        <v>40567</v>
      </c>
      <c r="C538" s="15">
        <v>1</v>
      </c>
      <c r="D538" s="15">
        <v>0</v>
      </c>
      <c r="E538" s="15">
        <v>1</v>
      </c>
      <c r="F538" s="15">
        <v>12</v>
      </c>
      <c r="G538" s="17" t="b">
        <v>0</v>
      </c>
      <c r="H538" s="15">
        <v>1</v>
      </c>
      <c r="I538" s="15">
        <v>2</v>
      </c>
      <c r="J538" s="15">
        <v>0.12</v>
      </c>
      <c r="K538" s="14">
        <v>0.13639999999999999</v>
      </c>
      <c r="L538" s="14">
        <v>0.42</v>
      </c>
      <c r="M538" s="14">
        <v>0.19400000000000001</v>
      </c>
      <c r="N538" s="14">
        <v>11</v>
      </c>
      <c r="O538" s="14">
        <v>52</v>
      </c>
      <c r="P538" s="14">
        <v>63</v>
      </c>
    </row>
    <row r="539" spans="1:16" x14ac:dyDescent="0.3">
      <c r="A539" s="15">
        <v>538</v>
      </c>
      <c r="B539" s="16">
        <v>40567</v>
      </c>
      <c r="C539" s="15">
        <v>1</v>
      </c>
      <c r="D539" s="15">
        <v>0</v>
      </c>
      <c r="E539" s="15">
        <v>1</v>
      </c>
      <c r="F539" s="15">
        <v>13</v>
      </c>
      <c r="G539" s="17" t="b">
        <v>0</v>
      </c>
      <c r="H539" s="15">
        <v>1</v>
      </c>
      <c r="I539" s="15">
        <v>2</v>
      </c>
      <c r="J539" s="15">
        <v>0.14000000000000001</v>
      </c>
      <c r="K539" s="14">
        <v>0.13639999999999999</v>
      </c>
      <c r="L539" s="14">
        <v>0.43</v>
      </c>
      <c r="M539" s="14">
        <v>0.22389999999999999</v>
      </c>
      <c r="N539" s="14">
        <v>6</v>
      </c>
      <c r="O539" s="14">
        <v>54</v>
      </c>
      <c r="P539" s="14">
        <v>60</v>
      </c>
    </row>
    <row r="540" spans="1:16" x14ac:dyDescent="0.3">
      <c r="A540" s="15">
        <v>539</v>
      </c>
      <c r="B540" s="16">
        <v>40567</v>
      </c>
      <c r="C540" s="15">
        <v>1</v>
      </c>
      <c r="D540" s="15">
        <v>0</v>
      </c>
      <c r="E540" s="15">
        <v>1</v>
      </c>
      <c r="F540" s="15">
        <v>14</v>
      </c>
      <c r="G540" s="17" t="b">
        <v>0</v>
      </c>
      <c r="H540" s="15">
        <v>1</v>
      </c>
      <c r="I540" s="15">
        <v>2</v>
      </c>
      <c r="J540" s="15">
        <v>0.14000000000000001</v>
      </c>
      <c r="K540" s="14">
        <v>0.13639999999999999</v>
      </c>
      <c r="L540" s="14">
        <v>0.46</v>
      </c>
      <c r="M540" s="14">
        <v>0.22389999999999999</v>
      </c>
      <c r="N540" s="14">
        <v>2</v>
      </c>
      <c r="O540" s="14">
        <v>43</v>
      </c>
      <c r="P540" s="14">
        <v>45</v>
      </c>
    </row>
    <row r="541" spans="1:16" x14ac:dyDescent="0.3">
      <c r="A541" s="15">
        <v>540</v>
      </c>
      <c r="B541" s="16">
        <v>40567</v>
      </c>
      <c r="C541" s="15">
        <v>1</v>
      </c>
      <c r="D541" s="15">
        <v>0</v>
      </c>
      <c r="E541" s="15">
        <v>1</v>
      </c>
      <c r="F541" s="15">
        <v>15</v>
      </c>
      <c r="G541" s="17" t="b">
        <v>0</v>
      </c>
      <c r="H541" s="15">
        <v>1</v>
      </c>
      <c r="I541" s="15">
        <v>1</v>
      </c>
      <c r="J541" s="15">
        <v>0.16</v>
      </c>
      <c r="K541" s="14">
        <v>0.16669999999999999</v>
      </c>
      <c r="L541" s="14">
        <v>0.4</v>
      </c>
      <c r="M541" s="14">
        <v>0.16420000000000001</v>
      </c>
      <c r="N541" s="14">
        <v>7</v>
      </c>
      <c r="O541" s="14">
        <v>50</v>
      </c>
      <c r="P541" s="14">
        <v>57</v>
      </c>
    </row>
    <row r="542" spans="1:16" x14ac:dyDescent="0.3">
      <c r="A542" s="15">
        <v>541</v>
      </c>
      <c r="B542" s="16">
        <v>40567</v>
      </c>
      <c r="C542" s="15">
        <v>1</v>
      </c>
      <c r="D542" s="15">
        <v>0</v>
      </c>
      <c r="E542" s="15">
        <v>1</v>
      </c>
      <c r="F542" s="15">
        <v>16</v>
      </c>
      <c r="G542" s="17" t="b">
        <v>0</v>
      </c>
      <c r="H542" s="15">
        <v>1</v>
      </c>
      <c r="I542" s="15">
        <v>1</v>
      </c>
      <c r="J542" s="15">
        <v>0.16</v>
      </c>
      <c r="K542" s="14">
        <v>0.1515</v>
      </c>
      <c r="L542" s="14">
        <v>0.47</v>
      </c>
      <c r="M542" s="14">
        <v>0.25369999999999998</v>
      </c>
      <c r="N542" s="14">
        <v>4</v>
      </c>
      <c r="O542" s="14">
        <v>66</v>
      </c>
      <c r="P542" s="14">
        <v>70</v>
      </c>
    </row>
    <row r="543" spans="1:16" x14ac:dyDescent="0.3">
      <c r="A543" s="15">
        <v>542</v>
      </c>
      <c r="B543" s="16">
        <v>40567</v>
      </c>
      <c r="C543" s="15">
        <v>1</v>
      </c>
      <c r="D543" s="15">
        <v>0</v>
      </c>
      <c r="E543" s="15">
        <v>1</v>
      </c>
      <c r="F543" s="15">
        <v>17</v>
      </c>
      <c r="G543" s="17" t="b">
        <v>0</v>
      </c>
      <c r="H543" s="15">
        <v>1</v>
      </c>
      <c r="I543" s="15">
        <v>1</v>
      </c>
      <c r="J543" s="15">
        <v>0.14000000000000001</v>
      </c>
      <c r="K543" s="14">
        <v>0.1212</v>
      </c>
      <c r="L543" s="14">
        <v>0.5</v>
      </c>
      <c r="M543" s="14">
        <v>0.25369999999999998</v>
      </c>
      <c r="N543" s="14">
        <v>6</v>
      </c>
      <c r="O543" s="14">
        <v>178</v>
      </c>
      <c r="P543" s="14">
        <v>184</v>
      </c>
    </row>
    <row r="544" spans="1:16" x14ac:dyDescent="0.3">
      <c r="A544" s="15">
        <v>543</v>
      </c>
      <c r="B544" s="16">
        <v>40567</v>
      </c>
      <c r="C544" s="15">
        <v>1</v>
      </c>
      <c r="D544" s="15">
        <v>0</v>
      </c>
      <c r="E544" s="15">
        <v>1</v>
      </c>
      <c r="F544" s="15">
        <v>18</v>
      </c>
      <c r="G544" s="17" t="b">
        <v>0</v>
      </c>
      <c r="H544" s="15">
        <v>1</v>
      </c>
      <c r="I544" s="15">
        <v>1</v>
      </c>
      <c r="J544" s="15">
        <v>0.14000000000000001</v>
      </c>
      <c r="K544" s="14">
        <v>0.13639999999999999</v>
      </c>
      <c r="L544" s="14">
        <v>0.59</v>
      </c>
      <c r="M544" s="14">
        <v>0.19400000000000001</v>
      </c>
      <c r="N544" s="14">
        <v>8</v>
      </c>
      <c r="O544" s="14">
        <v>145</v>
      </c>
      <c r="P544" s="14">
        <v>153</v>
      </c>
    </row>
    <row r="545" spans="1:16" x14ac:dyDescent="0.3">
      <c r="A545" s="15">
        <v>544</v>
      </c>
      <c r="B545" s="16">
        <v>40567</v>
      </c>
      <c r="C545" s="15">
        <v>1</v>
      </c>
      <c r="D545" s="15">
        <v>0</v>
      </c>
      <c r="E545" s="15">
        <v>1</v>
      </c>
      <c r="F545" s="15">
        <v>19</v>
      </c>
      <c r="G545" s="17" t="b">
        <v>0</v>
      </c>
      <c r="H545" s="15">
        <v>1</v>
      </c>
      <c r="I545" s="15">
        <v>1</v>
      </c>
      <c r="J545" s="15">
        <v>0.14000000000000001</v>
      </c>
      <c r="K545" s="14">
        <v>0.1515</v>
      </c>
      <c r="L545" s="14">
        <v>0.54</v>
      </c>
      <c r="M545" s="14">
        <v>0.16420000000000001</v>
      </c>
      <c r="N545" s="14">
        <v>5</v>
      </c>
      <c r="O545" s="14">
        <v>101</v>
      </c>
      <c r="P545" s="14">
        <v>106</v>
      </c>
    </row>
    <row r="546" spans="1:16" x14ac:dyDescent="0.3">
      <c r="A546" s="15">
        <v>545</v>
      </c>
      <c r="B546" s="16">
        <v>40567</v>
      </c>
      <c r="C546" s="15">
        <v>1</v>
      </c>
      <c r="D546" s="15">
        <v>0</v>
      </c>
      <c r="E546" s="15">
        <v>1</v>
      </c>
      <c r="F546" s="15">
        <v>20</v>
      </c>
      <c r="G546" s="17" t="b">
        <v>0</v>
      </c>
      <c r="H546" s="15">
        <v>1</v>
      </c>
      <c r="I546" s="15">
        <v>1</v>
      </c>
      <c r="J546" s="15">
        <v>0.14000000000000001</v>
      </c>
      <c r="K546" s="14">
        <v>0.13639999999999999</v>
      </c>
      <c r="L546" s="14">
        <v>0.59</v>
      </c>
      <c r="M546" s="14">
        <v>0.19400000000000001</v>
      </c>
      <c r="N546" s="14">
        <v>1</v>
      </c>
      <c r="O546" s="14">
        <v>80</v>
      </c>
      <c r="P546" s="14">
        <v>81</v>
      </c>
    </row>
    <row r="547" spans="1:16" x14ac:dyDescent="0.3">
      <c r="A547" s="15">
        <v>546</v>
      </c>
      <c r="B547" s="16">
        <v>40567</v>
      </c>
      <c r="C547" s="15">
        <v>1</v>
      </c>
      <c r="D547" s="15">
        <v>0</v>
      </c>
      <c r="E547" s="15">
        <v>1</v>
      </c>
      <c r="F547" s="15">
        <v>21</v>
      </c>
      <c r="G547" s="17" t="b">
        <v>0</v>
      </c>
      <c r="H547" s="15">
        <v>1</v>
      </c>
      <c r="I547" s="15">
        <v>1</v>
      </c>
      <c r="J547" s="15">
        <v>0.14000000000000001</v>
      </c>
      <c r="K547" s="14">
        <v>0.1515</v>
      </c>
      <c r="L547" s="14">
        <v>0.63</v>
      </c>
      <c r="M547" s="14">
        <v>0.16420000000000001</v>
      </c>
      <c r="N547" s="14">
        <v>6</v>
      </c>
      <c r="O547" s="14">
        <v>53</v>
      </c>
      <c r="P547" s="14">
        <v>59</v>
      </c>
    </row>
    <row r="548" spans="1:16" x14ac:dyDescent="0.3">
      <c r="A548" s="15">
        <v>547</v>
      </c>
      <c r="B548" s="16">
        <v>40567</v>
      </c>
      <c r="C548" s="15">
        <v>1</v>
      </c>
      <c r="D548" s="15">
        <v>0</v>
      </c>
      <c r="E548" s="15">
        <v>1</v>
      </c>
      <c r="F548" s="15">
        <v>22</v>
      </c>
      <c r="G548" s="17" t="b">
        <v>0</v>
      </c>
      <c r="H548" s="15">
        <v>1</v>
      </c>
      <c r="I548" s="15">
        <v>2</v>
      </c>
      <c r="J548" s="15">
        <v>0.14000000000000001</v>
      </c>
      <c r="K548" s="14">
        <v>0.13639999999999999</v>
      </c>
      <c r="L548" s="14">
        <v>0.63</v>
      </c>
      <c r="M548" s="14">
        <v>0.22389999999999999</v>
      </c>
      <c r="N548" s="14">
        <v>3</v>
      </c>
      <c r="O548" s="14">
        <v>32</v>
      </c>
      <c r="P548" s="14">
        <v>35</v>
      </c>
    </row>
    <row r="549" spans="1:16" x14ac:dyDescent="0.3">
      <c r="A549" s="15">
        <v>548</v>
      </c>
      <c r="B549" s="16">
        <v>40567</v>
      </c>
      <c r="C549" s="15">
        <v>1</v>
      </c>
      <c r="D549" s="15">
        <v>0</v>
      </c>
      <c r="E549" s="15">
        <v>1</v>
      </c>
      <c r="F549" s="15">
        <v>23</v>
      </c>
      <c r="G549" s="17" t="b">
        <v>0</v>
      </c>
      <c r="H549" s="15">
        <v>1</v>
      </c>
      <c r="I549" s="15">
        <v>2</v>
      </c>
      <c r="J549" s="15">
        <v>0.16</v>
      </c>
      <c r="K549" s="14">
        <v>0.1515</v>
      </c>
      <c r="L549" s="14">
        <v>0.64</v>
      </c>
      <c r="M549" s="14">
        <v>0.25369999999999998</v>
      </c>
      <c r="N549" s="14">
        <v>3</v>
      </c>
      <c r="O549" s="14">
        <v>21</v>
      </c>
      <c r="P549" s="14">
        <v>24</v>
      </c>
    </row>
    <row r="550" spans="1:16" x14ac:dyDescent="0.3">
      <c r="A550" s="15">
        <v>549</v>
      </c>
      <c r="B550" s="16">
        <v>40568</v>
      </c>
      <c r="C550" s="15">
        <v>1</v>
      </c>
      <c r="D550" s="15">
        <v>0</v>
      </c>
      <c r="E550" s="15">
        <v>1</v>
      </c>
      <c r="F550" s="15">
        <v>0</v>
      </c>
      <c r="G550" s="17" t="b">
        <v>0</v>
      </c>
      <c r="H550" s="15">
        <v>2</v>
      </c>
      <c r="I550" s="15">
        <v>2</v>
      </c>
      <c r="J550" s="15">
        <v>0.16</v>
      </c>
      <c r="K550" s="14">
        <v>0.13639999999999999</v>
      </c>
      <c r="L550" s="14">
        <v>0.69</v>
      </c>
      <c r="M550" s="14">
        <v>0.28360000000000002</v>
      </c>
      <c r="N550" s="14">
        <v>3</v>
      </c>
      <c r="O550" s="14">
        <v>6</v>
      </c>
      <c r="P550" s="14">
        <v>9</v>
      </c>
    </row>
    <row r="551" spans="1:16" x14ac:dyDescent="0.3">
      <c r="A551" s="15">
        <v>550</v>
      </c>
      <c r="B551" s="16">
        <v>40568</v>
      </c>
      <c r="C551" s="15">
        <v>1</v>
      </c>
      <c r="D551" s="15">
        <v>0</v>
      </c>
      <c r="E551" s="15">
        <v>1</v>
      </c>
      <c r="F551" s="15">
        <v>1</v>
      </c>
      <c r="G551" s="17" t="b">
        <v>0</v>
      </c>
      <c r="H551" s="15">
        <v>2</v>
      </c>
      <c r="I551" s="15">
        <v>2</v>
      </c>
      <c r="J551" s="15">
        <v>0.16</v>
      </c>
      <c r="K551" s="14">
        <v>0.16669999999999999</v>
      </c>
      <c r="L551" s="14">
        <v>0.69</v>
      </c>
      <c r="M551" s="14">
        <v>0.16420000000000001</v>
      </c>
      <c r="N551" s="14">
        <v>0</v>
      </c>
      <c r="O551" s="14">
        <v>5</v>
      </c>
      <c r="P551" s="14">
        <v>5</v>
      </c>
    </row>
    <row r="552" spans="1:16" x14ac:dyDescent="0.3">
      <c r="A552" s="15">
        <v>551</v>
      </c>
      <c r="B552" s="16">
        <v>40568</v>
      </c>
      <c r="C552" s="15">
        <v>1</v>
      </c>
      <c r="D552" s="15">
        <v>0</v>
      </c>
      <c r="E552" s="15">
        <v>1</v>
      </c>
      <c r="F552" s="15">
        <v>2</v>
      </c>
      <c r="G552" s="17" t="b">
        <v>0</v>
      </c>
      <c r="H552" s="15">
        <v>2</v>
      </c>
      <c r="I552" s="15">
        <v>1</v>
      </c>
      <c r="J552" s="15">
        <v>0.16</v>
      </c>
      <c r="K552" s="14">
        <v>0.1515</v>
      </c>
      <c r="L552" s="14">
        <v>0.69</v>
      </c>
      <c r="M552" s="14">
        <v>0.22389999999999999</v>
      </c>
      <c r="N552" s="14">
        <v>0</v>
      </c>
      <c r="O552" s="14">
        <v>2</v>
      </c>
      <c r="P552" s="14">
        <v>2</v>
      </c>
    </row>
    <row r="553" spans="1:16" x14ac:dyDescent="0.3">
      <c r="A553" s="15">
        <v>552</v>
      </c>
      <c r="B553" s="16">
        <v>40568</v>
      </c>
      <c r="C553" s="15">
        <v>1</v>
      </c>
      <c r="D553" s="15">
        <v>0</v>
      </c>
      <c r="E553" s="15">
        <v>1</v>
      </c>
      <c r="F553" s="15">
        <v>4</v>
      </c>
      <c r="G553" s="17" t="b">
        <v>0</v>
      </c>
      <c r="H553" s="15">
        <v>2</v>
      </c>
      <c r="I553" s="15">
        <v>1</v>
      </c>
      <c r="J553" s="15">
        <v>0.14000000000000001</v>
      </c>
      <c r="K553" s="14">
        <v>0.16669999999999999</v>
      </c>
      <c r="L553" s="14">
        <v>0.74</v>
      </c>
      <c r="M553" s="14">
        <v>0.1045</v>
      </c>
      <c r="N553" s="14">
        <v>0</v>
      </c>
      <c r="O553" s="14">
        <v>1</v>
      </c>
      <c r="P553" s="14">
        <v>1</v>
      </c>
    </row>
    <row r="554" spans="1:16" x14ac:dyDescent="0.3">
      <c r="A554" s="15">
        <v>553</v>
      </c>
      <c r="B554" s="16">
        <v>40568</v>
      </c>
      <c r="C554" s="15">
        <v>1</v>
      </c>
      <c r="D554" s="15">
        <v>0</v>
      </c>
      <c r="E554" s="15">
        <v>1</v>
      </c>
      <c r="F554" s="15">
        <v>5</v>
      </c>
      <c r="G554" s="17" t="b">
        <v>0</v>
      </c>
      <c r="H554" s="15">
        <v>2</v>
      </c>
      <c r="I554" s="15">
        <v>1</v>
      </c>
      <c r="J554" s="15">
        <v>0.14000000000000001</v>
      </c>
      <c r="K554" s="14">
        <v>0.13639999999999999</v>
      </c>
      <c r="L554" s="14">
        <v>0.74</v>
      </c>
      <c r="M554" s="14">
        <v>0.22389999999999999</v>
      </c>
      <c r="N554" s="14">
        <v>0</v>
      </c>
      <c r="O554" s="14">
        <v>9</v>
      </c>
      <c r="P554" s="14">
        <v>9</v>
      </c>
    </row>
    <row r="555" spans="1:16" x14ac:dyDescent="0.3">
      <c r="A555" s="15">
        <v>554</v>
      </c>
      <c r="B555" s="16">
        <v>40568</v>
      </c>
      <c r="C555" s="15">
        <v>1</v>
      </c>
      <c r="D555" s="15">
        <v>0</v>
      </c>
      <c r="E555" s="15">
        <v>1</v>
      </c>
      <c r="F555" s="15">
        <v>6</v>
      </c>
      <c r="G555" s="17" t="b">
        <v>0</v>
      </c>
      <c r="H555" s="15">
        <v>2</v>
      </c>
      <c r="I555" s="15">
        <v>1</v>
      </c>
      <c r="J555" s="15">
        <v>0.16</v>
      </c>
      <c r="K555" s="14">
        <v>0.18179999999999999</v>
      </c>
      <c r="L555" s="14">
        <v>0.74</v>
      </c>
      <c r="M555" s="14">
        <v>0.1045</v>
      </c>
      <c r="N555" s="14">
        <v>1</v>
      </c>
      <c r="O555" s="14">
        <v>35</v>
      </c>
      <c r="P555" s="14">
        <v>36</v>
      </c>
    </row>
    <row r="556" spans="1:16" x14ac:dyDescent="0.3">
      <c r="A556" s="15">
        <v>555</v>
      </c>
      <c r="B556" s="16">
        <v>40568</v>
      </c>
      <c r="C556" s="15">
        <v>1</v>
      </c>
      <c r="D556" s="15">
        <v>0</v>
      </c>
      <c r="E556" s="15">
        <v>1</v>
      </c>
      <c r="F556" s="15">
        <v>7</v>
      </c>
      <c r="G556" s="17" t="b">
        <v>0</v>
      </c>
      <c r="H556" s="15">
        <v>2</v>
      </c>
      <c r="I556" s="15">
        <v>1</v>
      </c>
      <c r="J556" s="15">
        <v>0.16</v>
      </c>
      <c r="K556" s="14">
        <v>0.1515</v>
      </c>
      <c r="L556" s="14">
        <v>0.74</v>
      </c>
      <c r="M556" s="14">
        <v>0.22389999999999999</v>
      </c>
      <c r="N556" s="14">
        <v>5</v>
      </c>
      <c r="O556" s="14">
        <v>103</v>
      </c>
      <c r="P556" s="14">
        <v>108</v>
      </c>
    </row>
    <row r="557" spans="1:16" x14ac:dyDescent="0.3">
      <c r="A557" s="15">
        <v>556</v>
      </c>
      <c r="B557" s="16">
        <v>40568</v>
      </c>
      <c r="C557" s="15">
        <v>1</v>
      </c>
      <c r="D557" s="15">
        <v>0</v>
      </c>
      <c r="E557" s="15">
        <v>1</v>
      </c>
      <c r="F557" s="15">
        <v>8</v>
      </c>
      <c r="G557" s="17" t="b">
        <v>0</v>
      </c>
      <c r="H557" s="15">
        <v>2</v>
      </c>
      <c r="I557" s="15">
        <v>2</v>
      </c>
      <c r="J557" s="15">
        <v>0.16</v>
      </c>
      <c r="K557" s="14">
        <v>0.18179999999999999</v>
      </c>
      <c r="L557" s="14">
        <v>0.74</v>
      </c>
      <c r="M557" s="14">
        <v>0.1343</v>
      </c>
      <c r="N557" s="14">
        <v>5</v>
      </c>
      <c r="O557" s="14">
        <v>233</v>
      </c>
      <c r="P557" s="14">
        <v>238</v>
      </c>
    </row>
    <row r="558" spans="1:16" x14ac:dyDescent="0.3">
      <c r="A558" s="15">
        <v>557</v>
      </c>
      <c r="B558" s="16">
        <v>40568</v>
      </c>
      <c r="C558" s="15">
        <v>1</v>
      </c>
      <c r="D558" s="15">
        <v>0</v>
      </c>
      <c r="E558" s="15">
        <v>1</v>
      </c>
      <c r="F558" s="15">
        <v>9</v>
      </c>
      <c r="G558" s="17" t="b">
        <v>0</v>
      </c>
      <c r="H558" s="15">
        <v>2</v>
      </c>
      <c r="I558" s="15">
        <v>2</v>
      </c>
      <c r="J558" s="15">
        <v>0.2</v>
      </c>
      <c r="K558" s="14">
        <v>0.2273</v>
      </c>
      <c r="L558" s="14">
        <v>0.64</v>
      </c>
      <c r="M558" s="14">
        <v>8.9599999999999999E-2</v>
      </c>
      <c r="N558" s="14">
        <v>10</v>
      </c>
      <c r="O558" s="14">
        <v>134</v>
      </c>
      <c r="P558" s="14">
        <v>144</v>
      </c>
    </row>
    <row r="559" spans="1:16" x14ac:dyDescent="0.3">
      <c r="A559" s="15">
        <v>558</v>
      </c>
      <c r="B559" s="16">
        <v>40568</v>
      </c>
      <c r="C559" s="15">
        <v>1</v>
      </c>
      <c r="D559" s="15">
        <v>0</v>
      </c>
      <c r="E559" s="15">
        <v>1</v>
      </c>
      <c r="F559" s="15">
        <v>10</v>
      </c>
      <c r="G559" s="17" t="b">
        <v>0</v>
      </c>
      <c r="H559" s="15">
        <v>2</v>
      </c>
      <c r="I559" s="15">
        <v>2</v>
      </c>
      <c r="J559" s="15">
        <v>0.22</v>
      </c>
      <c r="K559" s="14">
        <v>0.2424</v>
      </c>
      <c r="L559" s="14">
        <v>0.6</v>
      </c>
      <c r="M559" s="14">
        <v>0.1045</v>
      </c>
      <c r="N559" s="14">
        <v>6</v>
      </c>
      <c r="O559" s="14">
        <v>49</v>
      </c>
      <c r="P559" s="14">
        <v>55</v>
      </c>
    </row>
    <row r="560" spans="1:16" x14ac:dyDescent="0.3">
      <c r="A560" s="15">
        <v>559</v>
      </c>
      <c r="B560" s="16">
        <v>40568</v>
      </c>
      <c r="C560" s="15">
        <v>1</v>
      </c>
      <c r="D560" s="15">
        <v>0</v>
      </c>
      <c r="E560" s="15">
        <v>1</v>
      </c>
      <c r="F560" s="15">
        <v>11</v>
      </c>
      <c r="G560" s="17" t="b">
        <v>0</v>
      </c>
      <c r="H560" s="15">
        <v>2</v>
      </c>
      <c r="I560" s="15">
        <v>2</v>
      </c>
      <c r="J560" s="15">
        <v>0.24</v>
      </c>
      <c r="K560" s="14">
        <v>0.2424</v>
      </c>
      <c r="L560" s="14">
        <v>0.6</v>
      </c>
      <c r="M560" s="14">
        <v>0.1343</v>
      </c>
      <c r="N560" s="14">
        <v>6</v>
      </c>
      <c r="O560" s="14">
        <v>55</v>
      </c>
      <c r="P560" s="14">
        <v>61</v>
      </c>
    </row>
    <row r="561" spans="1:16" x14ac:dyDescent="0.3">
      <c r="A561" s="15">
        <v>560</v>
      </c>
      <c r="B561" s="16">
        <v>40568</v>
      </c>
      <c r="C561" s="15">
        <v>1</v>
      </c>
      <c r="D561" s="15">
        <v>0</v>
      </c>
      <c r="E561" s="15">
        <v>1</v>
      </c>
      <c r="F561" s="15">
        <v>12</v>
      </c>
      <c r="G561" s="17" t="b">
        <v>0</v>
      </c>
      <c r="H561" s="15">
        <v>2</v>
      </c>
      <c r="I561" s="15">
        <v>2</v>
      </c>
      <c r="J561" s="15">
        <v>0.26</v>
      </c>
      <c r="K561" s="14">
        <v>0.28789999999999999</v>
      </c>
      <c r="L561" s="14">
        <v>0.56000000000000005</v>
      </c>
      <c r="M561" s="14">
        <v>8.9599999999999999E-2</v>
      </c>
      <c r="N561" s="14">
        <v>21</v>
      </c>
      <c r="O561" s="14">
        <v>85</v>
      </c>
      <c r="P561" s="14">
        <v>106</v>
      </c>
    </row>
    <row r="562" spans="1:16" x14ac:dyDescent="0.3">
      <c r="A562" s="15">
        <v>561</v>
      </c>
      <c r="B562" s="16">
        <v>40568</v>
      </c>
      <c r="C562" s="15">
        <v>1</v>
      </c>
      <c r="D562" s="15">
        <v>0</v>
      </c>
      <c r="E562" s="15">
        <v>1</v>
      </c>
      <c r="F562" s="15">
        <v>13</v>
      </c>
      <c r="G562" s="17" t="b">
        <v>0</v>
      </c>
      <c r="H562" s="15">
        <v>2</v>
      </c>
      <c r="I562" s="15">
        <v>2</v>
      </c>
      <c r="J562" s="15">
        <v>0.26</v>
      </c>
      <c r="K562" s="14">
        <v>0.2727</v>
      </c>
      <c r="L562" s="14">
        <v>0.56000000000000005</v>
      </c>
      <c r="M562" s="14">
        <v>0.1343</v>
      </c>
      <c r="N562" s="14">
        <v>21</v>
      </c>
      <c r="O562" s="14">
        <v>72</v>
      </c>
      <c r="P562" s="14">
        <v>93</v>
      </c>
    </row>
    <row r="563" spans="1:16" x14ac:dyDescent="0.3">
      <c r="A563" s="15">
        <v>562</v>
      </c>
      <c r="B563" s="16">
        <v>40568</v>
      </c>
      <c r="C563" s="15">
        <v>1</v>
      </c>
      <c r="D563" s="15">
        <v>0</v>
      </c>
      <c r="E563" s="15">
        <v>1</v>
      </c>
      <c r="F563" s="15">
        <v>14</v>
      </c>
      <c r="G563" s="17" t="b">
        <v>0</v>
      </c>
      <c r="H563" s="15">
        <v>2</v>
      </c>
      <c r="I563" s="15">
        <v>2</v>
      </c>
      <c r="J563" s="15">
        <v>0.3</v>
      </c>
      <c r="K563" s="14">
        <v>0.33329999999999999</v>
      </c>
      <c r="L563" s="14">
        <v>0.45</v>
      </c>
      <c r="M563" s="14">
        <v>0</v>
      </c>
      <c r="N563" s="14">
        <v>11</v>
      </c>
      <c r="O563" s="14">
        <v>57</v>
      </c>
      <c r="P563" s="14">
        <v>68</v>
      </c>
    </row>
    <row r="564" spans="1:16" x14ac:dyDescent="0.3">
      <c r="A564" s="15">
        <v>563</v>
      </c>
      <c r="B564" s="16">
        <v>40568</v>
      </c>
      <c r="C564" s="15">
        <v>1</v>
      </c>
      <c r="D564" s="15">
        <v>0</v>
      </c>
      <c r="E564" s="15">
        <v>1</v>
      </c>
      <c r="F564" s="15">
        <v>15</v>
      </c>
      <c r="G564" s="17" t="b">
        <v>0</v>
      </c>
      <c r="H564" s="15">
        <v>2</v>
      </c>
      <c r="I564" s="15">
        <v>2</v>
      </c>
      <c r="J564" s="15">
        <v>0.32</v>
      </c>
      <c r="K564" s="14">
        <v>0.34849999999999998</v>
      </c>
      <c r="L564" s="14">
        <v>0.42</v>
      </c>
      <c r="M564" s="14">
        <v>0</v>
      </c>
      <c r="N564" s="14">
        <v>21</v>
      </c>
      <c r="O564" s="14">
        <v>63</v>
      </c>
      <c r="P564" s="14">
        <v>84</v>
      </c>
    </row>
    <row r="565" spans="1:16" x14ac:dyDescent="0.3">
      <c r="A565" s="15">
        <v>564</v>
      </c>
      <c r="B565" s="16">
        <v>40568</v>
      </c>
      <c r="C565" s="15">
        <v>1</v>
      </c>
      <c r="D565" s="15">
        <v>0</v>
      </c>
      <c r="E565" s="15">
        <v>1</v>
      </c>
      <c r="F565" s="15">
        <v>16</v>
      </c>
      <c r="G565" s="17" t="b">
        <v>0</v>
      </c>
      <c r="H565" s="15">
        <v>2</v>
      </c>
      <c r="I565" s="15">
        <v>2</v>
      </c>
      <c r="J565" s="15">
        <v>0.32</v>
      </c>
      <c r="K565" s="14">
        <v>0.34849999999999998</v>
      </c>
      <c r="L565" s="14">
        <v>0.42</v>
      </c>
      <c r="M565" s="14">
        <v>0</v>
      </c>
      <c r="N565" s="14">
        <v>14</v>
      </c>
      <c r="O565" s="14">
        <v>102</v>
      </c>
      <c r="P565" s="14">
        <v>116</v>
      </c>
    </row>
    <row r="566" spans="1:16" x14ac:dyDescent="0.3">
      <c r="A566" s="15">
        <v>565</v>
      </c>
      <c r="B566" s="16">
        <v>40568</v>
      </c>
      <c r="C566" s="15">
        <v>1</v>
      </c>
      <c r="D566" s="15">
        <v>0</v>
      </c>
      <c r="E566" s="15">
        <v>1</v>
      </c>
      <c r="F566" s="15">
        <v>17</v>
      </c>
      <c r="G566" s="17" t="b">
        <v>0</v>
      </c>
      <c r="H566" s="15">
        <v>2</v>
      </c>
      <c r="I566" s="15">
        <v>1</v>
      </c>
      <c r="J566" s="15">
        <v>0.3</v>
      </c>
      <c r="K566" s="14">
        <v>0.33329999999999999</v>
      </c>
      <c r="L566" s="14">
        <v>0.45</v>
      </c>
      <c r="M566" s="14">
        <v>0</v>
      </c>
      <c r="N566" s="14">
        <v>14</v>
      </c>
      <c r="O566" s="14">
        <v>208</v>
      </c>
      <c r="P566" s="14">
        <v>222</v>
      </c>
    </row>
    <row r="567" spans="1:16" x14ac:dyDescent="0.3">
      <c r="A567" s="15">
        <v>566</v>
      </c>
      <c r="B567" s="16">
        <v>40568</v>
      </c>
      <c r="C567" s="15">
        <v>1</v>
      </c>
      <c r="D567" s="15">
        <v>0</v>
      </c>
      <c r="E567" s="15">
        <v>1</v>
      </c>
      <c r="F567" s="15">
        <v>18</v>
      </c>
      <c r="G567" s="17" t="b">
        <v>0</v>
      </c>
      <c r="H567" s="15">
        <v>2</v>
      </c>
      <c r="I567" s="15">
        <v>2</v>
      </c>
      <c r="J567" s="15">
        <v>0.3</v>
      </c>
      <c r="K567" s="14">
        <v>0.31819999999999998</v>
      </c>
      <c r="L567" s="14">
        <v>0.49</v>
      </c>
      <c r="M567" s="14">
        <v>8.9599999999999999E-2</v>
      </c>
      <c r="N567" s="14">
        <v>7</v>
      </c>
      <c r="O567" s="14">
        <v>218</v>
      </c>
      <c r="P567" s="14">
        <v>225</v>
      </c>
    </row>
    <row r="568" spans="1:16" x14ac:dyDescent="0.3">
      <c r="A568" s="15">
        <v>567</v>
      </c>
      <c r="B568" s="16">
        <v>40568</v>
      </c>
      <c r="C568" s="15">
        <v>1</v>
      </c>
      <c r="D568" s="15">
        <v>0</v>
      </c>
      <c r="E568" s="15">
        <v>1</v>
      </c>
      <c r="F568" s="15">
        <v>19</v>
      </c>
      <c r="G568" s="17" t="b">
        <v>0</v>
      </c>
      <c r="H568" s="15">
        <v>2</v>
      </c>
      <c r="I568" s="15">
        <v>2</v>
      </c>
      <c r="J568" s="15">
        <v>0.26</v>
      </c>
      <c r="K568" s="14">
        <v>0.2576</v>
      </c>
      <c r="L568" s="14">
        <v>0.65</v>
      </c>
      <c r="M568" s="14">
        <v>0.16420000000000001</v>
      </c>
      <c r="N568" s="14">
        <v>13</v>
      </c>
      <c r="O568" s="14">
        <v>133</v>
      </c>
      <c r="P568" s="14">
        <v>146</v>
      </c>
    </row>
    <row r="569" spans="1:16" x14ac:dyDescent="0.3">
      <c r="A569" s="15">
        <v>568</v>
      </c>
      <c r="B569" s="16">
        <v>40568</v>
      </c>
      <c r="C569" s="15">
        <v>1</v>
      </c>
      <c r="D569" s="15">
        <v>0</v>
      </c>
      <c r="E569" s="15">
        <v>1</v>
      </c>
      <c r="F569" s="15">
        <v>20</v>
      </c>
      <c r="G569" s="17" t="b">
        <v>0</v>
      </c>
      <c r="H569" s="15">
        <v>2</v>
      </c>
      <c r="I569" s="15">
        <v>1</v>
      </c>
      <c r="J569" s="15">
        <v>0.24</v>
      </c>
      <c r="K569" s="14">
        <v>0.2273</v>
      </c>
      <c r="L569" s="14">
        <v>0.65</v>
      </c>
      <c r="M569" s="14">
        <v>0.19400000000000001</v>
      </c>
      <c r="N569" s="14">
        <v>16</v>
      </c>
      <c r="O569" s="14">
        <v>103</v>
      </c>
      <c r="P569" s="14">
        <v>119</v>
      </c>
    </row>
    <row r="570" spans="1:16" x14ac:dyDescent="0.3">
      <c r="A570" s="15">
        <v>569</v>
      </c>
      <c r="B570" s="16">
        <v>40568</v>
      </c>
      <c r="C570" s="15">
        <v>1</v>
      </c>
      <c r="D570" s="15">
        <v>0</v>
      </c>
      <c r="E570" s="15">
        <v>1</v>
      </c>
      <c r="F570" s="15">
        <v>21</v>
      </c>
      <c r="G570" s="17" t="b">
        <v>0</v>
      </c>
      <c r="H570" s="15">
        <v>2</v>
      </c>
      <c r="I570" s="15">
        <v>1</v>
      </c>
      <c r="J570" s="15">
        <v>0.24</v>
      </c>
      <c r="K570" s="14">
        <v>0.2273</v>
      </c>
      <c r="L570" s="14">
        <v>0.65</v>
      </c>
      <c r="M570" s="14">
        <v>0.19400000000000001</v>
      </c>
      <c r="N570" s="14">
        <v>5</v>
      </c>
      <c r="O570" s="14">
        <v>40</v>
      </c>
      <c r="P570" s="14">
        <v>45</v>
      </c>
    </row>
    <row r="571" spans="1:16" x14ac:dyDescent="0.3">
      <c r="A571" s="15">
        <v>570</v>
      </c>
      <c r="B571" s="16">
        <v>40568</v>
      </c>
      <c r="C571" s="15">
        <v>1</v>
      </c>
      <c r="D571" s="15">
        <v>0</v>
      </c>
      <c r="E571" s="15">
        <v>1</v>
      </c>
      <c r="F571" s="15">
        <v>22</v>
      </c>
      <c r="G571" s="17" t="b">
        <v>0</v>
      </c>
      <c r="H571" s="15">
        <v>2</v>
      </c>
      <c r="I571" s="15">
        <v>1</v>
      </c>
      <c r="J571" s="15">
        <v>0.22</v>
      </c>
      <c r="K571" s="14">
        <v>0.2273</v>
      </c>
      <c r="L571" s="14">
        <v>0.64</v>
      </c>
      <c r="M571" s="14">
        <v>0.16420000000000001</v>
      </c>
      <c r="N571" s="14">
        <v>4</v>
      </c>
      <c r="O571" s="14">
        <v>49</v>
      </c>
      <c r="P571" s="14">
        <v>53</v>
      </c>
    </row>
    <row r="572" spans="1:16" x14ac:dyDescent="0.3">
      <c r="A572" s="15">
        <v>571</v>
      </c>
      <c r="B572" s="16">
        <v>40568</v>
      </c>
      <c r="C572" s="15">
        <v>1</v>
      </c>
      <c r="D572" s="15">
        <v>0</v>
      </c>
      <c r="E572" s="15">
        <v>1</v>
      </c>
      <c r="F572" s="15">
        <v>23</v>
      </c>
      <c r="G572" s="17" t="b">
        <v>0</v>
      </c>
      <c r="H572" s="15">
        <v>2</v>
      </c>
      <c r="I572" s="15">
        <v>2</v>
      </c>
      <c r="J572" s="15">
        <v>0.22</v>
      </c>
      <c r="K572" s="14">
        <v>0.2273</v>
      </c>
      <c r="L572" s="14">
        <v>0.64</v>
      </c>
      <c r="M572" s="14">
        <v>0.16420000000000001</v>
      </c>
      <c r="N572" s="14">
        <v>3</v>
      </c>
      <c r="O572" s="14">
        <v>37</v>
      </c>
      <c r="P572" s="14">
        <v>40</v>
      </c>
    </row>
    <row r="573" spans="1:16" x14ac:dyDescent="0.3">
      <c r="A573" s="15">
        <v>572</v>
      </c>
      <c r="B573" s="16">
        <v>40569</v>
      </c>
      <c r="C573" s="15">
        <v>1</v>
      </c>
      <c r="D573" s="15">
        <v>0</v>
      </c>
      <c r="E573" s="15">
        <v>1</v>
      </c>
      <c r="F573" s="15">
        <v>0</v>
      </c>
      <c r="G573" s="17" t="b">
        <v>0</v>
      </c>
      <c r="H573" s="15">
        <v>3</v>
      </c>
      <c r="I573" s="15">
        <v>2</v>
      </c>
      <c r="J573" s="15">
        <v>0.22</v>
      </c>
      <c r="K573" s="14">
        <v>0.2273</v>
      </c>
      <c r="L573" s="14">
        <v>0.69</v>
      </c>
      <c r="M573" s="14">
        <v>0.1343</v>
      </c>
      <c r="N573" s="14">
        <v>3</v>
      </c>
      <c r="O573" s="14">
        <v>14</v>
      </c>
      <c r="P573" s="14">
        <v>17</v>
      </c>
    </row>
    <row r="574" spans="1:16" x14ac:dyDescent="0.3">
      <c r="A574" s="15">
        <v>573</v>
      </c>
      <c r="B574" s="16">
        <v>40569</v>
      </c>
      <c r="C574" s="15">
        <v>1</v>
      </c>
      <c r="D574" s="15">
        <v>0</v>
      </c>
      <c r="E574" s="15">
        <v>1</v>
      </c>
      <c r="F574" s="15">
        <v>1</v>
      </c>
      <c r="G574" s="17" t="b">
        <v>0</v>
      </c>
      <c r="H574" s="15">
        <v>3</v>
      </c>
      <c r="I574" s="15">
        <v>2</v>
      </c>
      <c r="J574" s="15">
        <v>0.24</v>
      </c>
      <c r="K574" s="14">
        <v>0.2424</v>
      </c>
      <c r="L574" s="14">
        <v>0.65</v>
      </c>
      <c r="M574" s="14">
        <v>0.1343</v>
      </c>
      <c r="N574" s="14">
        <v>0</v>
      </c>
      <c r="O574" s="14">
        <v>5</v>
      </c>
      <c r="P574" s="14">
        <v>5</v>
      </c>
    </row>
    <row r="575" spans="1:16" x14ac:dyDescent="0.3">
      <c r="A575" s="15">
        <v>574</v>
      </c>
      <c r="B575" s="16">
        <v>40569</v>
      </c>
      <c r="C575" s="15">
        <v>1</v>
      </c>
      <c r="D575" s="15">
        <v>0</v>
      </c>
      <c r="E575" s="15">
        <v>1</v>
      </c>
      <c r="F575" s="15">
        <v>2</v>
      </c>
      <c r="G575" s="17" t="b">
        <v>0</v>
      </c>
      <c r="H575" s="15">
        <v>3</v>
      </c>
      <c r="I575" s="15">
        <v>3</v>
      </c>
      <c r="J575" s="15">
        <v>0.22</v>
      </c>
      <c r="K575" s="14">
        <v>0.2273</v>
      </c>
      <c r="L575" s="14">
        <v>0.69</v>
      </c>
      <c r="M575" s="14">
        <v>0.19400000000000001</v>
      </c>
      <c r="N575" s="14">
        <v>3</v>
      </c>
      <c r="O575" s="14">
        <v>7</v>
      </c>
      <c r="P575" s="14">
        <v>10</v>
      </c>
    </row>
    <row r="576" spans="1:16" x14ac:dyDescent="0.3">
      <c r="A576" s="15">
        <v>575</v>
      </c>
      <c r="B576" s="16">
        <v>40569</v>
      </c>
      <c r="C576" s="15">
        <v>1</v>
      </c>
      <c r="D576" s="15">
        <v>0</v>
      </c>
      <c r="E576" s="15">
        <v>1</v>
      </c>
      <c r="F576" s="15">
        <v>5</v>
      </c>
      <c r="G576" s="17" t="b">
        <v>0</v>
      </c>
      <c r="H576" s="15">
        <v>3</v>
      </c>
      <c r="I576" s="15">
        <v>3</v>
      </c>
      <c r="J576" s="15">
        <v>0.2</v>
      </c>
      <c r="K576" s="14">
        <v>0.18179999999999999</v>
      </c>
      <c r="L576" s="14">
        <v>0.86</v>
      </c>
      <c r="M576" s="14">
        <v>0.28360000000000002</v>
      </c>
      <c r="N576" s="14">
        <v>0</v>
      </c>
      <c r="O576" s="14">
        <v>1</v>
      </c>
      <c r="P576" s="14">
        <v>1</v>
      </c>
    </row>
    <row r="577" spans="1:16" x14ac:dyDescent="0.3">
      <c r="A577" s="15">
        <v>576</v>
      </c>
      <c r="B577" s="16">
        <v>40569</v>
      </c>
      <c r="C577" s="15">
        <v>1</v>
      </c>
      <c r="D577" s="15">
        <v>0</v>
      </c>
      <c r="E577" s="15">
        <v>1</v>
      </c>
      <c r="F577" s="15">
        <v>6</v>
      </c>
      <c r="G577" s="17" t="b">
        <v>0</v>
      </c>
      <c r="H577" s="15">
        <v>3</v>
      </c>
      <c r="I577" s="15">
        <v>3</v>
      </c>
      <c r="J577" s="15">
        <v>0.2</v>
      </c>
      <c r="K577" s="14">
        <v>0.18179999999999999</v>
      </c>
      <c r="L577" s="14">
        <v>0.86</v>
      </c>
      <c r="M577" s="14">
        <v>0.28360000000000002</v>
      </c>
      <c r="N577" s="14">
        <v>0</v>
      </c>
      <c r="O577" s="14">
        <v>8</v>
      </c>
      <c r="P577" s="14">
        <v>8</v>
      </c>
    </row>
    <row r="578" spans="1:16" x14ac:dyDescent="0.3">
      <c r="A578" s="15">
        <v>577</v>
      </c>
      <c r="B578" s="16">
        <v>40569</v>
      </c>
      <c r="C578" s="15">
        <v>1</v>
      </c>
      <c r="D578" s="15">
        <v>0</v>
      </c>
      <c r="E578" s="15">
        <v>1</v>
      </c>
      <c r="F578" s="15">
        <v>7</v>
      </c>
      <c r="G578" s="17" t="b">
        <v>0</v>
      </c>
      <c r="H578" s="15">
        <v>3</v>
      </c>
      <c r="I578" s="15">
        <v>3</v>
      </c>
      <c r="J578" s="15">
        <v>0.22</v>
      </c>
      <c r="K578" s="14">
        <v>0.21210000000000001</v>
      </c>
      <c r="L578" s="14">
        <v>0.87</v>
      </c>
      <c r="M578" s="14">
        <v>0.29849999999999999</v>
      </c>
      <c r="N578" s="14">
        <v>1</v>
      </c>
      <c r="O578" s="14">
        <v>29</v>
      </c>
      <c r="P578" s="14">
        <v>30</v>
      </c>
    </row>
    <row r="579" spans="1:16" x14ac:dyDescent="0.3">
      <c r="A579" s="15">
        <v>578</v>
      </c>
      <c r="B579" s="16">
        <v>40569</v>
      </c>
      <c r="C579" s="15">
        <v>1</v>
      </c>
      <c r="D579" s="15">
        <v>0</v>
      </c>
      <c r="E579" s="15">
        <v>1</v>
      </c>
      <c r="F579" s="15">
        <v>8</v>
      </c>
      <c r="G579" s="17" t="b">
        <v>0</v>
      </c>
      <c r="H579" s="15">
        <v>3</v>
      </c>
      <c r="I579" s="15">
        <v>3</v>
      </c>
      <c r="J579" s="15">
        <v>0.22</v>
      </c>
      <c r="K579" s="14">
        <v>0.21210000000000001</v>
      </c>
      <c r="L579" s="14">
        <v>0.87</v>
      </c>
      <c r="M579" s="14">
        <v>0.29849999999999999</v>
      </c>
      <c r="N579" s="14">
        <v>3</v>
      </c>
      <c r="O579" s="14">
        <v>69</v>
      </c>
      <c r="P579" s="14">
        <v>72</v>
      </c>
    </row>
    <row r="580" spans="1:16" x14ac:dyDescent="0.3">
      <c r="A580" s="15">
        <v>579</v>
      </c>
      <c r="B580" s="16">
        <v>40569</v>
      </c>
      <c r="C580" s="15">
        <v>1</v>
      </c>
      <c r="D580" s="15">
        <v>0</v>
      </c>
      <c r="E580" s="15">
        <v>1</v>
      </c>
      <c r="F580" s="15">
        <v>9</v>
      </c>
      <c r="G580" s="17" t="b">
        <v>0</v>
      </c>
      <c r="H580" s="15">
        <v>3</v>
      </c>
      <c r="I580" s="15">
        <v>3</v>
      </c>
      <c r="J580" s="15">
        <v>0.22</v>
      </c>
      <c r="K580" s="14">
        <v>0.21210000000000001</v>
      </c>
      <c r="L580" s="14">
        <v>0.87</v>
      </c>
      <c r="M580" s="14">
        <v>0.29849999999999999</v>
      </c>
      <c r="N580" s="14">
        <v>3</v>
      </c>
      <c r="O580" s="14">
        <v>55</v>
      </c>
      <c r="P580" s="14">
        <v>58</v>
      </c>
    </row>
    <row r="581" spans="1:16" x14ac:dyDescent="0.3">
      <c r="A581" s="15">
        <v>580</v>
      </c>
      <c r="B581" s="16">
        <v>40569</v>
      </c>
      <c r="C581" s="15">
        <v>1</v>
      </c>
      <c r="D581" s="15">
        <v>0</v>
      </c>
      <c r="E581" s="15">
        <v>1</v>
      </c>
      <c r="F581" s="15">
        <v>10</v>
      </c>
      <c r="G581" s="17" t="b">
        <v>0</v>
      </c>
      <c r="H581" s="15">
        <v>3</v>
      </c>
      <c r="I581" s="15">
        <v>3</v>
      </c>
      <c r="J581" s="15">
        <v>0.22</v>
      </c>
      <c r="K581" s="14">
        <v>0.21210000000000001</v>
      </c>
      <c r="L581" s="14">
        <v>0.93</v>
      </c>
      <c r="M581" s="14">
        <v>0.28360000000000002</v>
      </c>
      <c r="N581" s="14">
        <v>2</v>
      </c>
      <c r="O581" s="14">
        <v>26</v>
      </c>
      <c r="P581" s="14">
        <v>28</v>
      </c>
    </row>
    <row r="582" spans="1:16" x14ac:dyDescent="0.3">
      <c r="A582" s="15">
        <v>581</v>
      </c>
      <c r="B582" s="16">
        <v>40569</v>
      </c>
      <c r="C582" s="15">
        <v>1</v>
      </c>
      <c r="D582" s="15">
        <v>0</v>
      </c>
      <c r="E582" s="15">
        <v>1</v>
      </c>
      <c r="F582" s="15">
        <v>11</v>
      </c>
      <c r="G582" s="17" t="b">
        <v>0</v>
      </c>
      <c r="H582" s="15">
        <v>3</v>
      </c>
      <c r="I582" s="15">
        <v>3</v>
      </c>
      <c r="J582" s="15">
        <v>0.22</v>
      </c>
      <c r="K582" s="14">
        <v>0.19700000000000001</v>
      </c>
      <c r="L582" s="14">
        <v>0.93</v>
      </c>
      <c r="M582" s="14">
        <v>0.32840000000000003</v>
      </c>
      <c r="N582" s="14">
        <v>6</v>
      </c>
      <c r="O582" s="14">
        <v>35</v>
      </c>
      <c r="P582" s="14">
        <v>41</v>
      </c>
    </row>
    <row r="583" spans="1:16" x14ac:dyDescent="0.3">
      <c r="A583" s="15">
        <v>582</v>
      </c>
      <c r="B583" s="16">
        <v>40569</v>
      </c>
      <c r="C583" s="15">
        <v>1</v>
      </c>
      <c r="D583" s="15">
        <v>0</v>
      </c>
      <c r="E583" s="15">
        <v>1</v>
      </c>
      <c r="F583" s="15">
        <v>12</v>
      </c>
      <c r="G583" s="17" t="b">
        <v>0</v>
      </c>
      <c r="H583" s="15">
        <v>3</v>
      </c>
      <c r="I583" s="15">
        <v>3</v>
      </c>
      <c r="J583" s="15">
        <v>0.22</v>
      </c>
      <c r="K583" s="14">
        <v>0.19700000000000001</v>
      </c>
      <c r="L583" s="14">
        <v>0.93</v>
      </c>
      <c r="M583" s="14">
        <v>0.32840000000000003</v>
      </c>
      <c r="N583" s="14">
        <v>7</v>
      </c>
      <c r="O583" s="14">
        <v>41</v>
      </c>
      <c r="P583" s="14">
        <v>48</v>
      </c>
    </row>
    <row r="584" spans="1:16" x14ac:dyDescent="0.3">
      <c r="A584" s="15">
        <v>583</v>
      </c>
      <c r="B584" s="16">
        <v>40569</v>
      </c>
      <c r="C584" s="15">
        <v>1</v>
      </c>
      <c r="D584" s="15">
        <v>0</v>
      </c>
      <c r="E584" s="15">
        <v>1</v>
      </c>
      <c r="F584" s="15">
        <v>13</v>
      </c>
      <c r="G584" s="17" t="b">
        <v>0</v>
      </c>
      <c r="H584" s="15">
        <v>3</v>
      </c>
      <c r="I584" s="15">
        <v>3</v>
      </c>
      <c r="J584" s="15">
        <v>0.22</v>
      </c>
      <c r="K584" s="14">
        <v>0.19700000000000001</v>
      </c>
      <c r="L584" s="14">
        <v>0.93</v>
      </c>
      <c r="M584" s="14">
        <v>0.32840000000000003</v>
      </c>
      <c r="N584" s="14">
        <v>4</v>
      </c>
      <c r="O584" s="14">
        <v>43</v>
      </c>
      <c r="P584" s="14">
        <v>47</v>
      </c>
    </row>
    <row r="585" spans="1:16" x14ac:dyDescent="0.3">
      <c r="A585" s="15">
        <v>584</v>
      </c>
      <c r="B585" s="16">
        <v>40569</v>
      </c>
      <c r="C585" s="15">
        <v>1</v>
      </c>
      <c r="D585" s="15">
        <v>0</v>
      </c>
      <c r="E585" s="15">
        <v>1</v>
      </c>
      <c r="F585" s="15">
        <v>14</v>
      </c>
      <c r="G585" s="17" t="b">
        <v>0</v>
      </c>
      <c r="H585" s="15">
        <v>3</v>
      </c>
      <c r="I585" s="15">
        <v>3</v>
      </c>
      <c r="J585" s="15">
        <v>0.22</v>
      </c>
      <c r="K585" s="14">
        <v>0.19700000000000001</v>
      </c>
      <c r="L585" s="14">
        <v>0.93</v>
      </c>
      <c r="M585" s="14">
        <v>0.35820000000000002</v>
      </c>
      <c r="N585" s="14">
        <v>0</v>
      </c>
      <c r="O585" s="14">
        <v>36</v>
      </c>
      <c r="P585" s="14">
        <v>36</v>
      </c>
    </row>
    <row r="586" spans="1:16" x14ac:dyDescent="0.3">
      <c r="A586" s="15">
        <v>585</v>
      </c>
      <c r="B586" s="16">
        <v>40569</v>
      </c>
      <c r="C586" s="15">
        <v>1</v>
      </c>
      <c r="D586" s="15">
        <v>0</v>
      </c>
      <c r="E586" s="15">
        <v>1</v>
      </c>
      <c r="F586" s="15">
        <v>15</v>
      </c>
      <c r="G586" s="17" t="b">
        <v>0</v>
      </c>
      <c r="H586" s="15">
        <v>3</v>
      </c>
      <c r="I586" s="15">
        <v>3</v>
      </c>
      <c r="J586" s="15">
        <v>0.22</v>
      </c>
      <c r="K586" s="14">
        <v>0.18179999999999999</v>
      </c>
      <c r="L586" s="14">
        <v>0.93</v>
      </c>
      <c r="M586" s="14">
        <v>0.4627</v>
      </c>
      <c r="N586" s="14">
        <v>1</v>
      </c>
      <c r="O586" s="14">
        <v>42</v>
      </c>
      <c r="P586" s="14">
        <v>43</v>
      </c>
    </row>
    <row r="587" spans="1:16" x14ac:dyDescent="0.3">
      <c r="A587" s="15">
        <v>586</v>
      </c>
      <c r="B587" s="16">
        <v>40569</v>
      </c>
      <c r="C587" s="15">
        <v>1</v>
      </c>
      <c r="D587" s="15">
        <v>0</v>
      </c>
      <c r="E587" s="15">
        <v>1</v>
      </c>
      <c r="F587" s="15">
        <v>16</v>
      </c>
      <c r="G587" s="17" t="b">
        <v>0</v>
      </c>
      <c r="H587" s="15">
        <v>3</v>
      </c>
      <c r="I587" s="15">
        <v>4</v>
      </c>
      <c r="J587" s="15">
        <v>0.22</v>
      </c>
      <c r="K587" s="14">
        <v>0.19700000000000001</v>
      </c>
      <c r="L587" s="14">
        <v>0.93</v>
      </c>
      <c r="M587" s="14">
        <v>0.32840000000000003</v>
      </c>
      <c r="N587" s="14">
        <v>1</v>
      </c>
      <c r="O587" s="14">
        <v>35</v>
      </c>
      <c r="P587" s="14">
        <v>36</v>
      </c>
    </row>
    <row r="588" spans="1:16" x14ac:dyDescent="0.3">
      <c r="A588" s="15">
        <v>587</v>
      </c>
      <c r="B588" s="16">
        <v>40569</v>
      </c>
      <c r="C588" s="15">
        <v>1</v>
      </c>
      <c r="D588" s="15">
        <v>0</v>
      </c>
      <c r="E588" s="15">
        <v>1</v>
      </c>
      <c r="F588" s="15">
        <v>17</v>
      </c>
      <c r="G588" s="17" t="b">
        <v>0</v>
      </c>
      <c r="H588" s="15">
        <v>3</v>
      </c>
      <c r="I588" s="15">
        <v>3</v>
      </c>
      <c r="J588" s="15">
        <v>0.2</v>
      </c>
      <c r="K588" s="14">
        <v>0.18179999999999999</v>
      </c>
      <c r="L588" s="14">
        <v>0.93</v>
      </c>
      <c r="M588" s="14">
        <v>0.35820000000000002</v>
      </c>
      <c r="N588" s="14">
        <v>0</v>
      </c>
      <c r="O588" s="14">
        <v>26</v>
      </c>
      <c r="P588" s="14">
        <v>26</v>
      </c>
    </row>
    <row r="589" spans="1:16" x14ac:dyDescent="0.3">
      <c r="A589" s="15">
        <v>588</v>
      </c>
      <c r="B589" s="16">
        <v>40570</v>
      </c>
      <c r="C589" s="15">
        <v>1</v>
      </c>
      <c r="D589" s="15">
        <v>0</v>
      </c>
      <c r="E589" s="15">
        <v>1</v>
      </c>
      <c r="F589" s="15">
        <v>16</v>
      </c>
      <c r="G589" s="17" t="b">
        <v>0</v>
      </c>
      <c r="H589" s="15">
        <v>4</v>
      </c>
      <c r="I589" s="15">
        <v>1</v>
      </c>
      <c r="J589" s="15">
        <v>0.22</v>
      </c>
      <c r="K589" s="14">
        <v>0.2273</v>
      </c>
      <c r="L589" s="14">
        <v>0.55000000000000004</v>
      </c>
      <c r="M589" s="14">
        <v>0.19400000000000001</v>
      </c>
      <c r="N589" s="14">
        <v>1</v>
      </c>
      <c r="O589" s="14">
        <v>23</v>
      </c>
      <c r="P589" s="14">
        <v>24</v>
      </c>
    </row>
    <row r="590" spans="1:16" x14ac:dyDescent="0.3">
      <c r="A590" s="15">
        <v>589</v>
      </c>
      <c r="B590" s="16">
        <v>40570</v>
      </c>
      <c r="C590" s="15">
        <v>1</v>
      </c>
      <c r="D590" s="15">
        <v>0</v>
      </c>
      <c r="E590" s="15">
        <v>1</v>
      </c>
      <c r="F590" s="15">
        <v>17</v>
      </c>
      <c r="G590" s="17" t="b">
        <v>0</v>
      </c>
      <c r="H590" s="15">
        <v>4</v>
      </c>
      <c r="I590" s="15">
        <v>1</v>
      </c>
      <c r="J590" s="15">
        <v>0.22</v>
      </c>
      <c r="K590" s="14">
        <v>0.2424</v>
      </c>
      <c r="L590" s="14">
        <v>0.55000000000000004</v>
      </c>
      <c r="M590" s="14">
        <v>0.1045</v>
      </c>
      <c r="N590" s="14">
        <v>2</v>
      </c>
      <c r="O590" s="14">
        <v>82</v>
      </c>
      <c r="P590" s="14">
        <v>84</v>
      </c>
    </row>
    <row r="591" spans="1:16" x14ac:dyDescent="0.3">
      <c r="A591" s="15">
        <v>590</v>
      </c>
      <c r="B591" s="16">
        <v>40570</v>
      </c>
      <c r="C591" s="15">
        <v>1</v>
      </c>
      <c r="D591" s="15">
        <v>0</v>
      </c>
      <c r="E591" s="15">
        <v>1</v>
      </c>
      <c r="F591" s="15">
        <v>18</v>
      </c>
      <c r="G591" s="17" t="b">
        <v>0</v>
      </c>
      <c r="H591" s="15">
        <v>4</v>
      </c>
      <c r="I591" s="15">
        <v>1</v>
      </c>
      <c r="J591" s="15">
        <v>0.2</v>
      </c>
      <c r="K591" s="14">
        <v>0.2273</v>
      </c>
      <c r="L591" s="14">
        <v>0.69</v>
      </c>
      <c r="M591" s="14">
        <v>8.9599999999999999E-2</v>
      </c>
      <c r="N591" s="14">
        <v>3</v>
      </c>
      <c r="O591" s="14">
        <v>101</v>
      </c>
      <c r="P591" s="14">
        <v>104</v>
      </c>
    </row>
    <row r="592" spans="1:16" x14ac:dyDescent="0.3">
      <c r="A592" s="15">
        <v>591</v>
      </c>
      <c r="B592" s="16">
        <v>40570</v>
      </c>
      <c r="C592" s="15">
        <v>1</v>
      </c>
      <c r="D592" s="15">
        <v>0</v>
      </c>
      <c r="E592" s="15">
        <v>1</v>
      </c>
      <c r="F592" s="15">
        <v>19</v>
      </c>
      <c r="G592" s="17" t="b">
        <v>0</v>
      </c>
      <c r="H592" s="15">
        <v>4</v>
      </c>
      <c r="I592" s="15">
        <v>1</v>
      </c>
      <c r="J592" s="15">
        <v>0.2</v>
      </c>
      <c r="K592" s="14">
        <v>0.2273</v>
      </c>
      <c r="L592" s="14">
        <v>0.69</v>
      </c>
      <c r="M592" s="14">
        <v>8.9599999999999999E-2</v>
      </c>
      <c r="N592" s="14">
        <v>3</v>
      </c>
      <c r="O592" s="14">
        <v>76</v>
      </c>
      <c r="P592" s="14">
        <v>79</v>
      </c>
    </row>
    <row r="593" spans="1:16" x14ac:dyDescent="0.3">
      <c r="A593" s="15">
        <v>592</v>
      </c>
      <c r="B593" s="16">
        <v>40570</v>
      </c>
      <c r="C593" s="15">
        <v>1</v>
      </c>
      <c r="D593" s="15">
        <v>0</v>
      </c>
      <c r="E593" s="15">
        <v>1</v>
      </c>
      <c r="F593" s="15">
        <v>20</v>
      </c>
      <c r="G593" s="17" t="b">
        <v>0</v>
      </c>
      <c r="H593" s="15">
        <v>4</v>
      </c>
      <c r="I593" s="15">
        <v>1</v>
      </c>
      <c r="J593" s="15">
        <v>0.18</v>
      </c>
      <c r="K593" s="14">
        <v>0.21210000000000001</v>
      </c>
      <c r="L593" s="14">
        <v>0.74</v>
      </c>
      <c r="M593" s="14">
        <v>8.9599999999999999E-2</v>
      </c>
      <c r="N593" s="14">
        <v>4</v>
      </c>
      <c r="O593" s="14">
        <v>55</v>
      </c>
      <c r="P593" s="14">
        <v>59</v>
      </c>
    </row>
    <row r="594" spans="1:16" x14ac:dyDescent="0.3">
      <c r="A594" s="15">
        <v>593</v>
      </c>
      <c r="B594" s="16">
        <v>40570</v>
      </c>
      <c r="C594" s="15">
        <v>1</v>
      </c>
      <c r="D594" s="15">
        <v>0</v>
      </c>
      <c r="E594" s="15">
        <v>1</v>
      </c>
      <c r="F594" s="15">
        <v>21</v>
      </c>
      <c r="G594" s="17" t="b">
        <v>0</v>
      </c>
      <c r="H594" s="15">
        <v>4</v>
      </c>
      <c r="I594" s="15">
        <v>1</v>
      </c>
      <c r="J594" s="15">
        <v>0.18</v>
      </c>
      <c r="K594" s="14">
        <v>0.21210000000000001</v>
      </c>
      <c r="L594" s="14">
        <v>0.74</v>
      </c>
      <c r="M594" s="14">
        <v>8.9599999999999999E-2</v>
      </c>
      <c r="N594" s="14">
        <v>2</v>
      </c>
      <c r="O594" s="14">
        <v>36</v>
      </c>
      <c r="P594" s="14">
        <v>38</v>
      </c>
    </row>
    <row r="595" spans="1:16" x14ac:dyDescent="0.3">
      <c r="A595" s="15">
        <v>594</v>
      </c>
      <c r="B595" s="16">
        <v>40570</v>
      </c>
      <c r="C595" s="15">
        <v>1</v>
      </c>
      <c r="D595" s="15">
        <v>0</v>
      </c>
      <c r="E595" s="15">
        <v>1</v>
      </c>
      <c r="F595" s="15">
        <v>22</v>
      </c>
      <c r="G595" s="17" t="b">
        <v>0</v>
      </c>
      <c r="H595" s="15">
        <v>4</v>
      </c>
      <c r="I595" s="15">
        <v>1</v>
      </c>
      <c r="J595" s="15">
        <v>0.18</v>
      </c>
      <c r="K595" s="14">
        <v>0.21210000000000001</v>
      </c>
      <c r="L595" s="14">
        <v>0.74</v>
      </c>
      <c r="M595" s="14">
        <v>8.9599999999999999E-2</v>
      </c>
      <c r="N595" s="14">
        <v>0</v>
      </c>
      <c r="O595" s="14">
        <v>27</v>
      </c>
      <c r="P595" s="14">
        <v>27</v>
      </c>
    </row>
    <row r="596" spans="1:16" x14ac:dyDescent="0.3">
      <c r="A596" s="15">
        <v>595</v>
      </c>
      <c r="B596" s="16">
        <v>40570</v>
      </c>
      <c r="C596" s="15">
        <v>1</v>
      </c>
      <c r="D596" s="15">
        <v>0</v>
      </c>
      <c r="E596" s="15">
        <v>1</v>
      </c>
      <c r="F596" s="15">
        <v>23</v>
      </c>
      <c r="G596" s="17" t="b">
        <v>0</v>
      </c>
      <c r="H596" s="15">
        <v>4</v>
      </c>
      <c r="I596" s="15">
        <v>1</v>
      </c>
      <c r="J596" s="15">
        <v>0.18</v>
      </c>
      <c r="K596" s="14">
        <v>0.19700000000000001</v>
      </c>
      <c r="L596" s="14">
        <v>0.8</v>
      </c>
      <c r="M596" s="14">
        <v>0.16420000000000001</v>
      </c>
      <c r="N596" s="14">
        <v>0</v>
      </c>
      <c r="O596" s="14">
        <v>16</v>
      </c>
      <c r="P596" s="14">
        <v>16</v>
      </c>
    </row>
    <row r="597" spans="1:16" x14ac:dyDescent="0.3">
      <c r="A597" s="15">
        <v>596</v>
      </c>
      <c r="B597" s="16">
        <v>40571</v>
      </c>
      <c r="C597" s="15">
        <v>1</v>
      </c>
      <c r="D597" s="15">
        <v>0</v>
      </c>
      <c r="E597" s="15">
        <v>1</v>
      </c>
      <c r="F597" s="15">
        <v>0</v>
      </c>
      <c r="G597" s="17" t="b">
        <v>0</v>
      </c>
      <c r="H597" s="15">
        <v>5</v>
      </c>
      <c r="I597" s="15">
        <v>2</v>
      </c>
      <c r="J597" s="15">
        <v>0.2</v>
      </c>
      <c r="K597" s="14">
        <v>0.21210000000000001</v>
      </c>
      <c r="L597" s="14">
        <v>0.75</v>
      </c>
      <c r="M597" s="14">
        <v>0.1343</v>
      </c>
      <c r="N597" s="14">
        <v>0</v>
      </c>
      <c r="O597" s="14">
        <v>9</v>
      </c>
      <c r="P597" s="14">
        <v>9</v>
      </c>
    </row>
    <row r="598" spans="1:16" x14ac:dyDescent="0.3">
      <c r="A598" s="15">
        <v>597</v>
      </c>
      <c r="B598" s="16">
        <v>40571</v>
      </c>
      <c r="C598" s="15">
        <v>1</v>
      </c>
      <c r="D598" s="15">
        <v>0</v>
      </c>
      <c r="E598" s="15">
        <v>1</v>
      </c>
      <c r="F598" s="15">
        <v>1</v>
      </c>
      <c r="G598" s="17" t="b">
        <v>0</v>
      </c>
      <c r="H598" s="15">
        <v>5</v>
      </c>
      <c r="I598" s="15">
        <v>2</v>
      </c>
      <c r="J598" s="15">
        <v>0.2</v>
      </c>
      <c r="K598" s="14">
        <v>0.21210000000000001</v>
      </c>
      <c r="L598" s="14">
        <v>0.75</v>
      </c>
      <c r="M598" s="14">
        <v>0.1343</v>
      </c>
      <c r="N598" s="14">
        <v>1</v>
      </c>
      <c r="O598" s="14">
        <v>2</v>
      </c>
      <c r="P598" s="14">
        <v>3</v>
      </c>
    </row>
    <row r="599" spans="1:16" x14ac:dyDescent="0.3">
      <c r="A599" s="15">
        <v>598</v>
      </c>
      <c r="B599" s="16">
        <v>40571</v>
      </c>
      <c r="C599" s="15">
        <v>1</v>
      </c>
      <c r="D599" s="15">
        <v>0</v>
      </c>
      <c r="E599" s="15">
        <v>1</v>
      </c>
      <c r="F599" s="15">
        <v>2</v>
      </c>
      <c r="G599" s="17" t="b">
        <v>0</v>
      </c>
      <c r="H599" s="15">
        <v>5</v>
      </c>
      <c r="I599" s="15">
        <v>2</v>
      </c>
      <c r="J599" s="15">
        <v>0.2</v>
      </c>
      <c r="K599" s="14">
        <v>0.21210000000000001</v>
      </c>
      <c r="L599" s="14">
        <v>0.75</v>
      </c>
      <c r="M599" s="14">
        <v>0.16420000000000001</v>
      </c>
      <c r="N599" s="14">
        <v>0</v>
      </c>
      <c r="O599" s="14">
        <v>2</v>
      </c>
      <c r="P599" s="14">
        <v>2</v>
      </c>
    </row>
    <row r="600" spans="1:16" x14ac:dyDescent="0.3">
      <c r="A600" s="15">
        <v>599</v>
      </c>
      <c r="B600" s="16">
        <v>40571</v>
      </c>
      <c r="C600" s="15">
        <v>1</v>
      </c>
      <c r="D600" s="15">
        <v>0</v>
      </c>
      <c r="E600" s="15">
        <v>1</v>
      </c>
      <c r="F600" s="15">
        <v>3</v>
      </c>
      <c r="G600" s="17" t="b">
        <v>0</v>
      </c>
      <c r="H600" s="15">
        <v>5</v>
      </c>
      <c r="I600" s="15">
        <v>2</v>
      </c>
      <c r="J600" s="15">
        <v>0.2</v>
      </c>
      <c r="K600" s="14">
        <v>0.2273</v>
      </c>
      <c r="L600" s="14">
        <v>0.75</v>
      </c>
      <c r="M600" s="14">
        <v>0.1045</v>
      </c>
      <c r="N600" s="14">
        <v>1</v>
      </c>
      <c r="O600" s="14">
        <v>0</v>
      </c>
      <c r="P600" s="14">
        <v>1</v>
      </c>
    </row>
    <row r="601" spans="1:16" x14ac:dyDescent="0.3">
      <c r="A601" s="15">
        <v>600</v>
      </c>
      <c r="B601" s="16">
        <v>40571</v>
      </c>
      <c r="C601" s="15">
        <v>1</v>
      </c>
      <c r="D601" s="15">
        <v>0</v>
      </c>
      <c r="E601" s="15">
        <v>1</v>
      </c>
      <c r="F601" s="15">
        <v>5</v>
      </c>
      <c r="G601" s="17" t="b">
        <v>0</v>
      </c>
      <c r="H601" s="15">
        <v>5</v>
      </c>
      <c r="I601" s="15">
        <v>2</v>
      </c>
      <c r="J601" s="15">
        <v>0.18</v>
      </c>
      <c r="K601" s="14">
        <v>0.21210000000000001</v>
      </c>
      <c r="L601" s="14">
        <v>0.8</v>
      </c>
      <c r="M601" s="14">
        <v>0.1045</v>
      </c>
      <c r="N601" s="14">
        <v>0</v>
      </c>
      <c r="O601" s="14">
        <v>4</v>
      </c>
      <c r="P601" s="14">
        <v>4</v>
      </c>
    </row>
    <row r="602" spans="1:16" x14ac:dyDescent="0.3">
      <c r="A602" s="15">
        <v>601</v>
      </c>
      <c r="B602" s="16">
        <v>40571</v>
      </c>
      <c r="C602" s="15">
        <v>1</v>
      </c>
      <c r="D602" s="15">
        <v>0</v>
      </c>
      <c r="E602" s="15">
        <v>1</v>
      </c>
      <c r="F602" s="15">
        <v>6</v>
      </c>
      <c r="G602" s="17" t="b">
        <v>0</v>
      </c>
      <c r="H602" s="15">
        <v>5</v>
      </c>
      <c r="I602" s="15">
        <v>2</v>
      </c>
      <c r="J602" s="15">
        <v>0.18</v>
      </c>
      <c r="K602" s="14">
        <v>0.19700000000000001</v>
      </c>
      <c r="L602" s="14">
        <v>0.8</v>
      </c>
      <c r="M602" s="14">
        <v>0.1343</v>
      </c>
      <c r="N602" s="14">
        <v>0</v>
      </c>
      <c r="O602" s="14">
        <v>16</v>
      </c>
      <c r="P602" s="14">
        <v>16</v>
      </c>
    </row>
    <row r="603" spans="1:16" x14ac:dyDescent="0.3">
      <c r="A603" s="15">
        <v>602</v>
      </c>
      <c r="B603" s="16">
        <v>40571</v>
      </c>
      <c r="C603" s="15">
        <v>1</v>
      </c>
      <c r="D603" s="15">
        <v>0</v>
      </c>
      <c r="E603" s="15">
        <v>1</v>
      </c>
      <c r="F603" s="15">
        <v>7</v>
      </c>
      <c r="G603" s="17" t="b">
        <v>0</v>
      </c>
      <c r="H603" s="15">
        <v>5</v>
      </c>
      <c r="I603" s="15">
        <v>2</v>
      </c>
      <c r="J603" s="15">
        <v>0.16</v>
      </c>
      <c r="K603" s="14">
        <v>0.19700000000000001</v>
      </c>
      <c r="L603" s="14">
        <v>0.86</v>
      </c>
      <c r="M603" s="14">
        <v>8.9599999999999999E-2</v>
      </c>
      <c r="N603" s="14">
        <v>2</v>
      </c>
      <c r="O603" s="14">
        <v>58</v>
      </c>
      <c r="P603" s="14">
        <v>60</v>
      </c>
    </row>
    <row r="604" spans="1:16" x14ac:dyDescent="0.3">
      <c r="A604" s="15">
        <v>603</v>
      </c>
      <c r="B604" s="16">
        <v>40571</v>
      </c>
      <c r="C604" s="15">
        <v>1</v>
      </c>
      <c r="D604" s="15">
        <v>0</v>
      </c>
      <c r="E604" s="15">
        <v>1</v>
      </c>
      <c r="F604" s="15">
        <v>8</v>
      </c>
      <c r="G604" s="17" t="b">
        <v>0</v>
      </c>
      <c r="H604" s="15">
        <v>5</v>
      </c>
      <c r="I604" s="15">
        <v>2</v>
      </c>
      <c r="J604" s="15">
        <v>0.16</v>
      </c>
      <c r="K604" s="14">
        <v>0.19700000000000001</v>
      </c>
      <c r="L604" s="14">
        <v>0.86</v>
      </c>
      <c r="M604" s="14">
        <v>8.9599999999999999E-2</v>
      </c>
      <c r="N604" s="14">
        <v>2</v>
      </c>
      <c r="O604" s="14">
        <v>155</v>
      </c>
      <c r="P604" s="14">
        <v>157</v>
      </c>
    </row>
    <row r="605" spans="1:16" x14ac:dyDescent="0.3">
      <c r="A605" s="15">
        <v>604</v>
      </c>
      <c r="B605" s="16">
        <v>40571</v>
      </c>
      <c r="C605" s="15">
        <v>1</v>
      </c>
      <c r="D605" s="15">
        <v>0</v>
      </c>
      <c r="E605" s="15">
        <v>1</v>
      </c>
      <c r="F605" s="15">
        <v>9</v>
      </c>
      <c r="G605" s="17" t="b">
        <v>0</v>
      </c>
      <c r="H605" s="15">
        <v>5</v>
      </c>
      <c r="I605" s="15">
        <v>3</v>
      </c>
      <c r="J605" s="15">
        <v>0.18</v>
      </c>
      <c r="K605" s="14">
        <v>0.21210000000000001</v>
      </c>
      <c r="L605" s="14">
        <v>0.86</v>
      </c>
      <c r="M605" s="14">
        <v>8.9599999999999999E-2</v>
      </c>
      <c r="N605" s="14">
        <v>6</v>
      </c>
      <c r="O605" s="14">
        <v>95</v>
      </c>
      <c r="P605" s="14">
        <v>101</v>
      </c>
    </row>
    <row r="606" spans="1:16" x14ac:dyDescent="0.3">
      <c r="A606" s="15">
        <v>605</v>
      </c>
      <c r="B606" s="16">
        <v>40571</v>
      </c>
      <c r="C606" s="15">
        <v>1</v>
      </c>
      <c r="D606" s="15">
        <v>0</v>
      </c>
      <c r="E606" s="15">
        <v>1</v>
      </c>
      <c r="F606" s="15">
        <v>10</v>
      </c>
      <c r="G606" s="17" t="b">
        <v>0</v>
      </c>
      <c r="H606" s="15">
        <v>5</v>
      </c>
      <c r="I606" s="15">
        <v>3</v>
      </c>
      <c r="J606" s="15">
        <v>0.18</v>
      </c>
      <c r="K606" s="14">
        <v>0.21210000000000001</v>
      </c>
      <c r="L606" s="14">
        <v>0.86</v>
      </c>
      <c r="M606" s="14">
        <v>0.1045</v>
      </c>
      <c r="N606" s="14">
        <v>0</v>
      </c>
      <c r="O606" s="14">
        <v>49</v>
      </c>
      <c r="P606" s="14">
        <v>49</v>
      </c>
    </row>
    <row r="607" spans="1:16" x14ac:dyDescent="0.3">
      <c r="A607" s="15">
        <v>606</v>
      </c>
      <c r="B607" s="16">
        <v>40571</v>
      </c>
      <c r="C607" s="15">
        <v>1</v>
      </c>
      <c r="D607" s="15">
        <v>0</v>
      </c>
      <c r="E607" s="15">
        <v>1</v>
      </c>
      <c r="F607" s="15">
        <v>11</v>
      </c>
      <c r="G607" s="17" t="b">
        <v>0</v>
      </c>
      <c r="H607" s="15">
        <v>5</v>
      </c>
      <c r="I607" s="15">
        <v>3</v>
      </c>
      <c r="J607" s="15">
        <v>0.18</v>
      </c>
      <c r="K607" s="14">
        <v>0.21210000000000001</v>
      </c>
      <c r="L607" s="14">
        <v>0.93</v>
      </c>
      <c r="M607" s="14">
        <v>0.1045</v>
      </c>
      <c r="N607" s="14">
        <v>0</v>
      </c>
      <c r="O607" s="14">
        <v>30</v>
      </c>
      <c r="P607" s="14">
        <v>30</v>
      </c>
    </row>
    <row r="608" spans="1:16" x14ac:dyDescent="0.3">
      <c r="A608" s="15">
        <v>607</v>
      </c>
      <c r="B608" s="16">
        <v>40571</v>
      </c>
      <c r="C608" s="15">
        <v>1</v>
      </c>
      <c r="D608" s="15">
        <v>0</v>
      </c>
      <c r="E608" s="15">
        <v>1</v>
      </c>
      <c r="F608" s="15">
        <v>12</v>
      </c>
      <c r="G608" s="17" t="b">
        <v>0</v>
      </c>
      <c r="H608" s="15">
        <v>5</v>
      </c>
      <c r="I608" s="15">
        <v>3</v>
      </c>
      <c r="J608" s="15">
        <v>0.18</v>
      </c>
      <c r="K608" s="14">
        <v>0.21210000000000001</v>
      </c>
      <c r="L608" s="14">
        <v>0.93</v>
      </c>
      <c r="M608" s="14">
        <v>0.1045</v>
      </c>
      <c r="N608" s="14">
        <v>1</v>
      </c>
      <c r="O608" s="14">
        <v>28</v>
      </c>
      <c r="P608" s="14">
        <v>29</v>
      </c>
    </row>
    <row r="609" spans="1:16" x14ac:dyDescent="0.3">
      <c r="A609" s="15">
        <v>608</v>
      </c>
      <c r="B609" s="16">
        <v>40571</v>
      </c>
      <c r="C609" s="15">
        <v>1</v>
      </c>
      <c r="D609" s="15">
        <v>0</v>
      </c>
      <c r="E609" s="15">
        <v>1</v>
      </c>
      <c r="F609" s="15">
        <v>13</v>
      </c>
      <c r="G609" s="17" t="b">
        <v>0</v>
      </c>
      <c r="H609" s="15">
        <v>5</v>
      </c>
      <c r="I609" s="15">
        <v>3</v>
      </c>
      <c r="J609" s="15">
        <v>0.18</v>
      </c>
      <c r="K609" s="14">
        <v>0.21210000000000001</v>
      </c>
      <c r="L609" s="14">
        <v>0.93</v>
      </c>
      <c r="M609" s="14">
        <v>0.1045</v>
      </c>
      <c r="N609" s="14">
        <v>0</v>
      </c>
      <c r="O609" s="14">
        <v>31</v>
      </c>
      <c r="P609" s="14">
        <v>31</v>
      </c>
    </row>
    <row r="610" spans="1:16" x14ac:dyDescent="0.3">
      <c r="A610" s="15">
        <v>609</v>
      </c>
      <c r="B610" s="16">
        <v>40571</v>
      </c>
      <c r="C610" s="15">
        <v>1</v>
      </c>
      <c r="D610" s="15">
        <v>0</v>
      </c>
      <c r="E610" s="15">
        <v>1</v>
      </c>
      <c r="F610" s="15">
        <v>14</v>
      </c>
      <c r="G610" s="17" t="b">
        <v>0</v>
      </c>
      <c r="H610" s="15">
        <v>5</v>
      </c>
      <c r="I610" s="15">
        <v>3</v>
      </c>
      <c r="J610" s="15">
        <v>0.22</v>
      </c>
      <c r="K610" s="14">
        <v>0.2727</v>
      </c>
      <c r="L610" s="14">
        <v>0.8</v>
      </c>
      <c r="M610" s="14">
        <v>0</v>
      </c>
      <c r="N610" s="14">
        <v>2</v>
      </c>
      <c r="O610" s="14">
        <v>36</v>
      </c>
      <c r="P610" s="14">
        <v>38</v>
      </c>
    </row>
    <row r="611" spans="1:16" x14ac:dyDescent="0.3">
      <c r="A611" s="15">
        <v>610</v>
      </c>
      <c r="B611" s="16">
        <v>40571</v>
      </c>
      <c r="C611" s="15">
        <v>1</v>
      </c>
      <c r="D611" s="15">
        <v>0</v>
      </c>
      <c r="E611" s="15">
        <v>1</v>
      </c>
      <c r="F611" s="15">
        <v>15</v>
      </c>
      <c r="G611" s="17" t="b">
        <v>0</v>
      </c>
      <c r="H611" s="15">
        <v>5</v>
      </c>
      <c r="I611" s="15">
        <v>2</v>
      </c>
      <c r="J611" s="15">
        <v>0.2</v>
      </c>
      <c r="K611" s="14">
        <v>0.2576</v>
      </c>
      <c r="L611" s="14">
        <v>0.86</v>
      </c>
      <c r="M611" s="14">
        <v>0</v>
      </c>
      <c r="N611" s="14">
        <v>1</v>
      </c>
      <c r="O611" s="14">
        <v>40</v>
      </c>
      <c r="P611" s="14">
        <v>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Merged data set 1&amp;2</vt:lpstr>
      <vt:lpstr>charts &amp;tables 1&amp;2</vt:lpstr>
      <vt:lpstr>sheet1&amp;2 raw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Roshani</dc:creator>
  <cp:lastModifiedBy>Roshni Mor</cp:lastModifiedBy>
  <dcterms:created xsi:type="dcterms:W3CDTF">2025-10-15T18:50:01Z</dcterms:created>
  <dcterms:modified xsi:type="dcterms:W3CDTF">2026-05-28T11:57:41Z</dcterms:modified>
</cp:coreProperties>
</file>